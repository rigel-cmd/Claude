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Échéancier" sheetId="2" state="visible" r:id="rId4"/>
  </sheets>
  <definedNames>
    <definedName function="false" hidden="false" localSheetId="0" name="_xlnm.Print_Area" vbProcedure="false">Budget!$A$1:$M$41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Premier mois de l'échéancier.</t>
        </r>
      </text>
    </comment>
    <comment ref="B6" authorId="0">
      <text>
        <r>
          <rPr>
            <sz val="10"/>
            <rFont val="Arial"/>
            <family val="2"/>
          </rPr>
          <t xml:space="preserve">Durée prévue de la recherche. Le forfait Village de la Justice couvre 2 mois : au-delà, il est renouvelé.</t>
        </r>
      </text>
    </comment>
    <comment ref="B7" authorId="0">
      <text>
        <r>
          <rPr>
            <sz val="10"/>
            <rFont val="Arial"/>
            <family val="2"/>
          </rPr>
          <t xml:space="preserve">HT ou TTC : sert à calculer l'autre montant dans le budget retenu.</t>
        </r>
      </text>
    </comment>
    <comment ref="B9" authorId="0">
      <text>
        <r>
          <rPr>
            <sz val="10"/>
            <rFont val="Arial"/>
            <family val="2"/>
          </rPr>
          <t xml:space="preserve">Essentiel, Équilibré ou Intensif : pilote le budget retenu et l'échéancier.</t>
        </r>
      </text>
    </comment>
    <comment ref="C29" authorId="0">
      <text>
        <r>
          <rPr>
            <sz val="10"/>
            <rFont val="Arial"/>
            <family val="2"/>
          </rPr>
          <t xml:space="preserve">Les quantités de chaque scénario sont modifiables dans le tableau des plateformes.</t>
        </r>
      </text>
    </comment>
    <comment ref="G12" authorId="0">
      <text>
        <r>
          <rPr>
            <sz val="10"/>
            <rFont val="Arial"/>
            <family val="2"/>
          </rPr>
          <t xml:space="preserve">Quantité par mois selon la facturation :
– gratuit ou forfait : 1 = plateforme retenue, 0 = non ;
– par jour : nombre de jours de boost dans le mois ;
– par semaine : nombre de semaines sponsorisées dans le mois ;
– par mois : 1.</t>
        </r>
      </text>
    </comment>
    <comment ref="I12" authorId="0">
      <text>
        <r>
          <rPr>
            <sz val="10"/>
            <rFont val="Arial"/>
            <family val="2"/>
          </rPr>
          <t xml:space="preserve">Quantité par mois selon la facturation :
– gratuit ou forfait : 1 = plateforme retenue, 0 = non ;
– par jour : nombre de jours de boost dans le mois ;
– par semaine : nombre de semaines sponsorisées dans le mois ;
– par mois : 1.</t>
        </r>
      </text>
    </comment>
    <comment ref="K12" authorId="0">
      <text>
        <r>
          <rPr>
            <sz val="10"/>
            <rFont val="Arial"/>
            <family val="2"/>
          </rPr>
          <t xml:space="preserve">Quantité par mois selon la facturation :
– gratuit ou forfait : 1 = plateforme retenue, 0 = non ;
– par jour : nombre de jours de boost dans le mois ;
– par semaine : nombre de semaines sponsorisées dans le mois ;
– par mois : 1.</t>
        </r>
      </text>
    </comment>
  </commentList>
</comments>
</file>

<file path=xl/sharedStrings.xml><?xml version="1.0" encoding="utf-8"?>
<sst xmlns="http://schemas.openxmlformats.org/spreadsheetml/2006/main" count="115" uniqueCount="95">
  <si>
    <t xml:space="preserve">Budget de diffusion de l'offre – Avocat(e) salarié(e)</t>
  </si>
  <si>
    <t xml:space="preserve">Victimes &amp; Préjudices Avocats · estimation du budget mensuel par plateforme et par scénario. Cellules jaunes = saisie ; cellules grises = calcul automatique.</t>
  </si>
  <si>
    <t xml:space="preserve">PARAMÈTRES</t>
  </si>
  <si>
    <t xml:space="preserve">BUDGET DU SCÉNARIO RETENU</t>
  </si>
  <si>
    <t xml:space="preserve">Début de la diffusion</t>
  </si>
  <si>
    <t xml:space="preserve">HT</t>
  </si>
  <si>
    <t xml:space="preserve">TTC</t>
  </si>
  <si>
    <t xml:space="preserve">Durée de la campagne (mois)</t>
  </si>
  <si>
    <t xml:space="preserve">Budget mensuel moyen à allouer</t>
  </si>
  <si>
    <t xml:space="preserve">Tarifs saisis en</t>
  </si>
  <si>
    <t xml:space="preserve">Décaissement du 1er mois (forfait payé d'avance)</t>
  </si>
  <si>
    <t xml:space="preserve">Taux de TVA</t>
  </si>
  <si>
    <t xml:space="preserve">Budget total de la campagne</t>
  </si>
  <si>
    <t xml:space="preserve">Scénario retenu</t>
  </si>
  <si>
    <t xml:space="preserve">Équilibré</t>
  </si>
  <si>
    <t xml:space="preserve">Plateformes utilisées (dont payantes)</t>
  </si>
  <si>
    <t xml:space="preserve">Numéro du scénario retenu</t>
  </si>
  <si>
    <t xml:space="preserve">PLATEFORMES ET TARIFS</t>
  </si>
  <si>
    <t xml:space="preserve">ESSENTIEL</t>
  </si>
  <si>
    <t xml:space="preserve">ÉQUILIBRÉ</t>
  </si>
  <si>
    <t xml:space="preserve">INTENSIF</t>
  </si>
  <si>
    <t xml:space="preserve">COMMENTAIRES</t>
  </si>
  <si>
    <t xml:space="preserve">DÉTAIL DES CALCULS (ne pas modifier)</t>
  </si>
  <si>
    <t xml:space="preserve">Plateforme</t>
  </si>
  <si>
    <t xml:space="preserve">Formule</t>
  </si>
  <si>
    <t xml:space="preserve">Tarif (€)</t>
  </si>
  <si>
    <t xml:space="preserve">Facturation</t>
  </si>
  <si>
    <t xml:space="preserve">Durée du forfait (mois)</t>
  </si>
  <si>
    <t xml:space="preserve">Qté / mois</t>
  </si>
  <si>
    <t xml:space="preserve">Coût / mois</t>
  </si>
  <si>
    <t xml:space="preserve">Qté du scénario retenu</t>
  </si>
  <si>
    <t xml:space="preserve">1er mois Essentiel</t>
  </si>
  <si>
    <t xml:space="preserve">Campagne Essentiel</t>
  </si>
  <si>
    <t xml:space="preserve">1er mois Équilibré</t>
  </si>
  <si>
    <t xml:space="preserve">Campagne Équilibré</t>
  </si>
  <si>
    <t xml:space="preserve">1er mois Intensif</t>
  </si>
  <si>
    <t xml:space="preserve">Campagne Intensif</t>
  </si>
  <si>
    <t xml:space="preserve">Village de la Justice</t>
  </si>
  <si>
    <t xml:space="preserve">Annonce Premium</t>
  </si>
  <si>
    <t xml:space="preserve">Forfait</t>
  </si>
  <si>
    <t xml:space="preserve">290 € pour 2 mois, payés à la publication. Site de référence des professions du droit.</t>
  </si>
  <si>
    <t xml:space="preserve">RecrutAvocat</t>
  </si>
  <si>
    <t xml:space="preserve">Annonce</t>
  </si>
  <si>
    <t xml:space="preserve">Gratuit</t>
  </si>
  <si>
    <t xml:space="preserve">Site spécialisé dans le recrutement d'avocats.</t>
  </si>
  <si>
    <t xml:space="preserve">LinkedIn</t>
  </si>
  <si>
    <t xml:space="preserve">Offre d'emploi</t>
  </si>
  <si>
    <t xml:space="preserve">Publication de l'offre gratuite.</t>
  </si>
  <si>
    <t xml:space="preserve">Boost de l'offre</t>
  </si>
  <si>
    <t xml:space="preserve">Par jour</t>
  </si>
  <si>
    <t xml:space="preserve">Budget journalier maximal : la dépense réelle peut être inférieure.</t>
  </si>
  <si>
    <t xml:space="preserve">Indeed</t>
  </si>
  <si>
    <t xml:space="preserve">Annonce sponsorisée</t>
  </si>
  <si>
    <t xml:space="preserve">Par semaine</t>
  </si>
  <si>
    <t xml:space="preserve">Facturé à la semaine sponsorisée.</t>
  </si>
  <si>
    <t xml:space="preserve">France Travail</t>
  </si>
  <si>
    <t xml:space="preserve">Apec</t>
  </si>
  <si>
    <t xml:space="preserve">Offre cadre</t>
  </si>
  <si>
    <t xml:space="preserve">Poste cadre : cible les avocats salariés en poste ou en recherche.</t>
  </si>
  <si>
    <t xml:space="preserve">CNB</t>
  </si>
  <si>
    <t xml:space="preserve">Conseil national des barreaux.</t>
  </si>
  <si>
    <t xml:space="preserve">Ordre des avocats de Grenoble</t>
  </si>
  <si>
    <t xml:space="preserve">Diffusion auprès du barreau local.</t>
  </si>
  <si>
    <t xml:space="preserve">Meta (Facebook, Instagram)</t>
  </si>
  <si>
    <t xml:space="preserve">Boost de publication</t>
  </si>
  <si>
    <t xml:space="preserve">Autre plateforme</t>
  </si>
  <si>
    <t xml:space="preserve">Ligne libre.</t>
  </si>
  <si>
    <t xml:space="preserve">Total mensuel (forfait lissé sur sa durée)</t>
  </si>
  <si>
    <t xml:space="preserve">SYNTHÈSE DES SCÉNARIOS</t>
  </si>
  <si>
    <t xml:space="preserve">Scénario</t>
  </si>
  <si>
    <t xml:space="preserve">Contenu</t>
  </si>
  <si>
    <t xml:space="preserve">Mensuel moyen</t>
  </si>
  <si>
    <t xml:space="preserve">1er mois</t>
  </si>
  <si>
    <t xml:space="preserve">Total campagne</t>
  </si>
  <si>
    <t xml:space="preserve">Total TTC</t>
  </si>
  <si>
    <t xml:space="preserve">Plateformes payantes</t>
  </si>
  <si>
    <t xml:space="preserve">Essentiel</t>
  </si>
  <si>
    <t xml:space="preserve">Plateformes gratuites + Village de la Justice</t>
  </si>
  <si>
    <t xml:space="preserve">Essentiel + boosts LinkedIn (15 j) et Meta (10 j) + Indeed 2 semaines par mois</t>
  </si>
  <si>
    <t xml:space="preserve">Intensif</t>
  </si>
  <si>
    <t xml:space="preserve">Essentiel + boosts LinkedIn et Meta tous les jours + Indeed chaque semaine</t>
  </si>
  <si>
    <t xml:space="preserve">Montants exprimés selon la base choisie dans « Tarifs saisis en » (HT ou TTC). Mensuel moyen = total de la campagne ÷ durée.</t>
  </si>
  <si>
    <t xml:space="preserve">HYPOTHÈSES ET MODE D'EMPLOI</t>
  </si>
  <si>
    <t xml:space="preserve">• Tarifs communiqués par le cabinet (septembre 2026). Vérifiez s'ils sont HT ou TTC et ajustez « Tarifs saisis en ».</t>
  </si>
  <si>
    <t xml:space="preserve">• Village de la Justice : forfait de 290 € pour 2 mois, payé à la publication. Il est renouvelé si la campagne dure plus de 2 mois.</t>
  </si>
  <si>
    <t xml:space="preserve">• Boosts LinkedIn et Meta : 10 € par jour correspondent à un budget maximal ; la dépense réelle peut être inférieure. Saisissez le nombre de jours de boost prévus chaque mois.</t>
  </si>
  <si>
    <t xml:space="preserve">• Indeed : 100 € par semaine sponsorisée ; saisissez le nombre de semaines par mois (4 au maximum pour un mois plein).</t>
  </si>
  <si>
    <t xml:space="preserve">• Plateformes gratuites : quantité 1 = diffusion prévue, 0 = pas de diffusion. Elles n'entrent pas dans le budget mais dans le décompte des plateformes utilisées.</t>
  </si>
  <si>
    <t xml:space="preserve">• Pour tester une autre hypothèse, modifiez les quantités d'un scénario ; pour ajouter un support, utilisez les lignes « Autre plateforme ».</t>
  </si>
  <si>
    <t xml:space="preserve">Échéancier mensuel des dépenses</t>
  </si>
  <si>
    <t xml:space="preserve">Décaissements prévus par mois (forfaits payés au début de leur période). Aucune saisie dans cet onglet.</t>
  </si>
  <si>
    <t xml:space="preserve">DÉPENSES PAR PLATEFORME ET PAR MOIS</t>
  </si>
  <si>
    <t xml:space="preserve">Mois de campagne</t>
  </si>
  <si>
    <t xml:space="preserve">Total</t>
  </si>
  <si>
    <t xml:space="preserve">Cumul depuis le début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</si>
</sst>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0"/>
    <numFmt numFmtId="167" formatCode="#,##0&quot; €&quot;;\-#,##0&quot; €&quot;;\–"/>
    <numFmt numFmtId="168" formatCode="0%"/>
    <numFmt numFmtId="169" formatCode="General"/>
    <numFmt numFmtId="170" formatCode="0&quot; payante(s)&quot;"/>
    <numFmt numFmtId="171" formatCode="mmm\ yyyy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048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B52026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8"/>
      <color rgb="FFA6A6A6"/>
      <name val="Arial"/>
      <family val="0"/>
      <charset val="1"/>
    </font>
    <font>
      <b val="true"/>
      <sz val="10"/>
      <color rgb="FF304859"/>
      <name val="Arial"/>
      <family val="0"/>
      <charset val="1"/>
    </font>
    <font>
      <b val="true"/>
      <sz val="8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sz val="8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  <font>
      <i val="true"/>
      <sz val="10"/>
      <color rgb="FF595959"/>
      <name val="Arial"/>
      <family val="0"/>
      <charset val="1"/>
    </font>
    <font>
      <b val="true"/>
      <sz val="9"/>
      <color rgb="FFB52026"/>
      <name val="Arial"/>
      <family val="0"/>
      <charset val="1"/>
    </font>
    <font>
      <sz val="9"/>
      <color rgb="FF0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304859"/>
        <bgColor rgb="FF595959"/>
      </patternFill>
    </fill>
    <fill>
      <patternFill patternType="solid">
        <fgColor rgb="FFFFF2CC"/>
        <bgColor rgb="FFFAF0C7"/>
      </patternFill>
    </fill>
    <fill>
      <patternFill patternType="solid">
        <fgColor rgb="FFD9D9D9"/>
        <bgColor rgb="FFF7E6E6"/>
      </patternFill>
    </fill>
    <fill>
      <patternFill patternType="solid">
        <fgColor rgb="FFFAF0C7"/>
        <bgColor rgb="FFFFF2CC"/>
      </patternFill>
    </fill>
    <fill>
      <patternFill patternType="solid">
        <fgColor rgb="FFF2F2F2"/>
        <bgColor rgb="FFEDEDED"/>
      </patternFill>
    </fill>
    <fill>
      <patternFill patternType="solid">
        <fgColor rgb="FF8EC33F"/>
        <bgColor rgb="FFA6A6A6"/>
      </patternFill>
    </fill>
    <fill>
      <patternFill patternType="solid">
        <fgColor rgb="FFFCAF19"/>
        <bgColor rgb="FFFFCC00"/>
      </patternFill>
    </fill>
    <fill>
      <patternFill patternType="solid">
        <fgColor rgb="FFB52026"/>
        <bgColor rgb="FF993366"/>
      </patternFill>
    </fill>
    <fill>
      <patternFill patternType="solid">
        <fgColor rgb="FF7F7F7F"/>
        <bgColor rgb="FF595959"/>
      </patternFill>
    </fill>
    <fill>
      <patternFill patternType="solid">
        <fgColor rgb="FFEDEDED"/>
        <bgColor rgb="FFF2F2F2"/>
      </patternFill>
    </fill>
    <fill>
      <patternFill patternType="solid">
        <fgColor rgb="FFEEF6E2"/>
        <bgColor rgb="FFF2F2F2"/>
      </patternFill>
    </fill>
    <fill>
      <patternFill patternType="solid">
        <fgColor rgb="FFFFF3DC"/>
        <bgColor rgb="FFFFF2CC"/>
      </patternFill>
    </fill>
    <fill>
      <patternFill patternType="solid">
        <fgColor rgb="FFF7E6E6"/>
        <bgColor rgb="FFEDEDED"/>
      </patternFill>
    </fill>
    <fill>
      <patternFill patternType="solid">
        <fgColor rgb="FFFFFFFF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52026"/>
      </font>
    </dxf>
    <dxf>
      <border diagonalUp="false" diagonalDown="false">
        <left/>
        <right/>
        <top/>
        <bottom style="thick">
          <color rgb="FF304859"/>
        </bottom>
        <diagonal/>
      </border>
    </dxf>
    <dxf>
      <font>
        <name val="Arial"/>
        <charset val="1"/>
        <family val="0"/>
        <color rgb="FFBFBFB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EF6E2"/>
      <rgbColor rgb="FFFAF0C7"/>
      <rgbColor rgb="FFFFF3DC"/>
      <rgbColor rgb="FFFF99CC"/>
      <rgbColor rgb="FFCC99FF"/>
      <rgbColor rgb="FFF7E6E6"/>
      <rgbColor rgb="FF3366FF"/>
      <rgbColor rgb="FF33CCCC"/>
      <rgbColor rgb="FF8EC33F"/>
      <rgbColor rgb="FFFFCC00"/>
      <rgbColor rgb="FFFCAF19"/>
      <rgbColor rgb="FFFF6600"/>
      <rgbColor rgb="FF595959"/>
      <rgbColor rgb="FFA6A6A6"/>
      <rgbColor rgb="FF003366"/>
      <rgbColor rgb="FF339966"/>
      <rgbColor rgb="FF003300"/>
      <rgbColor rgb="FF333300"/>
      <rgbColor rgb="FFB52026"/>
      <rgbColor rgb="FF993366"/>
      <rgbColor rgb="FF333399"/>
      <rgbColor rgb="FF3048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U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1"/>
    <col collapsed="false" customWidth="true" hidden="false" outlineLevel="0" max="3" min="3" style="0" width="27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44"/>
    <col collapsed="false" customWidth="true" hidden="false" outlineLevel="0" max="14" min="14" style="0" width="3"/>
    <col collapsed="false" customWidth="true" hidden="false" outlineLevel="0" max="15" min="15" style="0" width="11"/>
    <col collapsed="false" customWidth="true" hidden="false" outlineLevel="0" max="21" min="16" style="0" width="12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3"/>
      <c r="D4" s="3"/>
      <c r="F4" s="3" t="s">
        <v>3</v>
      </c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B5" s="4" t="s">
        <v>4</v>
      </c>
      <c r="C5" s="5" t="n">
        <v>46296</v>
      </c>
      <c r="D5" s="5"/>
      <c r="F5" s="6" t="str">
        <f aca="false">"Scénario "&amp;$C$9&amp;" · campagne de "&amp;$C$6&amp;" mois"</f>
        <v>Scénario Équilibré · campagne de 2 mois</v>
      </c>
      <c r="G5" s="6"/>
      <c r="H5" s="6"/>
      <c r="I5" s="6"/>
      <c r="J5" s="6"/>
      <c r="K5" s="7" t="s">
        <v>5</v>
      </c>
      <c r="L5" s="7" t="s">
        <v>6</v>
      </c>
    </row>
    <row r="6" customFormat="false" ht="15" hidden="false" customHeight="false" outlineLevel="0" collapsed="false">
      <c r="B6" s="4" t="s">
        <v>7</v>
      </c>
      <c r="C6" s="8" t="n">
        <v>2</v>
      </c>
      <c r="D6" s="8"/>
      <c r="F6" s="9" t="s">
        <v>8</v>
      </c>
      <c r="G6" s="9"/>
      <c r="H6" s="9"/>
      <c r="I6" s="9"/>
      <c r="J6" s="9"/>
      <c r="K6" s="10" t="n">
        <f aca="false">IF($C$7="HT",CHOOSE($C$10,$Q$25,$S$25,$U$25)/$C$6,CHOOSE($C$10,$Q$25,$S$25,$U$25)/$C$6/(1+$C$8))</f>
        <v>595</v>
      </c>
      <c r="L6" s="10" t="n">
        <f aca="false">IF($C$7="HT",CHOOSE($C$10,$Q$25,$S$25,$U$25)/$C$6*(1+$C$8),CHOOSE($C$10,$Q$25,$S$25,$U$25)/$C$6)</f>
        <v>714</v>
      </c>
    </row>
    <row r="7" customFormat="false" ht="15" hidden="false" customHeight="false" outlineLevel="0" collapsed="false">
      <c r="B7" s="4" t="s">
        <v>9</v>
      </c>
      <c r="C7" s="11" t="s">
        <v>5</v>
      </c>
      <c r="D7" s="11"/>
      <c r="F7" s="12" t="s">
        <v>10</v>
      </c>
      <c r="G7" s="12"/>
      <c r="H7" s="12"/>
      <c r="I7" s="12"/>
      <c r="J7" s="12"/>
      <c r="K7" s="13" t="n">
        <f aca="false">IF($C$7="HT",CHOOSE($C$10,$P$25,$R$25,$T$25),CHOOSE($C$10,$P$25,$R$25,$T$25)/(1+$C$8))</f>
        <v>740</v>
      </c>
      <c r="L7" s="13" t="n">
        <f aca="false">IF($C$7="HT",CHOOSE($C$10,$P$25,$R$25,$T$25)*(1+$C$8),CHOOSE($C$10,$P$25,$R$25,$T$25))</f>
        <v>888</v>
      </c>
    </row>
    <row r="8" customFormat="false" ht="15" hidden="false" customHeight="false" outlineLevel="0" collapsed="false">
      <c r="B8" s="4" t="s">
        <v>11</v>
      </c>
      <c r="C8" s="14" t="n">
        <v>0.2</v>
      </c>
      <c r="D8" s="14"/>
      <c r="F8" s="12" t="s">
        <v>12</v>
      </c>
      <c r="G8" s="12"/>
      <c r="H8" s="12"/>
      <c r="I8" s="12"/>
      <c r="J8" s="12"/>
      <c r="K8" s="13" t="n">
        <f aca="false">IF($C$7="HT",CHOOSE($C$10,$Q$25,$S$25,$U$25),CHOOSE($C$10,$Q$25,$S$25,$U$25)/(1+$C$8))</f>
        <v>1190</v>
      </c>
      <c r="L8" s="13" t="n">
        <f aca="false">IF($C$7="HT",CHOOSE($C$10,$Q$25,$S$25,$U$25)*(1+$C$8),CHOOSE($C$10,$Q$25,$S$25,$U$25))</f>
        <v>1428</v>
      </c>
    </row>
    <row r="9" customFormat="false" ht="15" hidden="false" customHeight="false" outlineLevel="0" collapsed="false">
      <c r="B9" s="4" t="s">
        <v>13</v>
      </c>
      <c r="C9" s="15" t="s">
        <v>14</v>
      </c>
      <c r="D9" s="15"/>
      <c r="F9" s="12" t="s">
        <v>15</v>
      </c>
      <c r="G9" s="12"/>
      <c r="H9" s="12"/>
      <c r="I9" s="12"/>
      <c r="J9" s="12"/>
      <c r="K9" s="16" t="str">
        <f aca="false">COUNTIF($O$13:$O$24,"&gt;0")&amp;" ("&amp;CHOOSE($C$10,$G$25,$I$25,$K$25)&amp;")"</f>
        <v>10 (4)</v>
      </c>
      <c r="L9" s="16"/>
    </row>
    <row r="10" customFormat="false" ht="15" hidden="true" customHeight="false" outlineLevel="0" collapsed="false">
      <c r="B10" s="17" t="s">
        <v>16</v>
      </c>
      <c r="C10" s="18" t="n">
        <f aca="false">MATCH($C$9,$B$29:$B$31,0)</f>
        <v>2</v>
      </c>
    </row>
    <row r="11" customFormat="false" ht="15" hidden="false" customHeight="false" outlineLevel="0" collapsed="false">
      <c r="B11" s="3" t="s">
        <v>17</v>
      </c>
      <c r="C11" s="3"/>
      <c r="D11" s="3"/>
      <c r="E11" s="3"/>
      <c r="F11" s="3"/>
      <c r="G11" s="19" t="s">
        <v>18</v>
      </c>
      <c r="H11" s="19"/>
      <c r="I11" s="20" t="s">
        <v>19</v>
      </c>
      <c r="J11" s="20"/>
      <c r="K11" s="21" t="s">
        <v>20</v>
      </c>
      <c r="L11" s="21"/>
      <c r="M11" s="22" t="s">
        <v>21</v>
      </c>
      <c r="O11" s="23" t="s">
        <v>22</v>
      </c>
      <c r="P11" s="23"/>
      <c r="Q11" s="23"/>
      <c r="R11" s="23"/>
      <c r="S11" s="23"/>
      <c r="T11" s="23"/>
      <c r="U11" s="23"/>
    </row>
    <row r="12" customFormat="false" ht="30" hidden="false" customHeight="true" outlineLevel="0" collapsed="false">
      <c r="B12" s="24" t="s">
        <v>23</v>
      </c>
      <c r="C12" s="24" t="s">
        <v>24</v>
      </c>
      <c r="D12" s="24" t="s">
        <v>25</v>
      </c>
      <c r="E12" s="24" t="s">
        <v>26</v>
      </c>
      <c r="F12" s="24" t="s">
        <v>27</v>
      </c>
      <c r="G12" s="24" t="s">
        <v>28</v>
      </c>
      <c r="H12" s="24" t="s">
        <v>29</v>
      </c>
      <c r="I12" s="24" t="s">
        <v>28</v>
      </c>
      <c r="J12" s="24" t="s">
        <v>29</v>
      </c>
      <c r="K12" s="24" t="s">
        <v>28</v>
      </c>
      <c r="L12" s="24" t="s">
        <v>29</v>
      </c>
      <c r="M12" s="24"/>
      <c r="O12" s="25" t="s">
        <v>30</v>
      </c>
      <c r="P12" s="25" t="s">
        <v>31</v>
      </c>
      <c r="Q12" s="25" t="s">
        <v>32</v>
      </c>
      <c r="R12" s="25" t="s">
        <v>33</v>
      </c>
      <c r="S12" s="25" t="s">
        <v>34</v>
      </c>
      <c r="T12" s="25" t="s">
        <v>35</v>
      </c>
      <c r="U12" s="25" t="s">
        <v>36</v>
      </c>
    </row>
    <row r="13" customFormat="false" ht="25.5" hidden="false" customHeight="true" outlineLevel="0" collapsed="false">
      <c r="B13" s="26" t="s">
        <v>37</v>
      </c>
      <c r="C13" s="26" t="s">
        <v>38</v>
      </c>
      <c r="D13" s="27" t="n">
        <v>290</v>
      </c>
      <c r="E13" s="11" t="s">
        <v>39</v>
      </c>
      <c r="F13" s="8" t="n">
        <v>2</v>
      </c>
      <c r="G13" s="8" t="n">
        <v>1</v>
      </c>
      <c r="H13" s="28" t="n">
        <f aca="false">IF(OR($G13="",N($G13)=0,$E13="",$E13="Gratuit"),0,IF($E13="Forfait",N($D13)/MAX(1,N($F13)),N($D13)*$G13))</f>
        <v>145</v>
      </c>
      <c r="I13" s="8" t="n">
        <v>1</v>
      </c>
      <c r="J13" s="28" t="n">
        <f aca="false">IF(OR($I13="",N($I13)=0,$E13="",$E13="Gratuit"),0,IF($E13="Forfait",N($D13)/MAX(1,N($F13)),N($D13)*$I13))</f>
        <v>145</v>
      </c>
      <c r="K13" s="8" t="n">
        <v>1</v>
      </c>
      <c r="L13" s="28" t="n">
        <f aca="false">IF(OR($K13="",N($K13)=0,$E13="",$E13="Gratuit"),0,IF($E13="Forfait",N($D13)/MAX(1,N($F13)),N($D13)*$K13))</f>
        <v>145</v>
      </c>
      <c r="M13" s="29" t="s">
        <v>40</v>
      </c>
      <c r="O13" s="30" t="n">
        <f aca="false">CHOOSE($C$10,G13,I13,K13)</f>
        <v>1</v>
      </c>
      <c r="P13" s="31" t="n">
        <f aca="false">IF(OR($G13="",N($G13)=0,$E13="",$E13="Gratuit"),0,IF($E13="Forfait",N($D13),N($D13)*$G13))</f>
        <v>290</v>
      </c>
      <c r="Q13" s="31" t="n">
        <f aca="false">IF(OR($G13="",N($G13)=0,$E13="",$E13="Gratuit"),0,IF($E13="Forfait",N($D13)*ROUNDUP($C$6/MAX(1,N($F13)),0),N($D13)*$G13*$C$6))</f>
        <v>290</v>
      </c>
      <c r="R13" s="31" t="n">
        <f aca="false">IF(OR($I13="",N($I13)=0,$E13="",$E13="Gratuit"),0,IF($E13="Forfait",N($D13),N($D13)*$I13))</f>
        <v>290</v>
      </c>
      <c r="S13" s="31" t="n">
        <f aca="false">IF(OR($I13="",N($I13)=0,$E13="",$E13="Gratuit"),0,IF($E13="Forfait",N($D13)*ROUNDUP($C$6/MAX(1,N($F13)),0),N($D13)*$I13*$C$6))</f>
        <v>290</v>
      </c>
      <c r="T13" s="31" t="n">
        <f aca="false">IF(OR($K13="",N($K13)=0,$E13="",$E13="Gratuit"),0,IF($E13="Forfait",N($D13),N($D13)*$K13))</f>
        <v>290</v>
      </c>
      <c r="U13" s="31" t="n">
        <f aca="false">IF(OR($K13="",N($K13)=0,$E13="",$E13="Gratuit"),0,IF($E13="Forfait",N($D13)*ROUNDUP($C$6/MAX(1,N($F13)),0),N($D13)*$K13*$C$6))</f>
        <v>290</v>
      </c>
    </row>
    <row r="14" customFormat="false" ht="25.5" hidden="false" customHeight="true" outlineLevel="0" collapsed="false">
      <c r="B14" s="26" t="s">
        <v>41</v>
      </c>
      <c r="C14" s="26" t="s">
        <v>42</v>
      </c>
      <c r="D14" s="27" t="n">
        <v>0</v>
      </c>
      <c r="E14" s="11" t="s">
        <v>43</v>
      </c>
      <c r="F14" s="8"/>
      <c r="G14" s="8" t="n">
        <v>1</v>
      </c>
      <c r="H14" s="28" t="n">
        <f aca="false">IF(OR($G14="",N($G14)=0,$E14="",$E14="Gratuit"),0,IF($E14="Forfait",N($D14)/MAX(1,N($F14)),N($D14)*$G14))</f>
        <v>0</v>
      </c>
      <c r="I14" s="8" t="n">
        <v>1</v>
      </c>
      <c r="J14" s="28" t="n">
        <f aca="false">IF(OR($I14="",N($I14)=0,$E14="",$E14="Gratuit"),0,IF($E14="Forfait",N($D14)/MAX(1,N($F14)),N($D14)*$I14))</f>
        <v>0</v>
      </c>
      <c r="K14" s="8" t="n">
        <v>1</v>
      </c>
      <c r="L14" s="28" t="n">
        <f aca="false">IF(OR($K14="",N($K14)=0,$E14="",$E14="Gratuit"),0,IF($E14="Forfait",N($D14)/MAX(1,N($F14)),N($D14)*$K14))</f>
        <v>0</v>
      </c>
      <c r="M14" s="29" t="s">
        <v>44</v>
      </c>
      <c r="O14" s="30" t="n">
        <f aca="false">CHOOSE($C$10,G14,I14,K14)</f>
        <v>1</v>
      </c>
      <c r="P14" s="31" t="n">
        <f aca="false">IF(OR($G14="",N($G14)=0,$E14="",$E14="Gratuit"),0,IF($E14="Forfait",N($D14),N($D14)*$G14))</f>
        <v>0</v>
      </c>
      <c r="Q14" s="31" t="n">
        <f aca="false">IF(OR($G14="",N($G14)=0,$E14="",$E14="Gratuit"),0,IF($E14="Forfait",N($D14)*ROUNDUP($C$6/MAX(1,N($F14)),0),N($D14)*$G14*$C$6))</f>
        <v>0</v>
      </c>
      <c r="R14" s="31" t="n">
        <f aca="false">IF(OR($I14="",N($I14)=0,$E14="",$E14="Gratuit"),0,IF($E14="Forfait",N($D14),N($D14)*$I14))</f>
        <v>0</v>
      </c>
      <c r="S14" s="31" t="n">
        <f aca="false">IF(OR($I14="",N($I14)=0,$E14="",$E14="Gratuit"),0,IF($E14="Forfait",N($D14)*ROUNDUP($C$6/MAX(1,N($F14)),0),N($D14)*$I14*$C$6))</f>
        <v>0</v>
      </c>
      <c r="T14" s="31" t="n">
        <f aca="false">IF(OR($K14="",N($K14)=0,$E14="",$E14="Gratuit"),0,IF($E14="Forfait",N($D14),N($D14)*$K14))</f>
        <v>0</v>
      </c>
      <c r="U14" s="31" t="n">
        <f aca="false">IF(OR($K14="",N($K14)=0,$E14="",$E14="Gratuit"),0,IF($E14="Forfait",N($D14)*ROUNDUP($C$6/MAX(1,N($F14)),0),N($D14)*$K14*$C$6))</f>
        <v>0</v>
      </c>
    </row>
    <row r="15" customFormat="false" ht="25.5" hidden="false" customHeight="true" outlineLevel="0" collapsed="false">
      <c r="B15" s="26" t="s">
        <v>45</v>
      </c>
      <c r="C15" s="26" t="s">
        <v>46</v>
      </c>
      <c r="D15" s="27" t="n">
        <v>0</v>
      </c>
      <c r="E15" s="11" t="s">
        <v>43</v>
      </c>
      <c r="F15" s="8"/>
      <c r="G15" s="8" t="n">
        <v>1</v>
      </c>
      <c r="H15" s="28" t="n">
        <f aca="false">IF(OR($G15="",N($G15)=0,$E15="",$E15="Gratuit"),0,IF($E15="Forfait",N($D15)/MAX(1,N($F15)),N($D15)*$G15))</f>
        <v>0</v>
      </c>
      <c r="I15" s="8" t="n">
        <v>1</v>
      </c>
      <c r="J15" s="28" t="n">
        <f aca="false">IF(OR($I15="",N($I15)=0,$E15="",$E15="Gratuit"),0,IF($E15="Forfait",N($D15)/MAX(1,N($F15)),N($D15)*$I15))</f>
        <v>0</v>
      </c>
      <c r="K15" s="8" t="n">
        <v>1</v>
      </c>
      <c r="L15" s="28" t="n">
        <f aca="false">IF(OR($K15="",N($K15)=0,$E15="",$E15="Gratuit"),0,IF($E15="Forfait",N($D15)/MAX(1,N($F15)),N($D15)*$K15))</f>
        <v>0</v>
      </c>
      <c r="M15" s="29" t="s">
        <v>47</v>
      </c>
      <c r="O15" s="30" t="n">
        <f aca="false">CHOOSE($C$10,G15,I15,K15)</f>
        <v>1</v>
      </c>
      <c r="P15" s="31" t="n">
        <f aca="false">IF(OR($G15="",N($G15)=0,$E15="",$E15="Gratuit"),0,IF($E15="Forfait",N($D15),N($D15)*$G15))</f>
        <v>0</v>
      </c>
      <c r="Q15" s="31" t="n">
        <f aca="false">IF(OR($G15="",N($G15)=0,$E15="",$E15="Gratuit"),0,IF($E15="Forfait",N($D15)*ROUNDUP($C$6/MAX(1,N($F15)),0),N($D15)*$G15*$C$6))</f>
        <v>0</v>
      </c>
      <c r="R15" s="31" t="n">
        <f aca="false">IF(OR($I15="",N($I15)=0,$E15="",$E15="Gratuit"),0,IF($E15="Forfait",N($D15),N($D15)*$I15))</f>
        <v>0</v>
      </c>
      <c r="S15" s="31" t="n">
        <f aca="false">IF(OR($I15="",N($I15)=0,$E15="",$E15="Gratuit"),0,IF($E15="Forfait",N($D15)*ROUNDUP($C$6/MAX(1,N($F15)),0),N($D15)*$I15*$C$6))</f>
        <v>0</v>
      </c>
      <c r="T15" s="31" t="n">
        <f aca="false">IF(OR($K15="",N($K15)=0,$E15="",$E15="Gratuit"),0,IF($E15="Forfait",N($D15),N($D15)*$K15))</f>
        <v>0</v>
      </c>
      <c r="U15" s="31" t="n">
        <f aca="false">IF(OR($K15="",N($K15)=0,$E15="",$E15="Gratuit"),0,IF($E15="Forfait",N($D15)*ROUNDUP($C$6/MAX(1,N($F15)),0),N($D15)*$K15*$C$6))</f>
        <v>0</v>
      </c>
    </row>
    <row r="16" customFormat="false" ht="25.5" hidden="false" customHeight="true" outlineLevel="0" collapsed="false">
      <c r="B16" s="26" t="s">
        <v>45</v>
      </c>
      <c r="C16" s="26" t="s">
        <v>48</v>
      </c>
      <c r="D16" s="27" t="n">
        <v>10</v>
      </c>
      <c r="E16" s="11" t="s">
        <v>49</v>
      </c>
      <c r="F16" s="8"/>
      <c r="G16" s="8" t="n">
        <v>0</v>
      </c>
      <c r="H16" s="28" t="n">
        <f aca="false">IF(OR($G16="",N($G16)=0,$E16="",$E16="Gratuit"),0,IF($E16="Forfait",N($D16)/MAX(1,N($F16)),N($D16)*$G16))</f>
        <v>0</v>
      </c>
      <c r="I16" s="8" t="n">
        <v>15</v>
      </c>
      <c r="J16" s="28" t="n">
        <f aca="false">IF(OR($I16="",N($I16)=0,$E16="",$E16="Gratuit"),0,IF($E16="Forfait",N($D16)/MAX(1,N($F16)),N($D16)*$I16))</f>
        <v>150</v>
      </c>
      <c r="K16" s="8" t="n">
        <v>30</v>
      </c>
      <c r="L16" s="28" t="n">
        <f aca="false">IF(OR($K16="",N($K16)=0,$E16="",$E16="Gratuit"),0,IF($E16="Forfait",N($D16)/MAX(1,N($F16)),N($D16)*$K16))</f>
        <v>300</v>
      </c>
      <c r="M16" s="29" t="s">
        <v>50</v>
      </c>
      <c r="O16" s="30" t="n">
        <f aca="false">CHOOSE($C$10,G16,I16,K16)</f>
        <v>15</v>
      </c>
      <c r="P16" s="31" t="n">
        <f aca="false">IF(OR($G16="",N($G16)=0,$E16="",$E16="Gratuit"),0,IF($E16="Forfait",N($D16),N($D16)*$G16))</f>
        <v>0</v>
      </c>
      <c r="Q16" s="31" t="n">
        <f aca="false">IF(OR($G16="",N($G16)=0,$E16="",$E16="Gratuit"),0,IF($E16="Forfait",N($D16)*ROUNDUP($C$6/MAX(1,N($F16)),0),N($D16)*$G16*$C$6))</f>
        <v>0</v>
      </c>
      <c r="R16" s="31" t="n">
        <f aca="false">IF(OR($I16="",N($I16)=0,$E16="",$E16="Gratuit"),0,IF($E16="Forfait",N($D16),N($D16)*$I16))</f>
        <v>150</v>
      </c>
      <c r="S16" s="31" t="n">
        <f aca="false">IF(OR($I16="",N($I16)=0,$E16="",$E16="Gratuit"),0,IF($E16="Forfait",N($D16)*ROUNDUP($C$6/MAX(1,N($F16)),0),N($D16)*$I16*$C$6))</f>
        <v>300</v>
      </c>
      <c r="T16" s="31" t="n">
        <f aca="false">IF(OR($K16="",N($K16)=0,$E16="",$E16="Gratuit"),0,IF($E16="Forfait",N($D16),N($D16)*$K16))</f>
        <v>300</v>
      </c>
      <c r="U16" s="31" t="n">
        <f aca="false">IF(OR($K16="",N($K16)=0,$E16="",$E16="Gratuit"),0,IF($E16="Forfait",N($D16)*ROUNDUP($C$6/MAX(1,N($F16)),0),N($D16)*$K16*$C$6))</f>
        <v>600</v>
      </c>
    </row>
    <row r="17" customFormat="false" ht="25.5" hidden="false" customHeight="true" outlineLevel="0" collapsed="false">
      <c r="B17" s="26" t="s">
        <v>51</v>
      </c>
      <c r="C17" s="26" t="s">
        <v>52</v>
      </c>
      <c r="D17" s="27" t="n">
        <v>100</v>
      </c>
      <c r="E17" s="11" t="s">
        <v>53</v>
      </c>
      <c r="F17" s="8"/>
      <c r="G17" s="8" t="n">
        <v>0</v>
      </c>
      <c r="H17" s="28" t="n">
        <f aca="false">IF(OR($G17="",N($G17)=0,$E17="",$E17="Gratuit"),0,IF($E17="Forfait",N($D17)/MAX(1,N($F17)),N($D17)*$G17))</f>
        <v>0</v>
      </c>
      <c r="I17" s="8" t="n">
        <v>2</v>
      </c>
      <c r="J17" s="28" t="n">
        <f aca="false">IF(OR($I17="",N($I17)=0,$E17="",$E17="Gratuit"),0,IF($E17="Forfait",N($D17)/MAX(1,N($F17)),N($D17)*$I17))</f>
        <v>200</v>
      </c>
      <c r="K17" s="8" t="n">
        <v>4</v>
      </c>
      <c r="L17" s="28" t="n">
        <f aca="false">IF(OR($K17="",N($K17)=0,$E17="",$E17="Gratuit"),0,IF($E17="Forfait",N($D17)/MAX(1,N($F17)),N($D17)*$K17))</f>
        <v>400</v>
      </c>
      <c r="M17" s="29" t="s">
        <v>54</v>
      </c>
      <c r="O17" s="30" t="n">
        <f aca="false">CHOOSE($C$10,G17,I17,K17)</f>
        <v>2</v>
      </c>
      <c r="P17" s="31" t="n">
        <f aca="false">IF(OR($G17="",N($G17)=0,$E17="",$E17="Gratuit"),0,IF($E17="Forfait",N($D17),N($D17)*$G17))</f>
        <v>0</v>
      </c>
      <c r="Q17" s="31" t="n">
        <f aca="false">IF(OR($G17="",N($G17)=0,$E17="",$E17="Gratuit"),0,IF($E17="Forfait",N($D17)*ROUNDUP($C$6/MAX(1,N($F17)),0),N($D17)*$G17*$C$6))</f>
        <v>0</v>
      </c>
      <c r="R17" s="31" t="n">
        <f aca="false">IF(OR($I17="",N($I17)=0,$E17="",$E17="Gratuit"),0,IF($E17="Forfait",N($D17),N($D17)*$I17))</f>
        <v>200</v>
      </c>
      <c r="S17" s="31" t="n">
        <f aca="false">IF(OR($I17="",N($I17)=0,$E17="",$E17="Gratuit"),0,IF($E17="Forfait",N($D17)*ROUNDUP($C$6/MAX(1,N($F17)),0),N($D17)*$I17*$C$6))</f>
        <v>400</v>
      </c>
      <c r="T17" s="31" t="n">
        <f aca="false">IF(OR($K17="",N($K17)=0,$E17="",$E17="Gratuit"),0,IF($E17="Forfait",N($D17),N($D17)*$K17))</f>
        <v>400</v>
      </c>
      <c r="U17" s="31" t="n">
        <f aca="false">IF(OR($K17="",N($K17)=0,$E17="",$E17="Gratuit"),0,IF($E17="Forfait",N($D17)*ROUNDUP($C$6/MAX(1,N($F17)),0),N($D17)*$K17*$C$6))</f>
        <v>800</v>
      </c>
    </row>
    <row r="18" customFormat="false" ht="25.5" hidden="false" customHeight="true" outlineLevel="0" collapsed="false">
      <c r="B18" s="26" t="s">
        <v>55</v>
      </c>
      <c r="C18" s="26" t="s">
        <v>46</v>
      </c>
      <c r="D18" s="27" t="n">
        <v>0</v>
      </c>
      <c r="E18" s="11" t="s">
        <v>43</v>
      </c>
      <c r="F18" s="8"/>
      <c r="G18" s="8" t="n">
        <v>1</v>
      </c>
      <c r="H18" s="28" t="n">
        <f aca="false">IF(OR($G18="",N($G18)=0,$E18="",$E18="Gratuit"),0,IF($E18="Forfait",N($D18)/MAX(1,N($F18)),N($D18)*$G18))</f>
        <v>0</v>
      </c>
      <c r="I18" s="8" t="n">
        <v>1</v>
      </c>
      <c r="J18" s="28" t="n">
        <f aca="false">IF(OR($I18="",N($I18)=0,$E18="",$E18="Gratuit"),0,IF($E18="Forfait",N($D18)/MAX(1,N($F18)),N($D18)*$I18))</f>
        <v>0</v>
      </c>
      <c r="K18" s="8" t="n">
        <v>1</v>
      </c>
      <c r="L18" s="28" t="n">
        <f aca="false">IF(OR($K18="",N($K18)=0,$E18="",$E18="Gratuit"),0,IF($E18="Forfait",N($D18)/MAX(1,N($F18)),N($D18)*$K18))</f>
        <v>0</v>
      </c>
      <c r="M18" s="29"/>
      <c r="O18" s="30" t="n">
        <f aca="false">CHOOSE($C$10,G18,I18,K18)</f>
        <v>1</v>
      </c>
      <c r="P18" s="31" t="n">
        <f aca="false">IF(OR($G18="",N($G18)=0,$E18="",$E18="Gratuit"),0,IF($E18="Forfait",N($D18),N($D18)*$G18))</f>
        <v>0</v>
      </c>
      <c r="Q18" s="31" t="n">
        <f aca="false">IF(OR($G18="",N($G18)=0,$E18="",$E18="Gratuit"),0,IF($E18="Forfait",N($D18)*ROUNDUP($C$6/MAX(1,N($F18)),0),N($D18)*$G18*$C$6))</f>
        <v>0</v>
      </c>
      <c r="R18" s="31" t="n">
        <f aca="false">IF(OR($I18="",N($I18)=0,$E18="",$E18="Gratuit"),0,IF($E18="Forfait",N($D18),N($D18)*$I18))</f>
        <v>0</v>
      </c>
      <c r="S18" s="31" t="n">
        <f aca="false">IF(OR($I18="",N($I18)=0,$E18="",$E18="Gratuit"),0,IF($E18="Forfait",N($D18)*ROUNDUP($C$6/MAX(1,N($F18)),0),N($D18)*$I18*$C$6))</f>
        <v>0</v>
      </c>
      <c r="T18" s="31" t="n">
        <f aca="false">IF(OR($K18="",N($K18)=0,$E18="",$E18="Gratuit"),0,IF($E18="Forfait",N($D18),N($D18)*$K18))</f>
        <v>0</v>
      </c>
      <c r="U18" s="31" t="n">
        <f aca="false">IF(OR($K18="",N($K18)=0,$E18="",$E18="Gratuit"),0,IF($E18="Forfait",N($D18)*ROUNDUP($C$6/MAX(1,N($F18)),0),N($D18)*$K18*$C$6))</f>
        <v>0</v>
      </c>
    </row>
    <row r="19" customFormat="false" ht="25.5" hidden="false" customHeight="true" outlineLevel="0" collapsed="false">
      <c r="B19" s="26" t="s">
        <v>56</v>
      </c>
      <c r="C19" s="26" t="s">
        <v>57</v>
      </c>
      <c r="D19" s="27" t="n">
        <v>0</v>
      </c>
      <c r="E19" s="11" t="s">
        <v>43</v>
      </c>
      <c r="F19" s="8"/>
      <c r="G19" s="8" t="n">
        <v>1</v>
      </c>
      <c r="H19" s="28" t="n">
        <f aca="false">IF(OR($G19="",N($G19)=0,$E19="",$E19="Gratuit"),0,IF($E19="Forfait",N($D19)/MAX(1,N($F19)),N($D19)*$G19))</f>
        <v>0</v>
      </c>
      <c r="I19" s="8" t="n">
        <v>1</v>
      </c>
      <c r="J19" s="28" t="n">
        <f aca="false">IF(OR($I19="",N($I19)=0,$E19="",$E19="Gratuit"),0,IF($E19="Forfait",N($D19)/MAX(1,N($F19)),N($D19)*$I19))</f>
        <v>0</v>
      </c>
      <c r="K19" s="8" t="n">
        <v>1</v>
      </c>
      <c r="L19" s="28" t="n">
        <f aca="false">IF(OR($K19="",N($K19)=0,$E19="",$E19="Gratuit"),0,IF($E19="Forfait",N($D19)/MAX(1,N($F19)),N($D19)*$K19))</f>
        <v>0</v>
      </c>
      <c r="M19" s="29" t="s">
        <v>58</v>
      </c>
      <c r="O19" s="30" t="n">
        <f aca="false">CHOOSE($C$10,G19,I19,K19)</f>
        <v>1</v>
      </c>
      <c r="P19" s="31" t="n">
        <f aca="false">IF(OR($G19="",N($G19)=0,$E19="",$E19="Gratuit"),0,IF($E19="Forfait",N($D19),N($D19)*$G19))</f>
        <v>0</v>
      </c>
      <c r="Q19" s="31" t="n">
        <f aca="false">IF(OR($G19="",N($G19)=0,$E19="",$E19="Gratuit"),0,IF($E19="Forfait",N($D19)*ROUNDUP($C$6/MAX(1,N($F19)),0),N($D19)*$G19*$C$6))</f>
        <v>0</v>
      </c>
      <c r="R19" s="31" t="n">
        <f aca="false">IF(OR($I19="",N($I19)=0,$E19="",$E19="Gratuit"),0,IF($E19="Forfait",N($D19),N($D19)*$I19))</f>
        <v>0</v>
      </c>
      <c r="S19" s="31" t="n">
        <f aca="false">IF(OR($I19="",N($I19)=0,$E19="",$E19="Gratuit"),0,IF($E19="Forfait",N($D19)*ROUNDUP($C$6/MAX(1,N($F19)),0),N($D19)*$I19*$C$6))</f>
        <v>0</v>
      </c>
      <c r="T19" s="31" t="n">
        <f aca="false">IF(OR($K19="",N($K19)=0,$E19="",$E19="Gratuit"),0,IF($E19="Forfait",N($D19),N($D19)*$K19))</f>
        <v>0</v>
      </c>
      <c r="U19" s="31" t="n">
        <f aca="false">IF(OR($K19="",N($K19)=0,$E19="",$E19="Gratuit"),0,IF($E19="Forfait",N($D19)*ROUNDUP($C$6/MAX(1,N($F19)),0),N($D19)*$K19*$C$6))</f>
        <v>0</v>
      </c>
    </row>
    <row r="20" customFormat="false" ht="25.5" hidden="false" customHeight="true" outlineLevel="0" collapsed="false">
      <c r="B20" s="26" t="s">
        <v>59</v>
      </c>
      <c r="C20" s="26" t="s">
        <v>46</v>
      </c>
      <c r="D20" s="27" t="n">
        <v>0</v>
      </c>
      <c r="E20" s="11" t="s">
        <v>43</v>
      </c>
      <c r="F20" s="8"/>
      <c r="G20" s="8" t="n">
        <v>1</v>
      </c>
      <c r="H20" s="28" t="n">
        <f aca="false">IF(OR($G20="",N($G20)=0,$E20="",$E20="Gratuit"),0,IF($E20="Forfait",N($D20)/MAX(1,N($F20)),N($D20)*$G20))</f>
        <v>0</v>
      </c>
      <c r="I20" s="8" t="n">
        <v>1</v>
      </c>
      <c r="J20" s="28" t="n">
        <f aca="false">IF(OR($I20="",N($I20)=0,$E20="",$E20="Gratuit"),0,IF($E20="Forfait",N($D20)/MAX(1,N($F20)),N($D20)*$I20))</f>
        <v>0</v>
      </c>
      <c r="K20" s="8" t="n">
        <v>1</v>
      </c>
      <c r="L20" s="28" t="n">
        <f aca="false">IF(OR($K20="",N($K20)=0,$E20="",$E20="Gratuit"),0,IF($E20="Forfait",N($D20)/MAX(1,N($F20)),N($D20)*$K20))</f>
        <v>0</v>
      </c>
      <c r="M20" s="29" t="s">
        <v>60</v>
      </c>
      <c r="O20" s="30" t="n">
        <f aca="false">CHOOSE($C$10,G20,I20,K20)</f>
        <v>1</v>
      </c>
      <c r="P20" s="31" t="n">
        <f aca="false">IF(OR($G20="",N($G20)=0,$E20="",$E20="Gratuit"),0,IF($E20="Forfait",N($D20),N($D20)*$G20))</f>
        <v>0</v>
      </c>
      <c r="Q20" s="31" t="n">
        <f aca="false">IF(OR($G20="",N($G20)=0,$E20="",$E20="Gratuit"),0,IF($E20="Forfait",N($D20)*ROUNDUP($C$6/MAX(1,N($F20)),0),N($D20)*$G20*$C$6))</f>
        <v>0</v>
      </c>
      <c r="R20" s="31" t="n">
        <f aca="false">IF(OR($I20="",N($I20)=0,$E20="",$E20="Gratuit"),0,IF($E20="Forfait",N($D20),N($D20)*$I20))</f>
        <v>0</v>
      </c>
      <c r="S20" s="31" t="n">
        <f aca="false">IF(OR($I20="",N($I20)=0,$E20="",$E20="Gratuit"),0,IF($E20="Forfait",N($D20)*ROUNDUP($C$6/MAX(1,N($F20)),0),N($D20)*$I20*$C$6))</f>
        <v>0</v>
      </c>
      <c r="T20" s="31" t="n">
        <f aca="false">IF(OR($K20="",N($K20)=0,$E20="",$E20="Gratuit"),0,IF($E20="Forfait",N($D20),N($D20)*$K20))</f>
        <v>0</v>
      </c>
      <c r="U20" s="31" t="n">
        <f aca="false">IF(OR($K20="",N($K20)=0,$E20="",$E20="Gratuit"),0,IF($E20="Forfait",N($D20)*ROUNDUP($C$6/MAX(1,N($F20)),0),N($D20)*$K20*$C$6))</f>
        <v>0</v>
      </c>
    </row>
    <row r="21" customFormat="false" ht="25.5" hidden="false" customHeight="true" outlineLevel="0" collapsed="false">
      <c r="B21" s="26" t="s">
        <v>61</v>
      </c>
      <c r="C21" s="26" t="s">
        <v>46</v>
      </c>
      <c r="D21" s="27" t="n">
        <v>0</v>
      </c>
      <c r="E21" s="11" t="s">
        <v>43</v>
      </c>
      <c r="F21" s="8"/>
      <c r="G21" s="8" t="n">
        <v>1</v>
      </c>
      <c r="H21" s="28" t="n">
        <f aca="false">IF(OR($G21="",N($G21)=0,$E21="",$E21="Gratuit"),0,IF($E21="Forfait",N($D21)/MAX(1,N($F21)),N($D21)*$G21))</f>
        <v>0</v>
      </c>
      <c r="I21" s="8" t="n">
        <v>1</v>
      </c>
      <c r="J21" s="28" t="n">
        <f aca="false">IF(OR($I21="",N($I21)=0,$E21="",$E21="Gratuit"),0,IF($E21="Forfait",N($D21)/MAX(1,N($F21)),N($D21)*$I21))</f>
        <v>0</v>
      </c>
      <c r="K21" s="8" t="n">
        <v>1</v>
      </c>
      <c r="L21" s="28" t="n">
        <f aca="false">IF(OR($K21="",N($K21)=0,$E21="",$E21="Gratuit"),0,IF($E21="Forfait",N($D21)/MAX(1,N($F21)),N($D21)*$K21))</f>
        <v>0</v>
      </c>
      <c r="M21" s="29" t="s">
        <v>62</v>
      </c>
      <c r="O21" s="30" t="n">
        <f aca="false">CHOOSE($C$10,G21,I21,K21)</f>
        <v>1</v>
      </c>
      <c r="P21" s="31" t="n">
        <f aca="false">IF(OR($G21="",N($G21)=0,$E21="",$E21="Gratuit"),0,IF($E21="Forfait",N($D21),N($D21)*$G21))</f>
        <v>0</v>
      </c>
      <c r="Q21" s="31" t="n">
        <f aca="false">IF(OR($G21="",N($G21)=0,$E21="",$E21="Gratuit"),0,IF($E21="Forfait",N($D21)*ROUNDUP($C$6/MAX(1,N($F21)),0),N($D21)*$G21*$C$6))</f>
        <v>0</v>
      </c>
      <c r="R21" s="31" t="n">
        <f aca="false">IF(OR($I21="",N($I21)=0,$E21="",$E21="Gratuit"),0,IF($E21="Forfait",N($D21),N($D21)*$I21))</f>
        <v>0</v>
      </c>
      <c r="S21" s="31" t="n">
        <f aca="false">IF(OR($I21="",N($I21)=0,$E21="",$E21="Gratuit"),0,IF($E21="Forfait",N($D21)*ROUNDUP($C$6/MAX(1,N($F21)),0),N($D21)*$I21*$C$6))</f>
        <v>0</v>
      </c>
      <c r="T21" s="31" t="n">
        <f aca="false">IF(OR($K21="",N($K21)=0,$E21="",$E21="Gratuit"),0,IF($E21="Forfait",N($D21),N($D21)*$K21))</f>
        <v>0</v>
      </c>
      <c r="U21" s="31" t="n">
        <f aca="false">IF(OR($K21="",N($K21)=0,$E21="",$E21="Gratuit"),0,IF($E21="Forfait",N($D21)*ROUNDUP($C$6/MAX(1,N($F21)),0),N($D21)*$K21*$C$6))</f>
        <v>0</v>
      </c>
    </row>
    <row r="22" customFormat="false" ht="25.5" hidden="false" customHeight="true" outlineLevel="0" collapsed="false">
      <c r="B22" s="26" t="s">
        <v>63</v>
      </c>
      <c r="C22" s="26" t="s">
        <v>64</v>
      </c>
      <c r="D22" s="27" t="n">
        <v>10</v>
      </c>
      <c r="E22" s="11" t="s">
        <v>49</v>
      </c>
      <c r="F22" s="8"/>
      <c r="G22" s="8" t="n">
        <v>0</v>
      </c>
      <c r="H22" s="28" t="n">
        <f aca="false">IF(OR($G22="",N($G22)=0,$E22="",$E22="Gratuit"),0,IF($E22="Forfait",N($D22)/MAX(1,N($F22)),N($D22)*$G22))</f>
        <v>0</v>
      </c>
      <c r="I22" s="8" t="n">
        <v>10</v>
      </c>
      <c r="J22" s="28" t="n">
        <f aca="false">IF(OR($I22="",N($I22)=0,$E22="",$E22="Gratuit"),0,IF($E22="Forfait",N($D22)/MAX(1,N($F22)),N($D22)*$I22))</f>
        <v>100</v>
      </c>
      <c r="K22" s="8" t="n">
        <v>30</v>
      </c>
      <c r="L22" s="28" t="n">
        <f aca="false">IF(OR($K22="",N($K22)=0,$E22="",$E22="Gratuit"),0,IF($E22="Forfait",N($D22)/MAX(1,N($F22)),N($D22)*$K22))</f>
        <v>300</v>
      </c>
      <c r="M22" s="29" t="s">
        <v>50</v>
      </c>
      <c r="O22" s="30" t="n">
        <f aca="false">CHOOSE($C$10,G22,I22,K22)</f>
        <v>10</v>
      </c>
      <c r="P22" s="31" t="n">
        <f aca="false">IF(OR($G22="",N($G22)=0,$E22="",$E22="Gratuit"),0,IF($E22="Forfait",N($D22),N($D22)*$G22))</f>
        <v>0</v>
      </c>
      <c r="Q22" s="31" t="n">
        <f aca="false">IF(OR($G22="",N($G22)=0,$E22="",$E22="Gratuit"),0,IF($E22="Forfait",N($D22)*ROUNDUP($C$6/MAX(1,N($F22)),0),N($D22)*$G22*$C$6))</f>
        <v>0</v>
      </c>
      <c r="R22" s="31" t="n">
        <f aca="false">IF(OR($I22="",N($I22)=0,$E22="",$E22="Gratuit"),0,IF($E22="Forfait",N($D22),N($D22)*$I22))</f>
        <v>100</v>
      </c>
      <c r="S22" s="31" t="n">
        <f aca="false">IF(OR($I22="",N($I22)=0,$E22="",$E22="Gratuit"),0,IF($E22="Forfait",N($D22)*ROUNDUP($C$6/MAX(1,N($F22)),0),N($D22)*$I22*$C$6))</f>
        <v>200</v>
      </c>
      <c r="T22" s="31" t="n">
        <f aca="false">IF(OR($K22="",N($K22)=0,$E22="",$E22="Gratuit"),0,IF($E22="Forfait",N($D22),N($D22)*$K22))</f>
        <v>300</v>
      </c>
      <c r="U22" s="31" t="n">
        <f aca="false">IF(OR($K22="",N($K22)=0,$E22="",$E22="Gratuit"),0,IF($E22="Forfait",N($D22)*ROUNDUP($C$6/MAX(1,N($F22)),0),N($D22)*$K22*$C$6))</f>
        <v>600</v>
      </c>
    </row>
    <row r="23" customFormat="false" ht="25.5" hidden="false" customHeight="true" outlineLevel="0" collapsed="false">
      <c r="B23" s="26" t="s">
        <v>65</v>
      </c>
      <c r="C23" s="26"/>
      <c r="D23" s="27"/>
      <c r="E23" s="11"/>
      <c r="F23" s="8"/>
      <c r="G23" s="8"/>
      <c r="H23" s="28" t="n">
        <f aca="false">IF(OR($G23="",N($G23)=0,$E23="",$E23="Gratuit"),0,IF($E23="Forfait",N($D23)/MAX(1,N($F23)),N($D23)*$G23))</f>
        <v>0</v>
      </c>
      <c r="I23" s="8"/>
      <c r="J23" s="28" t="n">
        <f aca="false">IF(OR($I23="",N($I23)=0,$E23="",$E23="Gratuit"),0,IF($E23="Forfait",N($D23)/MAX(1,N($F23)),N($D23)*$I23))</f>
        <v>0</v>
      </c>
      <c r="K23" s="8"/>
      <c r="L23" s="28" t="n">
        <f aca="false">IF(OR($K23="",N($K23)=0,$E23="",$E23="Gratuit"),0,IF($E23="Forfait",N($D23)/MAX(1,N($F23)),N($D23)*$K23))</f>
        <v>0</v>
      </c>
      <c r="M23" s="29" t="s">
        <v>66</v>
      </c>
      <c r="O23" s="30" t="n">
        <f aca="false">CHOOSE($C$10,G23,I23,K23)</f>
        <v>0</v>
      </c>
      <c r="P23" s="31" t="n">
        <f aca="false">IF(OR($G23="",N($G23)=0,$E23="",$E23="Gratuit"),0,IF($E23="Forfait",N($D23),N($D23)*$G23))</f>
        <v>0</v>
      </c>
      <c r="Q23" s="31" t="n">
        <f aca="false">IF(OR($G23="",N($G23)=0,$E23="",$E23="Gratuit"),0,IF($E23="Forfait",N($D23)*ROUNDUP($C$6/MAX(1,N($F23)),0),N($D23)*$G23*$C$6))</f>
        <v>0</v>
      </c>
      <c r="R23" s="31" t="n">
        <f aca="false">IF(OR($I23="",N($I23)=0,$E23="",$E23="Gratuit"),0,IF($E23="Forfait",N($D23),N($D23)*$I23))</f>
        <v>0</v>
      </c>
      <c r="S23" s="31" t="n">
        <f aca="false">IF(OR($I23="",N($I23)=0,$E23="",$E23="Gratuit"),0,IF($E23="Forfait",N($D23)*ROUNDUP($C$6/MAX(1,N($F23)),0),N($D23)*$I23*$C$6))</f>
        <v>0</v>
      </c>
      <c r="T23" s="31" t="n">
        <f aca="false">IF(OR($K23="",N($K23)=0,$E23="",$E23="Gratuit"),0,IF($E23="Forfait",N($D23),N($D23)*$K23))</f>
        <v>0</v>
      </c>
      <c r="U23" s="31" t="n">
        <f aca="false">IF(OR($K23="",N($K23)=0,$E23="",$E23="Gratuit"),0,IF($E23="Forfait",N($D23)*ROUNDUP($C$6/MAX(1,N($F23)),0),N($D23)*$K23*$C$6))</f>
        <v>0</v>
      </c>
    </row>
    <row r="24" customFormat="false" ht="25.5" hidden="false" customHeight="true" outlineLevel="0" collapsed="false">
      <c r="B24" s="26" t="s">
        <v>65</v>
      </c>
      <c r="C24" s="26"/>
      <c r="D24" s="27"/>
      <c r="E24" s="11"/>
      <c r="F24" s="8"/>
      <c r="G24" s="8"/>
      <c r="H24" s="28" t="n">
        <f aca="false">IF(OR($G24="",N($G24)=0,$E24="",$E24="Gratuit"),0,IF($E24="Forfait",N($D24)/MAX(1,N($F24)),N($D24)*$G24))</f>
        <v>0</v>
      </c>
      <c r="I24" s="8"/>
      <c r="J24" s="28" t="n">
        <f aca="false">IF(OR($I24="",N($I24)=0,$E24="",$E24="Gratuit"),0,IF($E24="Forfait",N($D24)/MAX(1,N($F24)),N($D24)*$I24))</f>
        <v>0</v>
      </c>
      <c r="K24" s="8"/>
      <c r="L24" s="28" t="n">
        <f aca="false">IF(OR($K24="",N($K24)=0,$E24="",$E24="Gratuit"),0,IF($E24="Forfait",N($D24)/MAX(1,N($F24)),N($D24)*$K24))</f>
        <v>0</v>
      </c>
      <c r="M24" s="29" t="s">
        <v>66</v>
      </c>
      <c r="O24" s="30" t="n">
        <f aca="false">CHOOSE($C$10,G24,I24,K24)</f>
        <v>0</v>
      </c>
      <c r="P24" s="31" t="n">
        <f aca="false">IF(OR($G24="",N($G24)=0,$E24="",$E24="Gratuit"),0,IF($E24="Forfait",N($D24),N($D24)*$G24))</f>
        <v>0</v>
      </c>
      <c r="Q24" s="31" t="n">
        <f aca="false">IF(OR($G24="",N($G24)=0,$E24="",$E24="Gratuit"),0,IF($E24="Forfait",N($D24)*ROUNDUP($C$6/MAX(1,N($F24)),0),N($D24)*$G24*$C$6))</f>
        <v>0</v>
      </c>
      <c r="R24" s="31" t="n">
        <f aca="false">IF(OR($I24="",N($I24)=0,$E24="",$E24="Gratuit"),0,IF($E24="Forfait",N($D24),N($D24)*$I24))</f>
        <v>0</v>
      </c>
      <c r="S24" s="31" t="n">
        <f aca="false">IF(OR($I24="",N($I24)=0,$E24="",$E24="Gratuit"),0,IF($E24="Forfait",N($D24)*ROUNDUP($C$6/MAX(1,N($F24)),0),N($D24)*$I24*$C$6))</f>
        <v>0</v>
      </c>
      <c r="T24" s="31" t="n">
        <f aca="false">IF(OR($K24="",N($K24)=0,$E24="",$E24="Gratuit"),0,IF($E24="Forfait",N($D24),N($D24)*$K24))</f>
        <v>0</v>
      </c>
      <c r="U24" s="31" t="n">
        <f aca="false">IF(OR($K24="",N($K24)=0,$E24="",$E24="Gratuit"),0,IF($E24="Forfait",N($D24)*ROUNDUP($C$6/MAX(1,N($F24)),0),N($D24)*$K24*$C$6))</f>
        <v>0</v>
      </c>
    </row>
    <row r="25" customFormat="false" ht="15" hidden="false" customHeight="false" outlineLevel="0" collapsed="false">
      <c r="B25" s="32" t="s">
        <v>67</v>
      </c>
      <c r="C25" s="32"/>
      <c r="D25" s="32"/>
      <c r="E25" s="32"/>
      <c r="F25" s="32"/>
      <c r="G25" s="33" t="n">
        <f aca="false">COUNTIFS(G13:G24,"&gt;0",$E13:$E24,"&lt;&gt;Gratuit")</f>
        <v>1</v>
      </c>
      <c r="H25" s="34" t="n">
        <f aca="false">SUM(H13:H24)</f>
        <v>145</v>
      </c>
      <c r="I25" s="35" t="n">
        <f aca="false">COUNTIFS(I13:I24,"&gt;0",$E13:$E24,"&lt;&gt;Gratuit")</f>
        <v>4</v>
      </c>
      <c r="J25" s="36" t="n">
        <f aca="false">SUM(J13:J24)</f>
        <v>595</v>
      </c>
      <c r="K25" s="37" t="n">
        <f aca="false">COUNTIFS(K13:K24,"&gt;0",$E13:$E24,"&lt;&gt;Gratuit")</f>
        <v>4</v>
      </c>
      <c r="L25" s="38" t="n">
        <f aca="false">SUM(L13:L24)</f>
        <v>1145</v>
      </c>
      <c r="O25" s="39"/>
      <c r="P25" s="40" t="n">
        <f aca="false">SUM(P13:P24)</f>
        <v>290</v>
      </c>
      <c r="Q25" s="40" t="n">
        <f aca="false">SUM(Q13:Q24)</f>
        <v>290</v>
      </c>
      <c r="R25" s="40" t="n">
        <f aca="false">SUM(R13:R24)</f>
        <v>740</v>
      </c>
      <c r="S25" s="40" t="n">
        <f aca="false">SUM(S13:S24)</f>
        <v>1190</v>
      </c>
      <c r="T25" s="40" t="n">
        <f aca="false">SUM(T13:T24)</f>
        <v>1290</v>
      </c>
      <c r="U25" s="40" t="n">
        <f aca="false">SUM(U13:U24)</f>
        <v>2290</v>
      </c>
    </row>
    <row r="27" customFormat="false" ht="15" hidden="false" customHeight="false" outlineLevel="0" collapsed="false">
      <c r="B27" s="3" t="s">
        <v>68</v>
      </c>
      <c r="C27" s="3"/>
      <c r="D27" s="3"/>
      <c r="E27" s="3"/>
      <c r="F27" s="3"/>
      <c r="G27" s="3"/>
      <c r="H27" s="3"/>
    </row>
    <row r="28" customFormat="false" ht="22.35" hidden="false" customHeight="false" outlineLevel="0" collapsed="false">
      <c r="B28" s="24" t="s">
        <v>69</v>
      </c>
      <c r="C28" s="24" t="s">
        <v>70</v>
      </c>
      <c r="D28" s="24" t="s">
        <v>71</v>
      </c>
      <c r="E28" s="24" t="s">
        <v>72</v>
      </c>
      <c r="F28" s="24" t="s">
        <v>73</v>
      </c>
      <c r="G28" s="24" t="s">
        <v>74</v>
      </c>
      <c r="H28" s="24" t="s">
        <v>75</v>
      </c>
    </row>
    <row r="29" customFormat="false" ht="30" hidden="false" customHeight="true" outlineLevel="0" collapsed="false">
      <c r="B29" s="41" t="s">
        <v>76</v>
      </c>
      <c r="C29" s="42" t="s">
        <v>77</v>
      </c>
      <c r="D29" s="43" t="n">
        <f aca="false">$Q$25/$C$6</f>
        <v>145</v>
      </c>
      <c r="E29" s="43" t="n">
        <f aca="false">$P$25</f>
        <v>290</v>
      </c>
      <c r="F29" s="43" t="n">
        <f aca="false">$Q$25</f>
        <v>290</v>
      </c>
      <c r="G29" s="43" t="n">
        <f aca="false">IF($C$7="HT",F29*(1+$C$8),F29)</f>
        <v>348</v>
      </c>
      <c r="H29" s="44" t="n">
        <f aca="false">$G$25</f>
        <v>1</v>
      </c>
    </row>
    <row r="30" customFormat="false" ht="30" hidden="false" customHeight="true" outlineLevel="0" collapsed="false">
      <c r="B30" s="45" t="s">
        <v>14</v>
      </c>
      <c r="C30" s="42" t="s">
        <v>78</v>
      </c>
      <c r="D30" s="43" t="n">
        <f aca="false">$S$25/$C$6</f>
        <v>595</v>
      </c>
      <c r="E30" s="43" t="n">
        <f aca="false">$R$25</f>
        <v>740</v>
      </c>
      <c r="F30" s="43" t="n">
        <f aca="false">$S$25</f>
        <v>1190</v>
      </c>
      <c r="G30" s="43" t="n">
        <f aca="false">IF($C$7="HT",F30*(1+$C$8),F30)</f>
        <v>1428</v>
      </c>
      <c r="H30" s="44" t="n">
        <f aca="false">$I$25</f>
        <v>4</v>
      </c>
    </row>
    <row r="31" customFormat="false" ht="30" hidden="false" customHeight="true" outlineLevel="0" collapsed="false">
      <c r="B31" s="46" t="s">
        <v>79</v>
      </c>
      <c r="C31" s="42" t="s">
        <v>80</v>
      </c>
      <c r="D31" s="43" t="n">
        <f aca="false">$U$25/$C$6</f>
        <v>1145</v>
      </c>
      <c r="E31" s="43" t="n">
        <f aca="false">$T$25</f>
        <v>1290</v>
      </c>
      <c r="F31" s="43" t="n">
        <f aca="false">$U$25</f>
        <v>2290</v>
      </c>
      <c r="G31" s="43" t="n">
        <f aca="false">IF($C$7="HT",F31*(1+$C$8),F31)</f>
        <v>2748</v>
      </c>
      <c r="H31" s="44" t="n">
        <f aca="false">$K$25</f>
        <v>4</v>
      </c>
    </row>
    <row r="32" customFormat="false" ht="15" hidden="false" customHeight="false" outlineLevel="0" collapsed="false">
      <c r="B32" s="47" t="s">
        <v>81</v>
      </c>
    </row>
    <row r="34" customFormat="false" ht="15" hidden="false" customHeight="false" outlineLevel="0" collapsed="false">
      <c r="B34" s="3" t="s">
        <v>82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customFormat="false" ht="25.5" hidden="false" customHeight="true" outlineLevel="0" collapsed="false">
      <c r="B35" s="48" t="s">
        <v>83</v>
      </c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</row>
    <row r="36" customFormat="false" ht="25.5" hidden="false" customHeight="true" outlineLevel="0" collapsed="false">
      <c r="B36" s="48" t="s">
        <v>84</v>
      </c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</row>
    <row r="37" customFormat="false" ht="25.5" hidden="false" customHeight="true" outlineLevel="0" collapsed="false">
      <c r="B37" s="48" t="s">
        <v>85</v>
      </c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</row>
    <row r="38" customFormat="false" ht="25.5" hidden="false" customHeight="true" outlineLevel="0" collapsed="false">
      <c r="B38" s="48" t="s">
        <v>86</v>
      </c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</row>
    <row r="39" customFormat="false" ht="25.5" hidden="false" customHeight="true" outlineLevel="0" collapsed="false">
      <c r="B39" s="48" t="s">
        <v>87</v>
      </c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</row>
    <row r="40" customFormat="false" ht="25.5" hidden="false" customHeight="true" outlineLevel="0" collapsed="false">
      <c r="B40" s="48" t="s">
        <v>88</v>
      </c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</row>
  </sheetData>
  <mergeCells count="27">
    <mergeCell ref="B4:D4"/>
    <mergeCell ref="F4:L4"/>
    <mergeCell ref="C5:D5"/>
    <mergeCell ref="F5:J5"/>
    <mergeCell ref="C6:D6"/>
    <mergeCell ref="F6:J6"/>
    <mergeCell ref="C7:D7"/>
    <mergeCell ref="F7:J7"/>
    <mergeCell ref="C8:D8"/>
    <mergeCell ref="F8:J8"/>
    <mergeCell ref="C9:D9"/>
    <mergeCell ref="F9:J9"/>
    <mergeCell ref="K9:L9"/>
    <mergeCell ref="B11:F11"/>
    <mergeCell ref="G11:H11"/>
    <mergeCell ref="I11:J11"/>
    <mergeCell ref="K11:L11"/>
    <mergeCell ref="O11:U11"/>
    <mergeCell ref="B25:F25"/>
    <mergeCell ref="B27:H27"/>
    <mergeCell ref="B34:M34"/>
    <mergeCell ref="B35:M35"/>
    <mergeCell ref="B36:M36"/>
    <mergeCell ref="B37:M37"/>
    <mergeCell ref="B38:M38"/>
    <mergeCell ref="B39:M39"/>
    <mergeCell ref="B40:M40"/>
  </mergeCells>
  <conditionalFormatting sqref="B29:H29">
    <cfRule type="expression" priority="2" aboveAverage="0" equalAverage="0" bottom="0" percent="0" rank="0" text="" dxfId="0">
      <formula>$C$9="Essentiel"</formula>
    </cfRule>
  </conditionalFormatting>
  <conditionalFormatting sqref="B30:H30">
    <cfRule type="expression" priority="3" aboveAverage="0" equalAverage="0" bottom="0" percent="0" rank="0" text="" dxfId="0">
      <formula>$C$9="Équilibré"</formula>
    </cfRule>
  </conditionalFormatting>
  <conditionalFormatting sqref="B31:H31">
    <cfRule type="expression" priority="4" aboveAverage="0" equalAverage="0" bottom="0" percent="0" rank="0" text="" dxfId="0">
      <formula>$C$9="Intensif"</formula>
    </cfRule>
  </conditionalFormatting>
  <conditionalFormatting sqref="G11:H12">
    <cfRule type="expression" priority="5" aboveAverage="0" equalAverage="0" bottom="0" percent="0" rank="0" text="" dxfId="1">
      <formula>$C$9="Essentiel"</formula>
    </cfRule>
  </conditionalFormatting>
  <conditionalFormatting sqref="I11:J12">
    <cfRule type="expression" priority="6" aboveAverage="0" equalAverage="0" bottom="0" percent="0" rank="0" text="" dxfId="1">
      <formula>$C$9="Équilibré"</formula>
    </cfRule>
  </conditionalFormatting>
  <conditionalFormatting sqref="K11:L12">
    <cfRule type="expression" priority="7" aboveAverage="0" equalAverage="0" bottom="0" percent="0" rank="0" text="" dxfId="1">
      <formula>$C$9="Intensif"</formula>
    </cfRule>
  </conditionalFormatting>
  <dataValidations count="4">
    <dataValidation allowBlank="false" errorStyle="stop" operator="between" showDropDown="false" showErrorMessage="false" showInputMessage="false" sqref="C7" type="list">
      <formula1>"HT,TTC"</formula1>
      <formula2>0</formula2>
    </dataValidation>
    <dataValidation allowBlank="false" errorStyle="stop" operator="between" showDropDown="false" showErrorMessage="false" showInputMessage="false" sqref="C9" type="list">
      <formula1>$B$29:$B$31</formula1>
      <formula2>0</formula2>
    </dataValidation>
    <dataValidation allowBlank="true" errorStyle="stop" operator="between" showDropDown="false" showErrorMessage="false" showInputMessage="false" sqref="E13:E24" type="list">
      <formula1>"Gratuit,Forfait,Par jour,Par semaine,Par mois"</formula1>
      <formula2>0</formula2>
    </dataValidation>
    <dataValidation allowBlank="false" error="Durée entre 1 et 12 mois." errorStyle="stop" operator="between" showDropDown="false" showErrorMessage="true" showInputMessage="false" sqref="C6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O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14" min="3" style="0" width="11"/>
    <col collapsed="false" customWidth="true" hidden="false" outlineLevel="0" max="15" min="15" style="0" width="13"/>
  </cols>
  <sheetData>
    <row r="1" customFormat="false" ht="19.7" hidden="false" customHeight="false" outlineLevel="0" collapsed="false">
      <c r="B1" s="1" t="s">
        <v>89</v>
      </c>
    </row>
    <row r="2" customFormat="false" ht="15" hidden="false" customHeight="false" outlineLevel="0" collapsed="false">
      <c r="B2" s="49" t="str">
        <f aca="false">"Scénario "&amp;Budget!$C$9&amp;" · campagne de "&amp;Budget!$C$6&amp;" mois à partir de "&amp;TEXT(MONTH(Budget!$C$5),"00")&amp;"/"&amp;YEAR(Budget!$C$5)</f>
        <v>Scénario Équilibré · campagne de 2 mois à partir de 10/2026</v>
      </c>
    </row>
    <row r="3" customFormat="false" ht="15" hidden="false" customHeight="false" outlineLevel="0" collapsed="false">
      <c r="B3" s="47" t="s">
        <v>90</v>
      </c>
    </row>
    <row r="5" customFormat="false" ht="15" hidden="false" customHeight="false" outlineLevel="0" collapsed="false">
      <c r="B5" s="3" t="s">
        <v>91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customFormat="false" ht="15" hidden="false" customHeight="false" outlineLevel="0" collapsed="false">
      <c r="B6" s="50" t="s">
        <v>92</v>
      </c>
      <c r="C6" s="51" t="n">
        <v>1</v>
      </c>
      <c r="D6" s="51" t="n">
        <v>2</v>
      </c>
      <c r="E6" s="51" t="n">
        <v>3</v>
      </c>
      <c r="F6" s="51" t="n">
        <v>4</v>
      </c>
      <c r="G6" s="51" t="n">
        <v>5</v>
      </c>
      <c r="H6" s="51" t="n">
        <v>6</v>
      </c>
      <c r="I6" s="51" t="n">
        <v>7</v>
      </c>
      <c r="J6" s="51" t="n">
        <v>8</v>
      </c>
      <c r="K6" s="51" t="n">
        <v>9</v>
      </c>
      <c r="L6" s="51" t="n">
        <v>10</v>
      </c>
      <c r="M6" s="51" t="n">
        <v>11</v>
      </c>
      <c r="N6" s="51" t="n">
        <v>12</v>
      </c>
      <c r="O6" s="39"/>
    </row>
    <row r="7" customFormat="false" ht="15" hidden="false" customHeight="false" outlineLevel="0" collapsed="false">
      <c r="B7" s="52" t="s">
        <v>23</v>
      </c>
      <c r="C7" s="53" t="n">
        <f aca="false">EDATE(Budget!$C$5,0)</f>
        <v>46296</v>
      </c>
      <c r="D7" s="53" t="n">
        <f aca="false">EDATE(Budget!$C$5,1)</f>
        <v>46327</v>
      </c>
      <c r="E7" s="53" t="n">
        <f aca="false">EDATE(Budget!$C$5,2)</f>
        <v>46357</v>
      </c>
      <c r="F7" s="53" t="n">
        <f aca="false">EDATE(Budget!$C$5,3)</f>
        <v>46388</v>
      </c>
      <c r="G7" s="53" t="n">
        <f aca="false">EDATE(Budget!$C$5,4)</f>
        <v>46419</v>
      </c>
      <c r="H7" s="53" t="n">
        <f aca="false">EDATE(Budget!$C$5,5)</f>
        <v>46447</v>
      </c>
      <c r="I7" s="53" t="n">
        <f aca="false">EDATE(Budget!$C$5,6)</f>
        <v>46478</v>
      </c>
      <c r="J7" s="53" t="n">
        <f aca="false">EDATE(Budget!$C$5,7)</f>
        <v>46508</v>
      </c>
      <c r="K7" s="53" t="n">
        <f aca="false">EDATE(Budget!$C$5,8)</f>
        <v>46539</v>
      </c>
      <c r="L7" s="53" t="n">
        <f aca="false">EDATE(Budget!$C$5,9)</f>
        <v>46569</v>
      </c>
      <c r="M7" s="53" t="n">
        <f aca="false">EDATE(Budget!$C$5,10)</f>
        <v>46600</v>
      </c>
      <c r="N7" s="53" t="n">
        <f aca="false">EDATE(Budget!$C$5,11)</f>
        <v>46631</v>
      </c>
      <c r="O7" s="7" t="s">
        <v>93</v>
      </c>
    </row>
    <row r="8" customFormat="false" ht="15" hidden="false" customHeight="false" outlineLevel="0" collapsed="false">
      <c r="B8" s="54" t="str">
        <f aca="false">IF(Budget!$B$13="","",Budget!$B$13&amp;IF(Budget!$C$13="",""," – "&amp;Budget!$C$13))</f>
        <v>Village de la Justice – Annonce Premium</v>
      </c>
      <c r="C8" s="55" t="n">
        <f aca="false">IF(OR(C$6&gt;Budget!$C$6,N(Budget!$O$13)=0,Budget!$E$13="",Budget!$E$13="Gratuit"),0,IF(Budget!$E$13="Forfait",IF(MOD(C$6-1,MAX(1,N(Budget!$F$13)))=0,N(Budget!$D$13),0),N(Budget!$D$13)*Budget!$O$13))</f>
        <v>290</v>
      </c>
      <c r="D8" s="55" t="n">
        <f aca="false">IF(OR(D$6&gt;Budget!$C$6,N(Budget!$O$13)=0,Budget!$E$13="",Budget!$E$13="Gratuit"),0,IF(Budget!$E$13="Forfait",IF(MOD(D$6-1,MAX(1,N(Budget!$F$13)))=0,N(Budget!$D$13),0),N(Budget!$D$13)*Budget!$O$13))</f>
        <v>0</v>
      </c>
      <c r="E8" s="55" t="n">
        <f aca="false">IF(OR(E$6&gt;Budget!$C$6,N(Budget!$O$13)=0,Budget!$E$13="",Budget!$E$13="Gratuit"),0,IF(Budget!$E$13="Forfait",IF(MOD(E$6-1,MAX(1,N(Budget!$F$13)))=0,N(Budget!$D$13),0),N(Budget!$D$13)*Budget!$O$13))</f>
        <v>0</v>
      </c>
      <c r="F8" s="55" t="n">
        <f aca="false">IF(OR(F$6&gt;Budget!$C$6,N(Budget!$O$13)=0,Budget!$E$13="",Budget!$E$13="Gratuit"),0,IF(Budget!$E$13="Forfait",IF(MOD(F$6-1,MAX(1,N(Budget!$F$13)))=0,N(Budget!$D$13),0),N(Budget!$D$13)*Budget!$O$13))</f>
        <v>0</v>
      </c>
      <c r="G8" s="55" t="n">
        <f aca="false">IF(OR(G$6&gt;Budget!$C$6,N(Budget!$O$13)=0,Budget!$E$13="",Budget!$E$13="Gratuit"),0,IF(Budget!$E$13="Forfait",IF(MOD(G$6-1,MAX(1,N(Budget!$F$13)))=0,N(Budget!$D$13),0),N(Budget!$D$13)*Budget!$O$13))</f>
        <v>0</v>
      </c>
      <c r="H8" s="55" t="n">
        <f aca="false">IF(OR(H$6&gt;Budget!$C$6,N(Budget!$O$13)=0,Budget!$E$13="",Budget!$E$13="Gratuit"),0,IF(Budget!$E$13="Forfait",IF(MOD(H$6-1,MAX(1,N(Budget!$F$13)))=0,N(Budget!$D$13),0),N(Budget!$D$13)*Budget!$O$13))</f>
        <v>0</v>
      </c>
      <c r="I8" s="55" t="n">
        <f aca="false">IF(OR(I$6&gt;Budget!$C$6,N(Budget!$O$13)=0,Budget!$E$13="",Budget!$E$13="Gratuit"),0,IF(Budget!$E$13="Forfait",IF(MOD(I$6-1,MAX(1,N(Budget!$F$13)))=0,N(Budget!$D$13),0),N(Budget!$D$13)*Budget!$O$13))</f>
        <v>0</v>
      </c>
      <c r="J8" s="55" t="n">
        <f aca="false">IF(OR(J$6&gt;Budget!$C$6,N(Budget!$O$13)=0,Budget!$E$13="",Budget!$E$13="Gratuit"),0,IF(Budget!$E$13="Forfait",IF(MOD(J$6-1,MAX(1,N(Budget!$F$13)))=0,N(Budget!$D$13),0),N(Budget!$D$13)*Budget!$O$13))</f>
        <v>0</v>
      </c>
      <c r="K8" s="55" t="n">
        <f aca="false">IF(OR(K$6&gt;Budget!$C$6,N(Budget!$O$13)=0,Budget!$E$13="",Budget!$E$13="Gratuit"),0,IF(Budget!$E$13="Forfait",IF(MOD(K$6-1,MAX(1,N(Budget!$F$13)))=0,N(Budget!$D$13),0),N(Budget!$D$13)*Budget!$O$13))</f>
        <v>0</v>
      </c>
      <c r="L8" s="55" t="n">
        <f aca="false">IF(OR(L$6&gt;Budget!$C$6,N(Budget!$O$13)=0,Budget!$E$13="",Budget!$E$13="Gratuit"),0,IF(Budget!$E$13="Forfait",IF(MOD(L$6-1,MAX(1,N(Budget!$F$13)))=0,N(Budget!$D$13),0),N(Budget!$D$13)*Budget!$O$13))</f>
        <v>0</v>
      </c>
      <c r="M8" s="55" t="n">
        <f aca="false">IF(OR(M$6&gt;Budget!$C$6,N(Budget!$O$13)=0,Budget!$E$13="",Budget!$E$13="Gratuit"),0,IF(Budget!$E$13="Forfait",IF(MOD(M$6-1,MAX(1,N(Budget!$F$13)))=0,N(Budget!$D$13),0),N(Budget!$D$13)*Budget!$O$13))</f>
        <v>0</v>
      </c>
      <c r="N8" s="55" t="n">
        <f aca="false">IF(OR(N$6&gt;Budget!$C$6,N(Budget!$O$13)=0,Budget!$E$13="",Budget!$E$13="Gratuit"),0,IF(Budget!$E$13="Forfait",IF(MOD(N$6-1,MAX(1,N(Budget!$F$13)))=0,N(Budget!$D$13),0),N(Budget!$D$13)*Budget!$O$13))</f>
        <v>0</v>
      </c>
      <c r="O8" s="40" t="n">
        <f aca="false">SUM(C8:N8)</f>
        <v>290</v>
      </c>
    </row>
    <row r="9" customFormat="false" ht="15" hidden="false" customHeight="false" outlineLevel="0" collapsed="false">
      <c r="B9" s="54" t="str">
        <f aca="false">IF(Budget!$B$14="","",Budget!$B$14&amp;IF(Budget!$C$14="",""," – "&amp;Budget!$C$14))</f>
        <v>RecrutAvocat – Annonce</v>
      </c>
      <c r="C9" s="55" t="n">
        <f aca="false">IF(OR(C$6&gt;Budget!$C$6,N(Budget!$O$14)=0,Budget!$E$14="",Budget!$E$14="Gratuit"),0,IF(Budget!$E$14="Forfait",IF(MOD(C$6-1,MAX(1,N(Budget!$F$14)))=0,N(Budget!$D$14),0),N(Budget!$D$14)*Budget!$O$14))</f>
        <v>0</v>
      </c>
      <c r="D9" s="55" t="n">
        <f aca="false">IF(OR(D$6&gt;Budget!$C$6,N(Budget!$O$14)=0,Budget!$E$14="",Budget!$E$14="Gratuit"),0,IF(Budget!$E$14="Forfait",IF(MOD(D$6-1,MAX(1,N(Budget!$F$14)))=0,N(Budget!$D$14),0),N(Budget!$D$14)*Budget!$O$14))</f>
        <v>0</v>
      </c>
      <c r="E9" s="55" t="n">
        <f aca="false">IF(OR(E$6&gt;Budget!$C$6,N(Budget!$O$14)=0,Budget!$E$14="",Budget!$E$14="Gratuit"),0,IF(Budget!$E$14="Forfait",IF(MOD(E$6-1,MAX(1,N(Budget!$F$14)))=0,N(Budget!$D$14),0),N(Budget!$D$14)*Budget!$O$14))</f>
        <v>0</v>
      </c>
      <c r="F9" s="55" t="n">
        <f aca="false">IF(OR(F$6&gt;Budget!$C$6,N(Budget!$O$14)=0,Budget!$E$14="",Budget!$E$14="Gratuit"),0,IF(Budget!$E$14="Forfait",IF(MOD(F$6-1,MAX(1,N(Budget!$F$14)))=0,N(Budget!$D$14),0),N(Budget!$D$14)*Budget!$O$14))</f>
        <v>0</v>
      </c>
      <c r="G9" s="55" t="n">
        <f aca="false">IF(OR(G$6&gt;Budget!$C$6,N(Budget!$O$14)=0,Budget!$E$14="",Budget!$E$14="Gratuit"),0,IF(Budget!$E$14="Forfait",IF(MOD(G$6-1,MAX(1,N(Budget!$F$14)))=0,N(Budget!$D$14),0),N(Budget!$D$14)*Budget!$O$14))</f>
        <v>0</v>
      </c>
      <c r="H9" s="55" t="n">
        <f aca="false">IF(OR(H$6&gt;Budget!$C$6,N(Budget!$O$14)=0,Budget!$E$14="",Budget!$E$14="Gratuit"),0,IF(Budget!$E$14="Forfait",IF(MOD(H$6-1,MAX(1,N(Budget!$F$14)))=0,N(Budget!$D$14),0),N(Budget!$D$14)*Budget!$O$14))</f>
        <v>0</v>
      </c>
      <c r="I9" s="55" t="n">
        <f aca="false">IF(OR(I$6&gt;Budget!$C$6,N(Budget!$O$14)=0,Budget!$E$14="",Budget!$E$14="Gratuit"),0,IF(Budget!$E$14="Forfait",IF(MOD(I$6-1,MAX(1,N(Budget!$F$14)))=0,N(Budget!$D$14),0),N(Budget!$D$14)*Budget!$O$14))</f>
        <v>0</v>
      </c>
      <c r="J9" s="55" t="n">
        <f aca="false">IF(OR(J$6&gt;Budget!$C$6,N(Budget!$O$14)=0,Budget!$E$14="",Budget!$E$14="Gratuit"),0,IF(Budget!$E$14="Forfait",IF(MOD(J$6-1,MAX(1,N(Budget!$F$14)))=0,N(Budget!$D$14),0),N(Budget!$D$14)*Budget!$O$14))</f>
        <v>0</v>
      </c>
      <c r="K9" s="55" t="n">
        <f aca="false">IF(OR(K$6&gt;Budget!$C$6,N(Budget!$O$14)=0,Budget!$E$14="",Budget!$E$14="Gratuit"),0,IF(Budget!$E$14="Forfait",IF(MOD(K$6-1,MAX(1,N(Budget!$F$14)))=0,N(Budget!$D$14),0),N(Budget!$D$14)*Budget!$O$14))</f>
        <v>0</v>
      </c>
      <c r="L9" s="55" t="n">
        <f aca="false">IF(OR(L$6&gt;Budget!$C$6,N(Budget!$O$14)=0,Budget!$E$14="",Budget!$E$14="Gratuit"),0,IF(Budget!$E$14="Forfait",IF(MOD(L$6-1,MAX(1,N(Budget!$F$14)))=0,N(Budget!$D$14),0),N(Budget!$D$14)*Budget!$O$14))</f>
        <v>0</v>
      </c>
      <c r="M9" s="55" t="n">
        <f aca="false">IF(OR(M$6&gt;Budget!$C$6,N(Budget!$O$14)=0,Budget!$E$14="",Budget!$E$14="Gratuit"),0,IF(Budget!$E$14="Forfait",IF(MOD(M$6-1,MAX(1,N(Budget!$F$14)))=0,N(Budget!$D$14),0),N(Budget!$D$14)*Budget!$O$14))</f>
        <v>0</v>
      </c>
      <c r="N9" s="55" t="n">
        <f aca="false">IF(OR(N$6&gt;Budget!$C$6,N(Budget!$O$14)=0,Budget!$E$14="",Budget!$E$14="Gratuit"),0,IF(Budget!$E$14="Forfait",IF(MOD(N$6-1,MAX(1,N(Budget!$F$14)))=0,N(Budget!$D$14),0),N(Budget!$D$14)*Budget!$O$14))</f>
        <v>0</v>
      </c>
      <c r="O9" s="40" t="n">
        <f aca="false">SUM(C9:N9)</f>
        <v>0</v>
      </c>
    </row>
    <row r="10" customFormat="false" ht="15" hidden="false" customHeight="false" outlineLevel="0" collapsed="false">
      <c r="B10" s="54" t="str">
        <f aca="false">IF(Budget!$B$15="","",Budget!$B$15&amp;IF(Budget!$C$15="",""," – "&amp;Budget!$C$15))</f>
        <v>LinkedIn – Offre d'emploi</v>
      </c>
      <c r="C10" s="55" t="n">
        <f aca="false">IF(OR(C$6&gt;Budget!$C$6,N(Budget!$O$15)=0,Budget!$E$15="",Budget!$E$15="Gratuit"),0,IF(Budget!$E$15="Forfait",IF(MOD(C$6-1,MAX(1,N(Budget!$F$15)))=0,N(Budget!$D$15),0),N(Budget!$D$15)*Budget!$O$15))</f>
        <v>0</v>
      </c>
      <c r="D10" s="55" t="n">
        <f aca="false">IF(OR(D$6&gt;Budget!$C$6,N(Budget!$O$15)=0,Budget!$E$15="",Budget!$E$15="Gratuit"),0,IF(Budget!$E$15="Forfait",IF(MOD(D$6-1,MAX(1,N(Budget!$F$15)))=0,N(Budget!$D$15),0),N(Budget!$D$15)*Budget!$O$15))</f>
        <v>0</v>
      </c>
      <c r="E10" s="55" t="n">
        <f aca="false">IF(OR(E$6&gt;Budget!$C$6,N(Budget!$O$15)=0,Budget!$E$15="",Budget!$E$15="Gratuit"),0,IF(Budget!$E$15="Forfait",IF(MOD(E$6-1,MAX(1,N(Budget!$F$15)))=0,N(Budget!$D$15),0),N(Budget!$D$15)*Budget!$O$15))</f>
        <v>0</v>
      </c>
      <c r="F10" s="55" t="n">
        <f aca="false">IF(OR(F$6&gt;Budget!$C$6,N(Budget!$O$15)=0,Budget!$E$15="",Budget!$E$15="Gratuit"),0,IF(Budget!$E$15="Forfait",IF(MOD(F$6-1,MAX(1,N(Budget!$F$15)))=0,N(Budget!$D$15),0),N(Budget!$D$15)*Budget!$O$15))</f>
        <v>0</v>
      </c>
      <c r="G10" s="55" t="n">
        <f aca="false">IF(OR(G$6&gt;Budget!$C$6,N(Budget!$O$15)=0,Budget!$E$15="",Budget!$E$15="Gratuit"),0,IF(Budget!$E$15="Forfait",IF(MOD(G$6-1,MAX(1,N(Budget!$F$15)))=0,N(Budget!$D$15),0),N(Budget!$D$15)*Budget!$O$15))</f>
        <v>0</v>
      </c>
      <c r="H10" s="55" t="n">
        <f aca="false">IF(OR(H$6&gt;Budget!$C$6,N(Budget!$O$15)=0,Budget!$E$15="",Budget!$E$15="Gratuit"),0,IF(Budget!$E$15="Forfait",IF(MOD(H$6-1,MAX(1,N(Budget!$F$15)))=0,N(Budget!$D$15),0),N(Budget!$D$15)*Budget!$O$15))</f>
        <v>0</v>
      </c>
      <c r="I10" s="55" t="n">
        <f aca="false">IF(OR(I$6&gt;Budget!$C$6,N(Budget!$O$15)=0,Budget!$E$15="",Budget!$E$15="Gratuit"),0,IF(Budget!$E$15="Forfait",IF(MOD(I$6-1,MAX(1,N(Budget!$F$15)))=0,N(Budget!$D$15),0),N(Budget!$D$15)*Budget!$O$15))</f>
        <v>0</v>
      </c>
      <c r="J10" s="55" t="n">
        <f aca="false">IF(OR(J$6&gt;Budget!$C$6,N(Budget!$O$15)=0,Budget!$E$15="",Budget!$E$15="Gratuit"),0,IF(Budget!$E$15="Forfait",IF(MOD(J$6-1,MAX(1,N(Budget!$F$15)))=0,N(Budget!$D$15),0),N(Budget!$D$15)*Budget!$O$15))</f>
        <v>0</v>
      </c>
      <c r="K10" s="55" t="n">
        <f aca="false">IF(OR(K$6&gt;Budget!$C$6,N(Budget!$O$15)=0,Budget!$E$15="",Budget!$E$15="Gratuit"),0,IF(Budget!$E$15="Forfait",IF(MOD(K$6-1,MAX(1,N(Budget!$F$15)))=0,N(Budget!$D$15),0),N(Budget!$D$15)*Budget!$O$15))</f>
        <v>0</v>
      </c>
      <c r="L10" s="55" t="n">
        <f aca="false">IF(OR(L$6&gt;Budget!$C$6,N(Budget!$O$15)=0,Budget!$E$15="",Budget!$E$15="Gratuit"),0,IF(Budget!$E$15="Forfait",IF(MOD(L$6-1,MAX(1,N(Budget!$F$15)))=0,N(Budget!$D$15),0),N(Budget!$D$15)*Budget!$O$15))</f>
        <v>0</v>
      </c>
      <c r="M10" s="55" t="n">
        <f aca="false">IF(OR(M$6&gt;Budget!$C$6,N(Budget!$O$15)=0,Budget!$E$15="",Budget!$E$15="Gratuit"),0,IF(Budget!$E$15="Forfait",IF(MOD(M$6-1,MAX(1,N(Budget!$F$15)))=0,N(Budget!$D$15),0),N(Budget!$D$15)*Budget!$O$15))</f>
        <v>0</v>
      </c>
      <c r="N10" s="55" t="n">
        <f aca="false">IF(OR(N$6&gt;Budget!$C$6,N(Budget!$O$15)=0,Budget!$E$15="",Budget!$E$15="Gratuit"),0,IF(Budget!$E$15="Forfait",IF(MOD(N$6-1,MAX(1,N(Budget!$F$15)))=0,N(Budget!$D$15),0),N(Budget!$D$15)*Budget!$O$15))</f>
        <v>0</v>
      </c>
      <c r="O10" s="40" t="n">
        <f aca="false">SUM(C10:N10)</f>
        <v>0</v>
      </c>
    </row>
    <row r="11" customFormat="false" ht="15" hidden="false" customHeight="false" outlineLevel="0" collapsed="false">
      <c r="B11" s="54" t="str">
        <f aca="false">IF(Budget!$B$16="","",Budget!$B$16&amp;IF(Budget!$C$16="",""," – "&amp;Budget!$C$16))</f>
        <v>LinkedIn – Boost de l'offre</v>
      </c>
      <c r="C11" s="55" t="n">
        <f aca="false">IF(OR(C$6&gt;Budget!$C$6,N(Budget!$O$16)=0,Budget!$E$16="",Budget!$E$16="Gratuit"),0,IF(Budget!$E$16="Forfait",IF(MOD(C$6-1,MAX(1,N(Budget!$F$16)))=0,N(Budget!$D$16),0),N(Budget!$D$16)*Budget!$O$16))</f>
        <v>150</v>
      </c>
      <c r="D11" s="55" t="n">
        <f aca="false">IF(OR(D$6&gt;Budget!$C$6,N(Budget!$O$16)=0,Budget!$E$16="",Budget!$E$16="Gratuit"),0,IF(Budget!$E$16="Forfait",IF(MOD(D$6-1,MAX(1,N(Budget!$F$16)))=0,N(Budget!$D$16),0),N(Budget!$D$16)*Budget!$O$16))</f>
        <v>150</v>
      </c>
      <c r="E11" s="55" t="n">
        <f aca="false">IF(OR(E$6&gt;Budget!$C$6,N(Budget!$O$16)=0,Budget!$E$16="",Budget!$E$16="Gratuit"),0,IF(Budget!$E$16="Forfait",IF(MOD(E$6-1,MAX(1,N(Budget!$F$16)))=0,N(Budget!$D$16),0),N(Budget!$D$16)*Budget!$O$16))</f>
        <v>0</v>
      </c>
      <c r="F11" s="55" t="n">
        <f aca="false">IF(OR(F$6&gt;Budget!$C$6,N(Budget!$O$16)=0,Budget!$E$16="",Budget!$E$16="Gratuit"),0,IF(Budget!$E$16="Forfait",IF(MOD(F$6-1,MAX(1,N(Budget!$F$16)))=0,N(Budget!$D$16),0),N(Budget!$D$16)*Budget!$O$16))</f>
        <v>0</v>
      </c>
      <c r="G11" s="55" t="n">
        <f aca="false">IF(OR(G$6&gt;Budget!$C$6,N(Budget!$O$16)=0,Budget!$E$16="",Budget!$E$16="Gratuit"),0,IF(Budget!$E$16="Forfait",IF(MOD(G$6-1,MAX(1,N(Budget!$F$16)))=0,N(Budget!$D$16),0),N(Budget!$D$16)*Budget!$O$16))</f>
        <v>0</v>
      </c>
      <c r="H11" s="55" t="n">
        <f aca="false">IF(OR(H$6&gt;Budget!$C$6,N(Budget!$O$16)=0,Budget!$E$16="",Budget!$E$16="Gratuit"),0,IF(Budget!$E$16="Forfait",IF(MOD(H$6-1,MAX(1,N(Budget!$F$16)))=0,N(Budget!$D$16),0),N(Budget!$D$16)*Budget!$O$16))</f>
        <v>0</v>
      </c>
      <c r="I11" s="55" t="n">
        <f aca="false">IF(OR(I$6&gt;Budget!$C$6,N(Budget!$O$16)=0,Budget!$E$16="",Budget!$E$16="Gratuit"),0,IF(Budget!$E$16="Forfait",IF(MOD(I$6-1,MAX(1,N(Budget!$F$16)))=0,N(Budget!$D$16),0),N(Budget!$D$16)*Budget!$O$16))</f>
        <v>0</v>
      </c>
      <c r="J11" s="55" t="n">
        <f aca="false">IF(OR(J$6&gt;Budget!$C$6,N(Budget!$O$16)=0,Budget!$E$16="",Budget!$E$16="Gratuit"),0,IF(Budget!$E$16="Forfait",IF(MOD(J$6-1,MAX(1,N(Budget!$F$16)))=0,N(Budget!$D$16),0),N(Budget!$D$16)*Budget!$O$16))</f>
        <v>0</v>
      </c>
      <c r="K11" s="55" t="n">
        <f aca="false">IF(OR(K$6&gt;Budget!$C$6,N(Budget!$O$16)=0,Budget!$E$16="",Budget!$E$16="Gratuit"),0,IF(Budget!$E$16="Forfait",IF(MOD(K$6-1,MAX(1,N(Budget!$F$16)))=0,N(Budget!$D$16),0),N(Budget!$D$16)*Budget!$O$16))</f>
        <v>0</v>
      </c>
      <c r="L11" s="55" t="n">
        <f aca="false">IF(OR(L$6&gt;Budget!$C$6,N(Budget!$O$16)=0,Budget!$E$16="",Budget!$E$16="Gratuit"),0,IF(Budget!$E$16="Forfait",IF(MOD(L$6-1,MAX(1,N(Budget!$F$16)))=0,N(Budget!$D$16),0),N(Budget!$D$16)*Budget!$O$16))</f>
        <v>0</v>
      </c>
      <c r="M11" s="55" t="n">
        <f aca="false">IF(OR(M$6&gt;Budget!$C$6,N(Budget!$O$16)=0,Budget!$E$16="",Budget!$E$16="Gratuit"),0,IF(Budget!$E$16="Forfait",IF(MOD(M$6-1,MAX(1,N(Budget!$F$16)))=0,N(Budget!$D$16),0),N(Budget!$D$16)*Budget!$O$16))</f>
        <v>0</v>
      </c>
      <c r="N11" s="55" t="n">
        <f aca="false">IF(OR(N$6&gt;Budget!$C$6,N(Budget!$O$16)=0,Budget!$E$16="",Budget!$E$16="Gratuit"),0,IF(Budget!$E$16="Forfait",IF(MOD(N$6-1,MAX(1,N(Budget!$F$16)))=0,N(Budget!$D$16),0),N(Budget!$D$16)*Budget!$O$16))</f>
        <v>0</v>
      </c>
      <c r="O11" s="40" t="n">
        <f aca="false">SUM(C11:N11)</f>
        <v>300</v>
      </c>
    </row>
    <row r="12" customFormat="false" ht="15" hidden="false" customHeight="false" outlineLevel="0" collapsed="false">
      <c r="B12" s="54" t="str">
        <f aca="false">IF(Budget!$B$17="","",Budget!$B$17&amp;IF(Budget!$C$17="",""," – "&amp;Budget!$C$17))</f>
        <v>Indeed – Annonce sponsorisée</v>
      </c>
      <c r="C12" s="55" t="n">
        <f aca="false">IF(OR(C$6&gt;Budget!$C$6,N(Budget!$O$17)=0,Budget!$E$17="",Budget!$E$17="Gratuit"),0,IF(Budget!$E$17="Forfait",IF(MOD(C$6-1,MAX(1,N(Budget!$F$17)))=0,N(Budget!$D$17),0),N(Budget!$D$17)*Budget!$O$17))</f>
        <v>200</v>
      </c>
      <c r="D12" s="55" t="n">
        <f aca="false">IF(OR(D$6&gt;Budget!$C$6,N(Budget!$O$17)=0,Budget!$E$17="",Budget!$E$17="Gratuit"),0,IF(Budget!$E$17="Forfait",IF(MOD(D$6-1,MAX(1,N(Budget!$F$17)))=0,N(Budget!$D$17),0),N(Budget!$D$17)*Budget!$O$17))</f>
        <v>200</v>
      </c>
      <c r="E12" s="55" t="n">
        <f aca="false">IF(OR(E$6&gt;Budget!$C$6,N(Budget!$O$17)=0,Budget!$E$17="",Budget!$E$17="Gratuit"),0,IF(Budget!$E$17="Forfait",IF(MOD(E$6-1,MAX(1,N(Budget!$F$17)))=0,N(Budget!$D$17),0),N(Budget!$D$17)*Budget!$O$17))</f>
        <v>0</v>
      </c>
      <c r="F12" s="55" t="n">
        <f aca="false">IF(OR(F$6&gt;Budget!$C$6,N(Budget!$O$17)=0,Budget!$E$17="",Budget!$E$17="Gratuit"),0,IF(Budget!$E$17="Forfait",IF(MOD(F$6-1,MAX(1,N(Budget!$F$17)))=0,N(Budget!$D$17),0),N(Budget!$D$17)*Budget!$O$17))</f>
        <v>0</v>
      </c>
      <c r="G12" s="55" t="n">
        <f aca="false">IF(OR(G$6&gt;Budget!$C$6,N(Budget!$O$17)=0,Budget!$E$17="",Budget!$E$17="Gratuit"),0,IF(Budget!$E$17="Forfait",IF(MOD(G$6-1,MAX(1,N(Budget!$F$17)))=0,N(Budget!$D$17),0),N(Budget!$D$17)*Budget!$O$17))</f>
        <v>0</v>
      </c>
      <c r="H12" s="55" t="n">
        <f aca="false">IF(OR(H$6&gt;Budget!$C$6,N(Budget!$O$17)=0,Budget!$E$17="",Budget!$E$17="Gratuit"),0,IF(Budget!$E$17="Forfait",IF(MOD(H$6-1,MAX(1,N(Budget!$F$17)))=0,N(Budget!$D$17),0),N(Budget!$D$17)*Budget!$O$17))</f>
        <v>0</v>
      </c>
      <c r="I12" s="55" t="n">
        <f aca="false">IF(OR(I$6&gt;Budget!$C$6,N(Budget!$O$17)=0,Budget!$E$17="",Budget!$E$17="Gratuit"),0,IF(Budget!$E$17="Forfait",IF(MOD(I$6-1,MAX(1,N(Budget!$F$17)))=0,N(Budget!$D$17),0),N(Budget!$D$17)*Budget!$O$17))</f>
        <v>0</v>
      </c>
      <c r="J12" s="55" t="n">
        <f aca="false">IF(OR(J$6&gt;Budget!$C$6,N(Budget!$O$17)=0,Budget!$E$17="",Budget!$E$17="Gratuit"),0,IF(Budget!$E$17="Forfait",IF(MOD(J$6-1,MAX(1,N(Budget!$F$17)))=0,N(Budget!$D$17),0),N(Budget!$D$17)*Budget!$O$17))</f>
        <v>0</v>
      </c>
      <c r="K12" s="55" t="n">
        <f aca="false">IF(OR(K$6&gt;Budget!$C$6,N(Budget!$O$17)=0,Budget!$E$17="",Budget!$E$17="Gratuit"),0,IF(Budget!$E$17="Forfait",IF(MOD(K$6-1,MAX(1,N(Budget!$F$17)))=0,N(Budget!$D$17),0),N(Budget!$D$17)*Budget!$O$17))</f>
        <v>0</v>
      </c>
      <c r="L12" s="55" t="n">
        <f aca="false">IF(OR(L$6&gt;Budget!$C$6,N(Budget!$O$17)=0,Budget!$E$17="",Budget!$E$17="Gratuit"),0,IF(Budget!$E$17="Forfait",IF(MOD(L$6-1,MAX(1,N(Budget!$F$17)))=0,N(Budget!$D$17),0),N(Budget!$D$17)*Budget!$O$17))</f>
        <v>0</v>
      </c>
      <c r="M12" s="55" t="n">
        <f aca="false">IF(OR(M$6&gt;Budget!$C$6,N(Budget!$O$17)=0,Budget!$E$17="",Budget!$E$17="Gratuit"),0,IF(Budget!$E$17="Forfait",IF(MOD(M$6-1,MAX(1,N(Budget!$F$17)))=0,N(Budget!$D$17),0),N(Budget!$D$17)*Budget!$O$17))</f>
        <v>0</v>
      </c>
      <c r="N12" s="55" t="n">
        <f aca="false">IF(OR(N$6&gt;Budget!$C$6,N(Budget!$O$17)=0,Budget!$E$17="",Budget!$E$17="Gratuit"),0,IF(Budget!$E$17="Forfait",IF(MOD(N$6-1,MAX(1,N(Budget!$F$17)))=0,N(Budget!$D$17),0),N(Budget!$D$17)*Budget!$O$17))</f>
        <v>0</v>
      </c>
      <c r="O12" s="40" t="n">
        <f aca="false">SUM(C12:N12)</f>
        <v>400</v>
      </c>
    </row>
    <row r="13" customFormat="false" ht="15" hidden="false" customHeight="false" outlineLevel="0" collapsed="false">
      <c r="B13" s="54" t="str">
        <f aca="false">IF(Budget!$B$18="","",Budget!$B$18&amp;IF(Budget!$C$18="",""," – "&amp;Budget!$C$18))</f>
        <v>France Travail – Offre d'emploi</v>
      </c>
      <c r="C13" s="55" t="n">
        <f aca="false">IF(OR(C$6&gt;Budget!$C$6,N(Budget!$O$18)=0,Budget!$E$18="",Budget!$E$18="Gratuit"),0,IF(Budget!$E$18="Forfait",IF(MOD(C$6-1,MAX(1,N(Budget!$F$18)))=0,N(Budget!$D$18),0),N(Budget!$D$18)*Budget!$O$18))</f>
        <v>0</v>
      </c>
      <c r="D13" s="55" t="n">
        <f aca="false">IF(OR(D$6&gt;Budget!$C$6,N(Budget!$O$18)=0,Budget!$E$18="",Budget!$E$18="Gratuit"),0,IF(Budget!$E$18="Forfait",IF(MOD(D$6-1,MAX(1,N(Budget!$F$18)))=0,N(Budget!$D$18),0),N(Budget!$D$18)*Budget!$O$18))</f>
        <v>0</v>
      </c>
      <c r="E13" s="55" t="n">
        <f aca="false">IF(OR(E$6&gt;Budget!$C$6,N(Budget!$O$18)=0,Budget!$E$18="",Budget!$E$18="Gratuit"),0,IF(Budget!$E$18="Forfait",IF(MOD(E$6-1,MAX(1,N(Budget!$F$18)))=0,N(Budget!$D$18),0),N(Budget!$D$18)*Budget!$O$18))</f>
        <v>0</v>
      </c>
      <c r="F13" s="55" t="n">
        <f aca="false">IF(OR(F$6&gt;Budget!$C$6,N(Budget!$O$18)=0,Budget!$E$18="",Budget!$E$18="Gratuit"),0,IF(Budget!$E$18="Forfait",IF(MOD(F$6-1,MAX(1,N(Budget!$F$18)))=0,N(Budget!$D$18),0),N(Budget!$D$18)*Budget!$O$18))</f>
        <v>0</v>
      </c>
      <c r="G13" s="55" t="n">
        <f aca="false">IF(OR(G$6&gt;Budget!$C$6,N(Budget!$O$18)=0,Budget!$E$18="",Budget!$E$18="Gratuit"),0,IF(Budget!$E$18="Forfait",IF(MOD(G$6-1,MAX(1,N(Budget!$F$18)))=0,N(Budget!$D$18),0),N(Budget!$D$18)*Budget!$O$18))</f>
        <v>0</v>
      </c>
      <c r="H13" s="55" t="n">
        <f aca="false">IF(OR(H$6&gt;Budget!$C$6,N(Budget!$O$18)=0,Budget!$E$18="",Budget!$E$18="Gratuit"),0,IF(Budget!$E$18="Forfait",IF(MOD(H$6-1,MAX(1,N(Budget!$F$18)))=0,N(Budget!$D$18),0),N(Budget!$D$18)*Budget!$O$18))</f>
        <v>0</v>
      </c>
      <c r="I13" s="55" t="n">
        <f aca="false">IF(OR(I$6&gt;Budget!$C$6,N(Budget!$O$18)=0,Budget!$E$18="",Budget!$E$18="Gratuit"),0,IF(Budget!$E$18="Forfait",IF(MOD(I$6-1,MAX(1,N(Budget!$F$18)))=0,N(Budget!$D$18),0),N(Budget!$D$18)*Budget!$O$18))</f>
        <v>0</v>
      </c>
      <c r="J13" s="55" t="n">
        <f aca="false">IF(OR(J$6&gt;Budget!$C$6,N(Budget!$O$18)=0,Budget!$E$18="",Budget!$E$18="Gratuit"),0,IF(Budget!$E$18="Forfait",IF(MOD(J$6-1,MAX(1,N(Budget!$F$18)))=0,N(Budget!$D$18),0),N(Budget!$D$18)*Budget!$O$18))</f>
        <v>0</v>
      </c>
      <c r="K13" s="55" t="n">
        <f aca="false">IF(OR(K$6&gt;Budget!$C$6,N(Budget!$O$18)=0,Budget!$E$18="",Budget!$E$18="Gratuit"),0,IF(Budget!$E$18="Forfait",IF(MOD(K$6-1,MAX(1,N(Budget!$F$18)))=0,N(Budget!$D$18),0),N(Budget!$D$18)*Budget!$O$18))</f>
        <v>0</v>
      </c>
      <c r="L13" s="55" t="n">
        <f aca="false">IF(OR(L$6&gt;Budget!$C$6,N(Budget!$O$18)=0,Budget!$E$18="",Budget!$E$18="Gratuit"),0,IF(Budget!$E$18="Forfait",IF(MOD(L$6-1,MAX(1,N(Budget!$F$18)))=0,N(Budget!$D$18),0),N(Budget!$D$18)*Budget!$O$18))</f>
        <v>0</v>
      </c>
      <c r="M13" s="55" t="n">
        <f aca="false">IF(OR(M$6&gt;Budget!$C$6,N(Budget!$O$18)=0,Budget!$E$18="",Budget!$E$18="Gratuit"),0,IF(Budget!$E$18="Forfait",IF(MOD(M$6-1,MAX(1,N(Budget!$F$18)))=0,N(Budget!$D$18),0),N(Budget!$D$18)*Budget!$O$18))</f>
        <v>0</v>
      </c>
      <c r="N13" s="55" t="n">
        <f aca="false">IF(OR(N$6&gt;Budget!$C$6,N(Budget!$O$18)=0,Budget!$E$18="",Budget!$E$18="Gratuit"),0,IF(Budget!$E$18="Forfait",IF(MOD(N$6-1,MAX(1,N(Budget!$F$18)))=0,N(Budget!$D$18),0),N(Budget!$D$18)*Budget!$O$18))</f>
        <v>0</v>
      </c>
      <c r="O13" s="40" t="n">
        <f aca="false">SUM(C13:N13)</f>
        <v>0</v>
      </c>
    </row>
    <row r="14" customFormat="false" ht="15" hidden="false" customHeight="false" outlineLevel="0" collapsed="false">
      <c r="B14" s="54" t="str">
        <f aca="false">IF(Budget!$B$19="","",Budget!$B$19&amp;IF(Budget!$C$19="",""," – "&amp;Budget!$C$19))</f>
        <v>Apec – Offre cadre</v>
      </c>
      <c r="C14" s="55" t="n">
        <f aca="false">IF(OR(C$6&gt;Budget!$C$6,N(Budget!$O$19)=0,Budget!$E$19="",Budget!$E$19="Gratuit"),0,IF(Budget!$E$19="Forfait",IF(MOD(C$6-1,MAX(1,N(Budget!$F$19)))=0,N(Budget!$D$19),0),N(Budget!$D$19)*Budget!$O$19))</f>
        <v>0</v>
      </c>
      <c r="D14" s="55" t="n">
        <f aca="false">IF(OR(D$6&gt;Budget!$C$6,N(Budget!$O$19)=0,Budget!$E$19="",Budget!$E$19="Gratuit"),0,IF(Budget!$E$19="Forfait",IF(MOD(D$6-1,MAX(1,N(Budget!$F$19)))=0,N(Budget!$D$19),0),N(Budget!$D$19)*Budget!$O$19))</f>
        <v>0</v>
      </c>
      <c r="E14" s="55" t="n">
        <f aca="false">IF(OR(E$6&gt;Budget!$C$6,N(Budget!$O$19)=0,Budget!$E$19="",Budget!$E$19="Gratuit"),0,IF(Budget!$E$19="Forfait",IF(MOD(E$6-1,MAX(1,N(Budget!$F$19)))=0,N(Budget!$D$19),0),N(Budget!$D$19)*Budget!$O$19))</f>
        <v>0</v>
      </c>
      <c r="F14" s="55" t="n">
        <f aca="false">IF(OR(F$6&gt;Budget!$C$6,N(Budget!$O$19)=0,Budget!$E$19="",Budget!$E$19="Gratuit"),0,IF(Budget!$E$19="Forfait",IF(MOD(F$6-1,MAX(1,N(Budget!$F$19)))=0,N(Budget!$D$19),0),N(Budget!$D$19)*Budget!$O$19))</f>
        <v>0</v>
      </c>
      <c r="G14" s="55" t="n">
        <f aca="false">IF(OR(G$6&gt;Budget!$C$6,N(Budget!$O$19)=0,Budget!$E$19="",Budget!$E$19="Gratuit"),0,IF(Budget!$E$19="Forfait",IF(MOD(G$6-1,MAX(1,N(Budget!$F$19)))=0,N(Budget!$D$19),0),N(Budget!$D$19)*Budget!$O$19))</f>
        <v>0</v>
      </c>
      <c r="H14" s="55" t="n">
        <f aca="false">IF(OR(H$6&gt;Budget!$C$6,N(Budget!$O$19)=0,Budget!$E$19="",Budget!$E$19="Gratuit"),0,IF(Budget!$E$19="Forfait",IF(MOD(H$6-1,MAX(1,N(Budget!$F$19)))=0,N(Budget!$D$19),0),N(Budget!$D$19)*Budget!$O$19))</f>
        <v>0</v>
      </c>
      <c r="I14" s="55" t="n">
        <f aca="false">IF(OR(I$6&gt;Budget!$C$6,N(Budget!$O$19)=0,Budget!$E$19="",Budget!$E$19="Gratuit"),0,IF(Budget!$E$19="Forfait",IF(MOD(I$6-1,MAX(1,N(Budget!$F$19)))=0,N(Budget!$D$19),0),N(Budget!$D$19)*Budget!$O$19))</f>
        <v>0</v>
      </c>
      <c r="J14" s="55" t="n">
        <f aca="false">IF(OR(J$6&gt;Budget!$C$6,N(Budget!$O$19)=0,Budget!$E$19="",Budget!$E$19="Gratuit"),0,IF(Budget!$E$19="Forfait",IF(MOD(J$6-1,MAX(1,N(Budget!$F$19)))=0,N(Budget!$D$19),0),N(Budget!$D$19)*Budget!$O$19))</f>
        <v>0</v>
      </c>
      <c r="K14" s="55" t="n">
        <f aca="false">IF(OR(K$6&gt;Budget!$C$6,N(Budget!$O$19)=0,Budget!$E$19="",Budget!$E$19="Gratuit"),0,IF(Budget!$E$19="Forfait",IF(MOD(K$6-1,MAX(1,N(Budget!$F$19)))=0,N(Budget!$D$19),0),N(Budget!$D$19)*Budget!$O$19))</f>
        <v>0</v>
      </c>
      <c r="L14" s="55" t="n">
        <f aca="false">IF(OR(L$6&gt;Budget!$C$6,N(Budget!$O$19)=0,Budget!$E$19="",Budget!$E$19="Gratuit"),0,IF(Budget!$E$19="Forfait",IF(MOD(L$6-1,MAX(1,N(Budget!$F$19)))=0,N(Budget!$D$19),0),N(Budget!$D$19)*Budget!$O$19))</f>
        <v>0</v>
      </c>
      <c r="M14" s="55" t="n">
        <f aca="false">IF(OR(M$6&gt;Budget!$C$6,N(Budget!$O$19)=0,Budget!$E$19="",Budget!$E$19="Gratuit"),0,IF(Budget!$E$19="Forfait",IF(MOD(M$6-1,MAX(1,N(Budget!$F$19)))=0,N(Budget!$D$19),0),N(Budget!$D$19)*Budget!$O$19))</f>
        <v>0</v>
      </c>
      <c r="N14" s="55" t="n">
        <f aca="false">IF(OR(N$6&gt;Budget!$C$6,N(Budget!$O$19)=0,Budget!$E$19="",Budget!$E$19="Gratuit"),0,IF(Budget!$E$19="Forfait",IF(MOD(N$6-1,MAX(1,N(Budget!$F$19)))=0,N(Budget!$D$19),0),N(Budget!$D$19)*Budget!$O$19))</f>
        <v>0</v>
      </c>
      <c r="O14" s="40" t="n">
        <f aca="false">SUM(C14:N14)</f>
        <v>0</v>
      </c>
    </row>
    <row r="15" customFormat="false" ht="15" hidden="false" customHeight="false" outlineLevel="0" collapsed="false">
      <c r="B15" s="54" t="str">
        <f aca="false">IF(Budget!$B$20="","",Budget!$B$20&amp;IF(Budget!$C$20="",""," – "&amp;Budget!$C$20))</f>
        <v>CNB – Offre d'emploi</v>
      </c>
      <c r="C15" s="55" t="n">
        <f aca="false">IF(OR(C$6&gt;Budget!$C$6,N(Budget!$O$20)=0,Budget!$E$20="",Budget!$E$20="Gratuit"),0,IF(Budget!$E$20="Forfait",IF(MOD(C$6-1,MAX(1,N(Budget!$F$20)))=0,N(Budget!$D$20),0),N(Budget!$D$20)*Budget!$O$20))</f>
        <v>0</v>
      </c>
      <c r="D15" s="55" t="n">
        <f aca="false">IF(OR(D$6&gt;Budget!$C$6,N(Budget!$O$20)=0,Budget!$E$20="",Budget!$E$20="Gratuit"),0,IF(Budget!$E$20="Forfait",IF(MOD(D$6-1,MAX(1,N(Budget!$F$20)))=0,N(Budget!$D$20),0),N(Budget!$D$20)*Budget!$O$20))</f>
        <v>0</v>
      </c>
      <c r="E15" s="55" t="n">
        <f aca="false">IF(OR(E$6&gt;Budget!$C$6,N(Budget!$O$20)=0,Budget!$E$20="",Budget!$E$20="Gratuit"),0,IF(Budget!$E$20="Forfait",IF(MOD(E$6-1,MAX(1,N(Budget!$F$20)))=0,N(Budget!$D$20),0),N(Budget!$D$20)*Budget!$O$20))</f>
        <v>0</v>
      </c>
      <c r="F15" s="55" t="n">
        <f aca="false">IF(OR(F$6&gt;Budget!$C$6,N(Budget!$O$20)=0,Budget!$E$20="",Budget!$E$20="Gratuit"),0,IF(Budget!$E$20="Forfait",IF(MOD(F$6-1,MAX(1,N(Budget!$F$20)))=0,N(Budget!$D$20),0),N(Budget!$D$20)*Budget!$O$20))</f>
        <v>0</v>
      </c>
      <c r="G15" s="55" t="n">
        <f aca="false">IF(OR(G$6&gt;Budget!$C$6,N(Budget!$O$20)=0,Budget!$E$20="",Budget!$E$20="Gratuit"),0,IF(Budget!$E$20="Forfait",IF(MOD(G$6-1,MAX(1,N(Budget!$F$20)))=0,N(Budget!$D$20),0),N(Budget!$D$20)*Budget!$O$20))</f>
        <v>0</v>
      </c>
      <c r="H15" s="55" t="n">
        <f aca="false">IF(OR(H$6&gt;Budget!$C$6,N(Budget!$O$20)=0,Budget!$E$20="",Budget!$E$20="Gratuit"),0,IF(Budget!$E$20="Forfait",IF(MOD(H$6-1,MAX(1,N(Budget!$F$20)))=0,N(Budget!$D$20),0),N(Budget!$D$20)*Budget!$O$20))</f>
        <v>0</v>
      </c>
      <c r="I15" s="55" t="n">
        <f aca="false">IF(OR(I$6&gt;Budget!$C$6,N(Budget!$O$20)=0,Budget!$E$20="",Budget!$E$20="Gratuit"),0,IF(Budget!$E$20="Forfait",IF(MOD(I$6-1,MAX(1,N(Budget!$F$20)))=0,N(Budget!$D$20),0),N(Budget!$D$20)*Budget!$O$20))</f>
        <v>0</v>
      </c>
      <c r="J15" s="55" t="n">
        <f aca="false">IF(OR(J$6&gt;Budget!$C$6,N(Budget!$O$20)=0,Budget!$E$20="",Budget!$E$20="Gratuit"),0,IF(Budget!$E$20="Forfait",IF(MOD(J$6-1,MAX(1,N(Budget!$F$20)))=0,N(Budget!$D$20),0),N(Budget!$D$20)*Budget!$O$20))</f>
        <v>0</v>
      </c>
      <c r="K15" s="55" t="n">
        <f aca="false">IF(OR(K$6&gt;Budget!$C$6,N(Budget!$O$20)=0,Budget!$E$20="",Budget!$E$20="Gratuit"),0,IF(Budget!$E$20="Forfait",IF(MOD(K$6-1,MAX(1,N(Budget!$F$20)))=0,N(Budget!$D$20),0),N(Budget!$D$20)*Budget!$O$20))</f>
        <v>0</v>
      </c>
      <c r="L15" s="55" t="n">
        <f aca="false">IF(OR(L$6&gt;Budget!$C$6,N(Budget!$O$20)=0,Budget!$E$20="",Budget!$E$20="Gratuit"),0,IF(Budget!$E$20="Forfait",IF(MOD(L$6-1,MAX(1,N(Budget!$F$20)))=0,N(Budget!$D$20),0),N(Budget!$D$20)*Budget!$O$20))</f>
        <v>0</v>
      </c>
      <c r="M15" s="55" t="n">
        <f aca="false">IF(OR(M$6&gt;Budget!$C$6,N(Budget!$O$20)=0,Budget!$E$20="",Budget!$E$20="Gratuit"),0,IF(Budget!$E$20="Forfait",IF(MOD(M$6-1,MAX(1,N(Budget!$F$20)))=0,N(Budget!$D$20),0),N(Budget!$D$20)*Budget!$O$20))</f>
        <v>0</v>
      </c>
      <c r="N15" s="55" t="n">
        <f aca="false">IF(OR(N$6&gt;Budget!$C$6,N(Budget!$O$20)=0,Budget!$E$20="",Budget!$E$20="Gratuit"),0,IF(Budget!$E$20="Forfait",IF(MOD(N$6-1,MAX(1,N(Budget!$F$20)))=0,N(Budget!$D$20),0),N(Budget!$D$20)*Budget!$O$20))</f>
        <v>0</v>
      </c>
      <c r="O15" s="40" t="n">
        <f aca="false">SUM(C15:N15)</f>
        <v>0</v>
      </c>
    </row>
    <row r="16" customFormat="false" ht="15" hidden="false" customHeight="false" outlineLevel="0" collapsed="false">
      <c r="B16" s="54" t="str">
        <f aca="false">IF(Budget!$B$21="","",Budget!$B$21&amp;IF(Budget!$C$21="",""," – "&amp;Budget!$C$21))</f>
        <v>Ordre des avocats de Grenoble – Offre d'emploi</v>
      </c>
      <c r="C16" s="55" t="n">
        <f aca="false">IF(OR(C$6&gt;Budget!$C$6,N(Budget!$O$21)=0,Budget!$E$21="",Budget!$E$21="Gratuit"),0,IF(Budget!$E$21="Forfait",IF(MOD(C$6-1,MAX(1,N(Budget!$F$21)))=0,N(Budget!$D$21),0),N(Budget!$D$21)*Budget!$O$21))</f>
        <v>0</v>
      </c>
      <c r="D16" s="55" t="n">
        <f aca="false">IF(OR(D$6&gt;Budget!$C$6,N(Budget!$O$21)=0,Budget!$E$21="",Budget!$E$21="Gratuit"),0,IF(Budget!$E$21="Forfait",IF(MOD(D$6-1,MAX(1,N(Budget!$F$21)))=0,N(Budget!$D$21),0),N(Budget!$D$21)*Budget!$O$21))</f>
        <v>0</v>
      </c>
      <c r="E16" s="55" t="n">
        <f aca="false">IF(OR(E$6&gt;Budget!$C$6,N(Budget!$O$21)=0,Budget!$E$21="",Budget!$E$21="Gratuit"),0,IF(Budget!$E$21="Forfait",IF(MOD(E$6-1,MAX(1,N(Budget!$F$21)))=0,N(Budget!$D$21),0),N(Budget!$D$21)*Budget!$O$21))</f>
        <v>0</v>
      </c>
      <c r="F16" s="55" t="n">
        <f aca="false">IF(OR(F$6&gt;Budget!$C$6,N(Budget!$O$21)=0,Budget!$E$21="",Budget!$E$21="Gratuit"),0,IF(Budget!$E$21="Forfait",IF(MOD(F$6-1,MAX(1,N(Budget!$F$21)))=0,N(Budget!$D$21),0),N(Budget!$D$21)*Budget!$O$21))</f>
        <v>0</v>
      </c>
      <c r="G16" s="55" t="n">
        <f aca="false">IF(OR(G$6&gt;Budget!$C$6,N(Budget!$O$21)=0,Budget!$E$21="",Budget!$E$21="Gratuit"),0,IF(Budget!$E$21="Forfait",IF(MOD(G$6-1,MAX(1,N(Budget!$F$21)))=0,N(Budget!$D$21),0),N(Budget!$D$21)*Budget!$O$21))</f>
        <v>0</v>
      </c>
      <c r="H16" s="55" t="n">
        <f aca="false">IF(OR(H$6&gt;Budget!$C$6,N(Budget!$O$21)=0,Budget!$E$21="",Budget!$E$21="Gratuit"),0,IF(Budget!$E$21="Forfait",IF(MOD(H$6-1,MAX(1,N(Budget!$F$21)))=0,N(Budget!$D$21),0),N(Budget!$D$21)*Budget!$O$21))</f>
        <v>0</v>
      </c>
      <c r="I16" s="55" t="n">
        <f aca="false">IF(OR(I$6&gt;Budget!$C$6,N(Budget!$O$21)=0,Budget!$E$21="",Budget!$E$21="Gratuit"),0,IF(Budget!$E$21="Forfait",IF(MOD(I$6-1,MAX(1,N(Budget!$F$21)))=0,N(Budget!$D$21),0),N(Budget!$D$21)*Budget!$O$21))</f>
        <v>0</v>
      </c>
      <c r="J16" s="55" t="n">
        <f aca="false">IF(OR(J$6&gt;Budget!$C$6,N(Budget!$O$21)=0,Budget!$E$21="",Budget!$E$21="Gratuit"),0,IF(Budget!$E$21="Forfait",IF(MOD(J$6-1,MAX(1,N(Budget!$F$21)))=0,N(Budget!$D$21),0),N(Budget!$D$21)*Budget!$O$21))</f>
        <v>0</v>
      </c>
      <c r="K16" s="55" t="n">
        <f aca="false">IF(OR(K$6&gt;Budget!$C$6,N(Budget!$O$21)=0,Budget!$E$21="",Budget!$E$21="Gratuit"),0,IF(Budget!$E$21="Forfait",IF(MOD(K$6-1,MAX(1,N(Budget!$F$21)))=0,N(Budget!$D$21),0),N(Budget!$D$21)*Budget!$O$21))</f>
        <v>0</v>
      </c>
      <c r="L16" s="55" t="n">
        <f aca="false">IF(OR(L$6&gt;Budget!$C$6,N(Budget!$O$21)=0,Budget!$E$21="",Budget!$E$21="Gratuit"),0,IF(Budget!$E$21="Forfait",IF(MOD(L$6-1,MAX(1,N(Budget!$F$21)))=0,N(Budget!$D$21),0),N(Budget!$D$21)*Budget!$O$21))</f>
        <v>0</v>
      </c>
      <c r="M16" s="55" t="n">
        <f aca="false">IF(OR(M$6&gt;Budget!$C$6,N(Budget!$O$21)=0,Budget!$E$21="",Budget!$E$21="Gratuit"),0,IF(Budget!$E$21="Forfait",IF(MOD(M$6-1,MAX(1,N(Budget!$F$21)))=0,N(Budget!$D$21),0),N(Budget!$D$21)*Budget!$O$21))</f>
        <v>0</v>
      </c>
      <c r="N16" s="55" t="n">
        <f aca="false">IF(OR(N$6&gt;Budget!$C$6,N(Budget!$O$21)=0,Budget!$E$21="",Budget!$E$21="Gratuit"),0,IF(Budget!$E$21="Forfait",IF(MOD(N$6-1,MAX(1,N(Budget!$F$21)))=0,N(Budget!$D$21),0),N(Budget!$D$21)*Budget!$O$21))</f>
        <v>0</v>
      </c>
      <c r="O16" s="40" t="n">
        <f aca="false">SUM(C16:N16)</f>
        <v>0</v>
      </c>
    </row>
    <row r="17" customFormat="false" ht="15" hidden="false" customHeight="false" outlineLevel="0" collapsed="false">
      <c r="B17" s="54" t="str">
        <f aca="false">IF(Budget!$B$22="","",Budget!$B$22&amp;IF(Budget!$C$22="",""," – "&amp;Budget!$C$22))</f>
        <v>Meta (Facebook, Instagram) – Boost de publication</v>
      </c>
      <c r="C17" s="55" t="n">
        <f aca="false">IF(OR(C$6&gt;Budget!$C$6,N(Budget!$O$22)=0,Budget!$E$22="",Budget!$E$22="Gratuit"),0,IF(Budget!$E$22="Forfait",IF(MOD(C$6-1,MAX(1,N(Budget!$F$22)))=0,N(Budget!$D$22),0),N(Budget!$D$22)*Budget!$O$22))</f>
        <v>100</v>
      </c>
      <c r="D17" s="55" t="n">
        <f aca="false">IF(OR(D$6&gt;Budget!$C$6,N(Budget!$O$22)=0,Budget!$E$22="",Budget!$E$22="Gratuit"),0,IF(Budget!$E$22="Forfait",IF(MOD(D$6-1,MAX(1,N(Budget!$F$22)))=0,N(Budget!$D$22),0),N(Budget!$D$22)*Budget!$O$22))</f>
        <v>100</v>
      </c>
      <c r="E17" s="55" t="n">
        <f aca="false">IF(OR(E$6&gt;Budget!$C$6,N(Budget!$O$22)=0,Budget!$E$22="",Budget!$E$22="Gratuit"),0,IF(Budget!$E$22="Forfait",IF(MOD(E$6-1,MAX(1,N(Budget!$F$22)))=0,N(Budget!$D$22),0),N(Budget!$D$22)*Budget!$O$22))</f>
        <v>0</v>
      </c>
      <c r="F17" s="55" t="n">
        <f aca="false">IF(OR(F$6&gt;Budget!$C$6,N(Budget!$O$22)=0,Budget!$E$22="",Budget!$E$22="Gratuit"),0,IF(Budget!$E$22="Forfait",IF(MOD(F$6-1,MAX(1,N(Budget!$F$22)))=0,N(Budget!$D$22),0),N(Budget!$D$22)*Budget!$O$22))</f>
        <v>0</v>
      </c>
      <c r="G17" s="55" t="n">
        <f aca="false">IF(OR(G$6&gt;Budget!$C$6,N(Budget!$O$22)=0,Budget!$E$22="",Budget!$E$22="Gratuit"),0,IF(Budget!$E$22="Forfait",IF(MOD(G$6-1,MAX(1,N(Budget!$F$22)))=0,N(Budget!$D$22),0),N(Budget!$D$22)*Budget!$O$22))</f>
        <v>0</v>
      </c>
      <c r="H17" s="55" t="n">
        <f aca="false">IF(OR(H$6&gt;Budget!$C$6,N(Budget!$O$22)=0,Budget!$E$22="",Budget!$E$22="Gratuit"),0,IF(Budget!$E$22="Forfait",IF(MOD(H$6-1,MAX(1,N(Budget!$F$22)))=0,N(Budget!$D$22),0),N(Budget!$D$22)*Budget!$O$22))</f>
        <v>0</v>
      </c>
      <c r="I17" s="55" t="n">
        <f aca="false">IF(OR(I$6&gt;Budget!$C$6,N(Budget!$O$22)=0,Budget!$E$22="",Budget!$E$22="Gratuit"),0,IF(Budget!$E$22="Forfait",IF(MOD(I$6-1,MAX(1,N(Budget!$F$22)))=0,N(Budget!$D$22),0),N(Budget!$D$22)*Budget!$O$22))</f>
        <v>0</v>
      </c>
      <c r="J17" s="55" t="n">
        <f aca="false">IF(OR(J$6&gt;Budget!$C$6,N(Budget!$O$22)=0,Budget!$E$22="",Budget!$E$22="Gratuit"),0,IF(Budget!$E$22="Forfait",IF(MOD(J$6-1,MAX(1,N(Budget!$F$22)))=0,N(Budget!$D$22),0),N(Budget!$D$22)*Budget!$O$22))</f>
        <v>0</v>
      </c>
      <c r="K17" s="55" t="n">
        <f aca="false">IF(OR(K$6&gt;Budget!$C$6,N(Budget!$O$22)=0,Budget!$E$22="",Budget!$E$22="Gratuit"),0,IF(Budget!$E$22="Forfait",IF(MOD(K$6-1,MAX(1,N(Budget!$F$22)))=0,N(Budget!$D$22),0),N(Budget!$D$22)*Budget!$O$22))</f>
        <v>0</v>
      </c>
      <c r="L17" s="55" t="n">
        <f aca="false">IF(OR(L$6&gt;Budget!$C$6,N(Budget!$O$22)=0,Budget!$E$22="",Budget!$E$22="Gratuit"),0,IF(Budget!$E$22="Forfait",IF(MOD(L$6-1,MAX(1,N(Budget!$F$22)))=0,N(Budget!$D$22),0),N(Budget!$D$22)*Budget!$O$22))</f>
        <v>0</v>
      </c>
      <c r="M17" s="55" t="n">
        <f aca="false">IF(OR(M$6&gt;Budget!$C$6,N(Budget!$O$22)=0,Budget!$E$22="",Budget!$E$22="Gratuit"),0,IF(Budget!$E$22="Forfait",IF(MOD(M$6-1,MAX(1,N(Budget!$F$22)))=0,N(Budget!$D$22),0),N(Budget!$D$22)*Budget!$O$22))</f>
        <v>0</v>
      </c>
      <c r="N17" s="55" t="n">
        <f aca="false">IF(OR(N$6&gt;Budget!$C$6,N(Budget!$O$22)=0,Budget!$E$22="",Budget!$E$22="Gratuit"),0,IF(Budget!$E$22="Forfait",IF(MOD(N$6-1,MAX(1,N(Budget!$F$22)))=0,N(Budget!$D$22),0),N(Budget!$D$22)*Budget!$O$22))</f>
        <v>0</v>
      </c>
      <c r="O17" s="40" t="n">
        <f aca="false">SUM(C17:N17)</f>
        <v>200</v>
      </c>
    </row>
    <row r="18" customFormat="false" ht="15" hidden="false" customHeight="false" outlineLevel="0" collapsed="false">
      <c r="B18" s="54" t="str">
        <f aca="false">IF(Budget!$B$23="","",Budget!$B$23&amp;IF(Budget!$C$23="",""," – "&amp;Budget!$C$23))</f>
        <v>Autre plateforme</v>
      </c>
      <c r="C18" s="55" t="n">
        <f aca="false">IF(OR(C$6&gt;Budget!$C$6,N(Budget!$O$23)=0,Budget!$E$23="",Budget!$E$23="Gratuit"),0,IF(Budget!$E$23="Forfait",IF(MOD(C$6-1,MAX(1,N(Budget!$F$23)))=0,N(Budget!$D$23),0),N(Budget!$D$23)*Budget!$O$23))</f>
        <v>0</v>
      </c>
      <c r="D18" s="55" t="n">
        <f aca="false">IF(OR(D$6&gt;Budget!$C$6,N(Budget!$O$23)=0,Budget!$E$23="",Budget!$E$23="Gratuit"),0,IF(Budget!$E$23="Forfait",IF(MOD(D$6-1,MAX(1,N(Budget!$F$23)))=0,N(Budget!$D$23),0),N(Budget!$D$23)*Budget!$O$23))</f>
        <v>0</v>
      </c>
      <c r="E18" s="55" t="n">
        <f aca="false">IF(OR(E$6&gt;Budget!$C$6,N(Budget!$O$23)=0,Budget!$E$23="",Budget!$E$23="Gratuit"),0,IF(Budget!$E$23="Forfait",IF(MOD(E$6-1,MAX(1,N(Budget!$F$23)))=0,N(Budget!$D$23),0),N(Budget!$D$23)*Budget!$O$23))</f>
        <v>0</v>
      </c>
      <c r="F18" s="55" t="n">
        <f aca="false">IF(OR(F$6&gt;Budget!$C$6,N(Budget!$O$23)=0,Budget!$E$23="",Budget!$E$23="Gratuit"),0,IF(Budget!$E$23="Forfait",IF(MOD(F$6-1,MAX(1,N(Budget!$F$23)))=0,N(Budget!$D$23),0),N(Budget!$D$23)*Budget!$O$23))</f>
        <v>0</v>
      </c>
      <c r="G18" s="55" t="n">
        <f aca="false">IF(OR(G$6&gt;Budget!$C$6,N(Budget!$O$23)=0,Budget!$E$23="",Budget!$E$23="Gratuit"),0,IF(Budget!$E$23="Forfait",IF(MOD(G$6-1,MAX(1,N(Budget!$F$23)))=0,N(Budget!$D$23),0),N(Budget!$D$23)*Budget!$O$23))</f>
        <v>0</v>
      </c>
      <c r="H18" s="55" t="n">
        <f aca="false">IF(OR(H$6&gt;Budget!$C$6,N(Budget!$O$23)=0,Budget!$E$23="",Budget!$E$23="Gratuit"),0,IF(Budget!$E$23="Forfait",IF(MOD(H$6-1,MAX(1,N(Budget!$F$23)))=0,N(Budget!$D$23),0),N(Budget!$D$23)*Budget!$O$23))</f>
        <v>0</v>
      </c>
      <c r="I18" s="55" t="n">
        <f aca="false">IF(OR(I$6&gt;Budget!$C$6,N(Budget!$O$23)=0,Budget!$E$23="",Budget!$E$23="Gratuit"),0,IF(Budget!$E$23="Forfait",IF(MOD(I$6-1,MAX(1,N(Budget!$F$23)))=0,N(Budget!$D$23),0),N(Budget!$D$23)*Budget!$O$23))</f>
        <v>0</v>
      </c>
      <c r="J18" s="55" t="n">
        <f aca="false">IF(OR(J$6&gt;Budget!$C$6,N(Budget!$O$23)=0,Budget!$E$23="",Budget!$E$23="Gratuit"),0,IF(Budget!$E$23="Forfait",IF(MOD(J$6-1,MAX(1,N(Budget!$F$23)))=0,N(Budget!$D$23),0),N(Budget!$D$23)*Budget!$O$23))</f>
        <v>0</v>
      </c>
      <c r="K18" s="55" t="n">
        <f aca="false">IF(OR(K$6&gt;Budget!$C$6,N(Budget!$O$23)=0,Budget!$E$23="",Budget!$E$23="Gratuit"),0,IF(Budget!$E$23="Forfait",IF(MOD(K$6-1,MAX(1,N(Budget!$F$23)))=0,N(Budget!$D$23),0),N(Budget!$D$23)*Budget!$O$23))</f>
        <v>0</v>
      </c>
      <c r="L18" s="55" t="n">
        <f aca="false">IF(OR(L$6&gt;Budget!$C$6,N(Budget!$O$23)=0,Budget!$E$23="",Budget!$E$23="Gratuit"),0,IF(Budget!$E$23="Forfait",IF(MOD(L$6-1,MAX(1,N(Budget!$F$23)))=0,N(Budget!$D$23),0),N(Budget!$D$23)*Budget!$O$23))</f>
        <v>0</v>
      </c>
      <c r="M18" s="55" t="n">
        <f aca="false">IF(OR(M$6&gt;Budget!$C$6,N(Budget!$O$23)=0,Budget!$E$23="",Budget!$E$23="Gratuit"),0,IF(Budget!$E$23="Forfait",IF(MOD(M$6-1,MAX(1,N(Budget!$F$23)))=0,N(Budget!$D$23),0),N(Budget!$D$23)*Budget!$O$23))</f>
        <v>0</v>
      </c>
      <c r="N18" s="55" t="n">
        <f aca="false">IF(OR(N$6&gt;Budget!$C$6,N(Budget!$O$23)=0,Budget!$E$23="",Budget!$E$23="Gratuit"),0,IF(Budget!$E$23="Forfait",IF(MOD(N$6-1,MAX(1,N(Budget!$F$23)))=0,N(Budget!$D$23),0),N(Budget!$D$23)*Budget!$O$23))</f>
        <v>0</v>
      </c>
      <c r="O18" s="40" t="n">
        <f aca="false">SUM(C18:N18)</f>
        <v>0</v>
      </c>
    </row>
    <row r="19" customFormat="false" ht="15" hidden="false" customHeight="false" outlineLevel="0" collapsed="false">
      <c r="B19" s="54" t="str">
        <f aca="false">IF(Budget!$B$24="","",Budget!$B$24&amp;IF(Budget!$C$24="",""," – "&amp;Budget!$C$24))</f>
        <v>Autre plateforme</v>
      </c>
      <c r="C19" s="55" t="n">
        <f aca="false">IF(OR(C$6&gt;Budget!$C$6,N(Budget!$O$24)=0,Budget!$E$24="",Budget!$E$24="Gratuit"),0,IF(Budget!$E$24="Forfait",IF(MOD(C$6-1,MAX(1,N(Budget!$F$24)))=0,N(Budget!$D$24),0),N(Budget!$D$24)*Budget!$O$24))</f>
        <v>0</v>
      </c>
      <c r="D19" s="55" t="n">
        <f aca="false">IF(OR(D$6&gt;Budget!$C$6,N(Budget!$O$24)=0,Budget!$E$24="",Budget!$E$24="Gratuit"),0,IF(Budget!$E$24="Forfait",IF(MOD(D$6-1,MAX(1,N(Budget!$F$24)))=0,N(Budget!$D$24),0),N(Budget!$D$24)*Budget!$O$24))</f>
        <v>0</v>
      </c>
      <c r="E19" s="55" t="n">
        <f aca="false">IF(OR(E$6&gt;Budget!$C$6,N(Budget!$O$24)=0,Budget!$E$24="",Budget!$E$24="Gratuit"),0,IF(Budget!$E$24="Forfait",IF(MOD(E$6-1,MAX(1,N(Budget!$F$24)))=0,N(Budget!$D$24),0),N(Budget!$D$24)*Budget!$O$24))</f>
        <v>0</v>
      </c>
      <c r="F19" s="55" t="n">
        <f aca="false">IF(OR(F$6&gt;Budget!$C$6,N(Budget!$O$24)=0,Budget!$E$24="",Budget!$E$24="Gratuit"),0,IF(Budget!$E$24="Forfait",IF(MOD(F$6-1,MAX(1,N(Budget!$F$24)))=0,N(Budget!$D$24),0),N(Budget!$D$24)*Budget!$O$24))</f>
        <v>0</v>
      </c>
      <c r="G19" s="55" t="n">
        <f aca="false">IF(OR(G$6&gt;Budget!$C$6,N(Budget!$O$24)=0,Budget!$E$24="",Budget!$E$24="Gratuit"),0,IF(Budget!$E$24="Forfait",IF(MOD(G$6-1,MAX(1,N(Budget!$F$24)))=0,N(Budget!$D$24),0),N(Budget!$D$24)*Budget!$O$24))</f>
        <v>0</v>
      </c>
      <c r="H19" s="55" t="n">
        <f aca="false">IF(OR(H$6&gt;Budget!$C$6,N(Budget!$O$24)=0,Budget!$E$24="",Budget!$E$24="Gratuit"),0,IF(Budget!$E$24="Forfait",IF(MOD(H$6-1,MAX(1,N(Budget!$F$24)))=0,N(Budget!$D$24),0),N(Budget!$D$24)*Budget!$O$24))</f>
        <v>0</v>
      </c>
      <c r="I19" s="55" t="n">
        <f aca="false">IF(OR(I$6&gt;Budget!$C$6,N(Budget!$O$24)=0,Budget!$E$24="",Budget!$E$24="Gratuit"),0,IF(Budget!$E$24="Forfait",IF(MOD(I$6-1,MAX(1,N(Budget!$F$24)))=0,N(Budget!$D$24),0),N(Budget!$D$24)*Budget!$O$24))</f>
        <v>0</v>
      </c>
      <c r="J19" s="55" t="n">
        <f aca="false">IF(OR(J$6&gt;Budget!$C$6,N(Budget!$O$24)=0,Budget!$E$24="",Budget!$E$24="Gratuit"),0,IF(Budget!$E$24="Forfait",IF(MOD(J$6-1,MAX(1,N(Budget!$F$24)))=0,N(Budget!$D$24),0),N(Budget!$D$24)*Budget!$O$24))</f>
        <v>0</v>
      </c>
      <c r="K19" s="55" t="n">
        <f aca="false">IF(OR(K$6&gt;Budget!$C$6,N(Budget!$O$24)=0,Budget!$E$24="",Budget!$E$24="Gratuit"),0,IF(Budget!$E$24="Forfait",IF(MOD(K$6-1,MAX(1,N(Budget!$F$24)))=0,N(Budget!$D$24),0),N(Budget!$D$24)*Budget!$O$24))</f>
        <v>0</v>
      </c>
      <c r="L19" s="55" t="n">
        <f aca="false">IF(OR(L$6&gt;Budget!$C$6,N(Budget!$O$24)=0,Budget!$E$24="",Budget!$E$24="Gratuit"),0,IF(Budget!$E$24="Forfait",IF(MOD(L$6-1,MAX(1,N(Budget!$F$24)))=0,N(Budget!$D$24),0),N(Budget!$D$24)*Budget!$O$24))</f>
        <v>0</v>
      </c>
      <c r="M19" s="55" t="n">
        <f aca="false">IF(OR(M$6&gt;Budget!$C$6,N(Budget!$O$24)=0,Budget!$E$24="",Budget!$E$24="Gratuit"),0,IF(Budget!$E$24="Forfait",IF(MOD(M$6-1,MAX(1,N(Budget!$F$24)))=0,N(Budget!$D$24),0),N(Budget!$D$24)*Budget!$O$24))</f>
        <v>0</v>
      </c>
      <c r="N19" s="55" t="n">
        <f aca="false">IF(OR(N$6&gt;Budget!$C$6,N(Budget!$O$24)=0,Budget!$E$24="",Budget!$E$24="Gratuit"),0,IF(Budget!$E$24="Forfait",IF(MOD(N$6-1,MAX(1,N(Budget!$F$24)))=0,N(Budget!$D$24),0),N(Budget!$D$24)*Budget!$O$24))</f>
        <v>0</v>
      </c>
      <c r="O19" s="40" t="n">
        <f aca="false">SUM(C19:N19)</f>
        <v>0</v>
      </c>
    </row>
    <row r="20" customFormat="false" ht="15" hidden="false" customHeight="false" outlineLevel="0" collapsed="false">
      <c r="B20" s="56" t="str">
        <f aca="false">"Total du mois ("&amp;Budget!$C$7&amp;")"</f>
        <v>Total du mois (HT)</v>
      </c>
      <c r="C20" s="57" t="n">
        <f aca="false">SUM(C8:C19)</f>
        <v>740</v>
      </c>
      <c r="D20" s="57" t="n">
        <f aca="false">SUM(D8:D19)</f>
        <v>450</v>
      </c>
      <c r="E20" s="57" t="n">
        <f aca="false">SUM(E8:E19)</f>
        <v>0</v>
      </c>
      <c r="F20" s="57" t="n">
        <f aca="false">SUM(F8:F19)</f>
        <v>0</v>
      </c>
      <c r="G20" s="57" t="n">
        <f aca="false">SUM(G8:G19)</f>
        <v>0</v>
      </c>
      <c r="H20" s="57" t="n">
        <f aca="false">SUM(H8:H19)</f>
        <v>0</v>
      </c>
      <c r="I20" s="57" t="n">
        <f aca="false">SUM(I8:I19)</f>
        <v>0</v>
      </c>
      <c r="J20" s="57" t="n">
        <f aca="false">SUM(J8:J19)</f>
        <v>0</v>
      </c>
      <c r="K20" s="57" t="n">
        <f aca="false">SUM(K8:K19)</f>
        <v>0</v>
      </c>
      <c r="L20" s="57" t="n">
        <f aca="false">SUM(L8:L19)</f>
        <v>0</v>
      </c>
      <c r="M20" s="57" t="n">
        <f aca="false">SUM(M8:M19)</f>
        <v>0</v>
      </c>
      <c r="N20" s="57" t="n">
        <f aca="false">SUM(N8:N19)</f>
        <v>0</v>
      </c>
      <c r="O20" s="57" t="n">
        <f aca="false">SUM(O8:O19)</f>
        <v>1190</v>
      </c>
    </row>
    <row r="21" customFormat="false" ht="15" hidden="false" customHeight="false" outlineLevel="0" collapsed="false">
      <c r="B21" s="54" t="str">
        <f aca="false">IF(Budget!$C$7="HT","Total du mois TTC","Total du mois HT")</f>
        <v>Total du mois TTC</v>
      </c>
      <c r="C21" s="58" t="n">
        <f aca="false">IF(Budget!$C$7="HT",C20*(1+Budget!$C$8),C20/(1+Budget!$C$8))</f>
        <v>888</v>
      </c>
      <c r="D21" s="58" t="n">
        <f aca="false">IF(Budget!$C$7="HT",D20*(1+Budget!$C$8),D20/(1+Budget!$C$8))</f>
        <v>540</v>
      </c>
      <c r="E21" s="58" t="n">
        <f aca="false">IF(Budget!$C$7="HT",E20*(1+Budget!$C$8),E20/(1+Budget!$C$8))</f>
        <v>0</v>
      </c>
      <c r="F21" s="58" t="n">
        <f aca="false">IF(Budget!$C$7="HT",F20*(1+Budget!$C$8),F20/(1+Budget!$C$8))</f>
        <v>0</v>
      </c>
      <c r="G21" s="58" t="n">
        <f aca="false">IF(Budget!$C$7="HT",G20*(1+Budget!$C$8),G20/(1+Budget!$C$8))</f>
        <v>0</v>
      </c>
      <c r="H21" s="58" t="n">
        <f aca="false">IF(Budget!$C$7="HT",H20*(1+Budget!$C$8),H20/(1+Budget!$C$8))</f>
        <v>0</v>
      </c>
      <c r="I21" s="58" t="n">
        <f aca="false">IF(Budget!$C$7="HT",I20*(1+Budget!$C$8),I20/(1+Budget!$C$8))</f>
        <v>0</v>
      </c>
      <c r="J21" s="58" t="n">
        <f aca="false">IF(Budget!$C$7="HT",J20*(1+Budget!$C$8),J20/(1+Budget!$C$8))</f>
        <v>0</v>
      </c>
      <c r="K21" s="58" t="n">
        <f aca="false">IF(Budget!$C$7="HT",K20*(1+Budget!$C$8),K20/(1+Budget!$C$8))</f>
        <v>0</v>
      </c>
      <c r="L21" s="58" t="n">
        <f aca="false">IF(Budget!$C$7="HT",L20*(1+Budget!$C$8),L20/(1+Budget!$C$8))</f>
        <v>0</v>
      </c>
      <c r="M21" s="58" t="n">
        <f aca="false">IF(Budget!$C$7="HT",M20*(1+Budget!$C$8),M20/(1+Budget!$C$8))</f>
        <v>0</v>
      </c>
      <c r="N21" s="58" t="n">
        <f aca="false">IF(Budget!$C$7="HT",N20*(1+Budget!$C$8),N20/(1+Budget!$C$8))</f>
        <v>0</v>
      </c>
      <c r="O21" s="58" t="n">
        <f aca="false">IF(Budget!$C$7="HT",O20*(1+Budget!$C$8),O20/(1+Budget!$C$8))</f>
        <v>1428</v>
      </c>
    </row>
    <row r="22" customFormat="false" ht="15" hidden="false" customHeight="false" outlineLevel="0" collapsed="false">
      <c r="B22" s="54" t="s">
        <v>94</v>
      </c>
      <c r="C22" s="58" t="n">
        <f aca="false">SUM($C$20:C20)</f>
        <v>740</v>
      </c>
      <c r="D22" s="58" t="n">
        <f aca="false">SUM($C$20:D20)</f>
        <v>1190</v>
      </c>
      <c r="E22" s="58" t="n">
        <f aca="false">SUM($C$20:E20)</f>
        <v>1190</v>
      </c>
      <c r="F22" s="58" t="n">
        <f aca="false">SUM($C$20:F20)</f>
        <v>1190</v>
      </c>
      <c r="G22" s="58" t="n">
        <f aca="false">SUM($C$20:G20)</f>
        <v>1190</v>
      </c>
      <c r="H22" s="58" t="n">
        <f aca="false">SUM($C$20:H20)</f>
        <v>1190</v>
      </c>
      <c r="I22" s="58" t="n">
        <f aca="false">SUM($C$20:I20)</f>
        <v>1190</v>
      </c>
      <c r="J22" s="58" t="n">
        <f aca="false">SUM($C$20:J20)</f>
        <v>1190</v>
      </c>
      <c r="K22" s="58" t="n">
        <f aca="false">SUM($C$20:K20)</f>
        <v>1190</v>
      </c>
      <c r="L22" s="58" t="n">
        <f aca="false">SUM($C$20:L20)</f>
        <v>1190</v>
      </c>
      <c r="M22" s="58" t="n">
        <f aca="false">SUM($C$20:M20)</f>
        <v>1190</v>
      </c>
      <c r="N22" s="58" t="n">
        <f aca="false">SUM($C$20:N20)</f>
        <v>1190</v>
      </c>
    </row>
  </sheetData>
  <mergeCells count="1">
    <mergeCell ref="B5:O5"/>
  </mergeCells>
  <conditionalFormatting sqref="C6:N22">
    <cfRule type="expression" priority="2" aboveAverage="0" equalAverage="0" bottom="0" percent="0" rank="0" text="" dxfId="2">
      <formula>C$6&gt;Budget!$C$6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2026-09-28T08:55:15Z</dcterms:created>
  <dc:creator>openpyxl</dc:creator>
  <dc:description/>
  <dc:language>en-US</dc:language>
  <cp:lastModifiedBy/>
  <dcterms:modified xsi:type="dcterms:W3CDTF">2026-09-28T08:55:15Z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