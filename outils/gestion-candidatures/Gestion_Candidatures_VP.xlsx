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ueil" sheetId="1" state="visible" r:id="rId1"/>
    <sheet xmlns:r="http://schemas.openxmlformats.org/officeDocument/2006/relationships" name="Candidatures" sheetId="2" state="visible" r:id="rId2"/>
    <sheet xmlns:r="http://schemas.openxmlformats.org/officeDocument/2006/relationships" name="Entretiens" sheetId="3" state="visible" r:id="rId3"/>
    <sheet xmlns:r="http://schemas.openxmlformats.org/officeDocument/2006/relationships" name="Tableau de bord" sheetId="4" state="visible" r:id="rId4"/>
    <sheet xmlns:r="http://schemas.openxmlformats.org/officeDocument/2006/relationships" name="Journal" sheetId="5" state="visible" r:id="rId5"/>
    <sheet xmlns:r="http://schemas.openxmlformats.org/officeDocument/2006/relationships" name="Modèles e-mails" sheetId="6" state="visible" r:id="rId6"/>
    <sheet xmlns:r="http://schemas.openxmlformats.org/officeDocument/2006/relationships" name="Paramètres" sheetId="7" state="visible" r:id="rId7"/>
    <sheet xmlns:r="http://schemas.openxmlformats.org/officeDocument/2006/relationships" name="Notice" sheetId="8" state="visible" r:id="rId8"/>
  </sheets>
  <definedNames>
    <definedName name="NomCabinet">'Paramètres'!$C$5</definedName>
    <definedName name="AdresseCabinet">'Paramètres'!$C$6</definedName>
    <definedName name="TelCabinet">'Paramètres'!$C$7</definedName>
    <definedName name="EmailRH">'Paramètres'!$C$8</definedName>
    <definedName name="SiteWeb">'Paramètres'!$C$9</definedName>
    <definedName name="Signataire">'Paramètres'!$C$10</definedName>
    <definedName name="FonctionSignataire">'Paramètres'!$C$11</definedName>
    <definedName name="VilleCabinet">'Paramètres'!$C$13</definedName>
    <definedName name="SignatureEmail">'Paramètres'!$C$12</definedName>
    <definedName name="ModeEnvoi">'Paramètres'!$C$16</definedName>
    <definedName name="DossierCandidats">'Paramètres'!$C$17</definedName>
    <definedName name="DossierModeles">'Paramètres'!$C$18</definedName>
    <definedName name="DossierOutlook">'Paramètres'!$C$19</definedName>
    <definedName name="GenererPDF">'Paramètres'!$C$20</definedName>
    <definedName name="SeuilAccuse">'Paramètres'!$C$23</definedName>
    <definedName name="SeuilRelance">'Paramètres'!$C$24</definedName>
    <definedName name="DureeConservation">'Paramètres'!$C$25</definedName>
    <definedName name="Aujourdhui">'Paramètres'!$C$26</definedName>
    <definedName name="Civilites">'Paramètres'!$B$32:$B$33</definedName>
    <definedName name="Postes">'Paramètres'!$C$32:$C$41</definedName>
    <definedName name="Sources">'Paramètres'!$D$32:$D$41</definedName>
    <definedName name="StatutListe">'Paramètres'!$E$32:$E$41</definedName>
    <definedName name="StatutClos">'Paramètres'!$F$32:$F$41</definedName>
    <definedName name="Responsables">'Paramètres'!$G$32:$G$37</definedName>
    <definedName name="Evaluations">'Paramètres'!$H$32:$H$36</definedName>
    <definedName name="Decisions">'Paramètres'!$I$32:$I$35</definedName>
    <definedName name="Motifs">'Paramètres'!$J$32:$J$39</definedName>
    <definedName name="Actions">'Paramètres'!$K$32:$K$41</definedName>
    <definedName name="OuiNon">'Paramètres'!$L$32:$L$33</definedName>
    <definedName name="Capa">'Paramètres'!$M$32:$M$35</definedName>
    <definedName name="TypesEntretien">'Paramètres'!$N$32:$N$34</definedName>
    <definedName name="StatutsEntretien">'Paramètres'!$O$32:$O$35</definedName>
    <definedName name="AvisEntretien">'Paramètres'!$P$32:$P$35</definedName>
    <definedName name="ZoneBoutons">'Accueil'!$B$11</definedName>
    <definedName name="_xlnm.Print_Titles" localSheetId="1">'Candidatures'!$4:$4</definedName>
  </definedNames>
  <calcPr calcId="124519" fullCalcOnLoad="1"/>
</workbook>
</file>

<file path=xl/styles.xml><?xml version="1.0" encoding="utf-8"?>
<styleSheet xmlns="http://schemas.openxmlformats.org/spreadsheetml/2006/main">
  <numFmts count="9">
    <numFmt numFmtId="164" formatCode="dd/mm/yyyy"/>
    <numFmt numFmtId="165" formatCode="0.0"/>
    <numFmt numFmtId="166" formatCode="#,##0&quot; €&quot;"/>
    <numFmt numFmtId="167" formatCode="0&quot; ★&quot;"/>
    <numFmt numFmtId="168" formatCode="dd/mm/yyyy hh:mm"/>
    <numFmt numFmtId="169" formatCode="hh:mm"/>
    <numFmt numFmtId="170" formatCode="0.0&quot; j&quot;"/>
    <numFmt numFmtId="171" formatCode="0.0%"/>
    <numFmt numFmtId="172" formatCode="mmmm yyyy"/>
  </numFmts>
  <fonts count="36">
    <font>
      <name val="Calibri"/>
      <family val="2"/>
      <color theme="1"/>
      <sz val="11"/>
      <scheme val="minor"/>
    </font>
    <font>
      <name val="Arial"/>
      <b val="1"/>
      <color rgb="00FFFFFF"/>
      <sz val="15"/>
    </font>
    <font>
      <name val="Arial"/>
      <color rgb="00FFFFFF"/>
      <sz val="9"/>
    </font>
    <font>
      <name val="Arial"/>
      <b val="1"/>
      <color rgb="00FFFFFF"/>
      <sz val="11"/>
    </font>
    <font>
      <name val="Arial"/>
      <b val="1"/>
      <color rgb="001F2933"/>
      <sz val="10"/>
    </font>
    <font>
      <name val="Arial"/>
      <color rgb="001F2933"/>
      <sz val="10"/>
    </font>
    <font>
      <name val="Arial"/>
      <i val="1"/>
      <color rgb="005A6B7B"/>
      <sz val="9"/>
    </font>
    <font>
      <name val="Arial"/>
      <b val="1"/>
      <color rgb="00FFFFFF"/>
      <sz val="9"/>
    </font>
    <font>
      <name val="Arial"/>
      <color rgb="001F2933"/>
      <sz val="9"/>
    </font>
    <font>
      <name val="Arial"/>
      <b val="1"/>
      <color rgb="00FFFFFF"/>
      <sz val="8"/>
    </font>
    <font>
      <name val="Arial"/>
      <color rgb="001F2933"/>
      <sz val="9.5"/>
    </font>
    <font>
      <name val="Arial"/>
      <b val="1"/>
      <color rgb="0012355B"/>
      <sz val="9"/>
    </font>
    <font>
      <name val="Arial"/>
      <b val="1"/>
      <color rgb="0012355B"/>
      <sz val="10"/>
    </font>
    <font>
      <name val="Arial"/>
      <b val="1"/>
      <color rgb="00B8912A"/>
      <sz val="9"/>
    </font>
    <font>
      <name val="Arial"/>
      <color rgb="005A6B7B"/>
      <sz val="9"/>
    </font>
    <font>
      <name val="Arial"/>
      <b val="1"/>
      <color rgb="00FFFFFF"/>
      <sz val="8.5"/>
    </font>
    <font>
      <name val="Arial"/>
      <b val="1"/>
      <color rgb="0012355B"/>
      <sz val="20"/>
    </font>
    <font>
      <name val="Arial"/>
      <b val="1"/>
      <color rgb="002C5F8A"/>
      <sz val="20"/>
    </font>
    <font>
      <name val="Arial"/>
      <b val="1"/>
      <color rgb="009C640C"/>
      <sz val="20"/>
    </font>
    <font>
      <name val="Arial"/>
      <b val="1"/>
      <color rgb="001E8449"/>
      <sz val="20"/>
    </font>
    <font>
      <name val="Arial"/>
      <b val="1"/>
      <color rgb="005A6B7B"/>
      <sz val="20"/>
    </font>
    <font>
      <name val="Arial"/>
      <b val="1"/>
      <color rgb="00C87F0A"/>
      <sz val="20"/>
    </font>
    <font>
      <name val="Arial"/>
      <b val="1"/>
      <color rgb="00B03A2E"/>
      <sz val="20"/>
    </font>
    <font>
      <name val="Arial"/>
      <b val="1"/>
      <color rgb="00B8912A"/>
      <sz val="20"/>
    </font>
    <font>
      <name val="Arial"/>
      <b val="1"/>
      <color rgb="00FFFFFF"/>
      <sz val="10"/>
    </font>
    <font>
      <name val="Arial"/>
      <b val="1"/>
      <color rgb="005A6B7B"/>
      <sz val="8.5"/>
    </font>
    <font>
      <name val="Arial"/>
      <b val="1"/>
      <color rgb="001F2933"/>
      <sz val="9"/>
    </font>
    <font>
      <name val="Arial"/>
      <i val="1"/>
      <color rgb="005A6B7B"/>
      <sz val="8.5"/>
    </font>
    <font>
      <name val="Arial"/>
      <b val="1"/>
      <color rgb="0012355B"/>
      <sz val="22"/>
    </font>
    <font>
      <name val="Arial"/>
      <b val="1"/>
      <color rgb="002C5F8A"/>
      <sz val="22"/>
    </font>
    <font>
      <name val="Arial"/>
      <b val="1"/>
      <color rgb="009C640C"/>
      <sz val="22"/>
    </font>
    <font>
      <name val="Arial"/>
      <b val="1"/>
      <color rgb="00C87F0A"/>
      <sz val="22"/>
    </font>
    <font>
      <name val="Arial"/>
      <b val="1"/>
      <color rgb="00B03A2E"/>
      <sz val="22"/>
    </font>
    <font>
      <name val="Arial"/>
      <b val="1"/>
      <color rgb="0012355B"/>
      <sz val="10"/>
      <u val="single"/>
    </font>
    <font>
      <name val="Arial"/>
      <b val="1"/>
      <color rgb="0012355B"/>
      <sz val="9.5"/>
    </font>
    <font>
      <name val="Arial"/>
      <i val="1"/>
      <color rgb="007D6608"/>
      <sz val="9"/>
    </font>
  </fonts>
  <fills count="16">
    <fill>
      <patternFill/>
    </fill>
    <fill>
      <patternFill patternType="gray125"/>
    </fill>
    <fill>
      <patternFill patternType="solid">
        <fgColor rgb="0012355B"/>
      </patternFill>
    </fill>
    <fill>
      <patternFill patternType="solid">
        <fgColor rgb="000B2239"/>
      </patternFill>
    </fill>
    <fill>
      <patternFill patternType="solid">
        <fgColor rgb="00FFF8E1"/>
      </patternFill>
    </fill>
    <fill>
      <patternFill patternType="solid">
        <fgColor rgb="00EFF3F7"/>
      </patternFill>
    </fill>
    <fill>
      <patternFill patternType="solid">
        <fgColor rgb="005A6B7B"/>
      </patternFill>
    </fill>
    <fill>
      <patternFill patternType="solid">
        <fgColor rgb="00F4F7FB"/>
      </patternFill>
    </fill>
    <fill>
      <patternFill patternType="solid">
        <fgColor rgb="002C5F8A"/>
      </patternFill>
    </fill>
    <fill>
      <patternFill patternType="solid">
        <fgColor rgb="003C6E9E"/>
      </patternFill>
    </fill>
    <fill>
      <patternFill patternType="solid">
        <fgColor rgb="00B8912A"/>
      </patternFill>
    </fill>
    <fill>
      <patternFill patternType="solid">
        <fgColor rgb="009C640C"/>
      </patternFill>
    </fill>
    <fill>
      <patternFill patternType="solid">
        <fgColor rgb="001E8449"/>
      </patternFill>
    </fill>
    <fill>
      <patternFill patternType="solid">
        <fgColor rgb="00C87F0A"/>
      </patternFill>
    </fill>
    <fill>
      <patternFill patternType="solid">
        <fgColor rgb="00B03A2E"/>
      </patternFill>
    </fill>
    <fill>
      <patternFill patternType="solid">
        <fgColor rgb="00FCF3CF"/>
      </patternFill>
    </fill>
  </fills>
  <borders count="6">
    <border>
      <left/>
      <right/>
      <top/>
      <bottom/>
      <diagonal/>
    </border>
    <border>
      <left style="thin">
        <color rgb="00C5D0DB"/>
      </left>
      <right style="thin">
        <color rgb="00C5D0DB"/>
      </right>
      <top style="thin">
        <color rgb="00C5D0DB"/>
      </top>
      <bottom style="thin">
        <color rgb="00C5D0DB"/>
      </bottom>
    </border>
    <border>
      <left/>
      <right/>
      <top style="thin">
        <color rgb="00C5D0DB"/>
      </top>
      <bottom/>
      <diagonal/>
    </border>
    <border>
      <left/>
      <right style="thin">
        <color rgb="00C5D0DB"/>
      </right>
      <top style="thin">
        <color rgb="00C5D0DB"/>
      </top>
      <bottom/>
      <diagonal/>
    </border>
    <border>
      <left/>
      <right/>
      <top style="thin">
        <color rgb="00C5D0DB"/>
      </top>
      <bottom style="thin">
        <color rgb="00C5D0DB"/>
      </bottom>
      <diagonal/>
    </border>
    <border>
      <left/>
      <right style="thin">
        <color rgb="00C5D0DB"/>
      </right>
      <top style="thin">
        <color rgb="00C5D0DB"/>
      </top>
      <bottom style="thin">
        <color rgb="00C5D0DB"/>
      </bottom>
      <diagonal/>
    </border>
  </borders>
  <cellStyleXfs count="1">
    <xf numFmtId="0" fontId="0" fillId="0" borderId="0"/>
  </cellStyleXfs>
  <cellXfs count="85">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15" fillId="2" borderId="1" applyAlignment="1" pivotButton="0" quotePrefix="0" xfId="0">
      <alignment horizontal="center" vertical="center" wrapText="1"/>
    </xf>
    <xf numFmtId="0" fontId="15" fillId="8" borderId="1" applyAlignment="1" pivotButton="0" quotePrefix="0" xfId="0">
      <alignment horizontal="center" vertical="center" wrapText="1"/>
    </xf>
    <xf numFmtId="0" fontId="15" fillId="11" borderId="1" applyAlignment="1" pivotButton="0" quotePrefix="0" xfId="0">
      <alignment horizontal="center" vertical="center" wrapText="1"/>
    </xf>
    <xf numFmtId="0" fontId="15" fillId="13" borderId="1" applyAlignment="1" pivotButton="0" quotePrefix="0" xfId="0">
      <alignment horizontal="center" vertical="center" wrapText="1"/>
    </xf>
    <xf numFmtId="0" fontId="15" fillId="14" borderId="1" applyAlignment="1" pivotButton="0" quotePrefix="0" xfId="0">
      <alignment horizontal="center" vertical="center" wrapText="1"/>
    </xf>
    <xf numFmtId="0" fontId="28" fillId="7" borderId="1" applyAlignment="1" pivotButton="0" quotePrefix="0" xfId="0">
      <alignment horizontal="center" vertical="center"/>
    </xf>
    <xf numFmtId="0" fontId="29" fillId="7" borderId="1" applyAlignment="1" pivotButton="0" quotePrefix="0" xfId="0">
      <alignment horizontal="center" vertical="center"/>
    </xf>
    <xf numFmtId="0" fontId="30" fillId="7" borderId="1" applyAlignment="1" pivotButton="0" quotePrefix="0" xfId="0">
      <alignment horizontal="center" vertical="center"/>
    </xf>
    <xf numFmtId="0" fontId="31" fillId="7" borderId="1" applyAlignment="1" pivotButton="0" quotePrefix="0" xfId="0">
      <alignment horizontal="center" vertical="center"/>
    </xf>
    <xf numFmtId="0" fontId="32" fillId="7" borderId="1" applyAlignment="1" pivotButton="0" quotePrefix="0" xfId="0">
      <alignment horizontal="center" vertical="center"/>
    </xf>
    <xf numFmtId="0" fontId="6" fillId="0" borderId="0" pivotButton="0" quotePrefix="0" xfId="0"/>
    <xf numFmtId="0" fontId="3" fillId="2" borderId="0" applyAlignment="1" pivotButton="0" quotePrefix="0" xfId="0">
      <alignment vertical="center" indent="1"/>
    </xf>
    <xf numFmtId="0" fontId="6" fillId="0" borderId="0" applyAlignment="1" pivotButton="0" quotePrefix="0" xfId="0">
      <alignment vertical="top" wrapText="1"/>
    </xf>
    <xf numFmtId="0" fontId="0" fillId="7" borderId="0" pivotButton="0" quotePrefix="0" xfId="0"/>
    <xf numFmtId="0" fontId="33" fillId="0" borderId="0" pivotButton="0" quotePrefix="0" xfId="0"/>
    <xf numFmtId="0" fontId="14" fillId="0" borderId="0" pivotButton="0" quotePrefix="0" xfId="0"/>
    <xf numFmtId="0" fontId="12" fillId="0" borderId="0" pivotButton="0" quotePrefix="0" xfId="0"/>
    <xf numFmtId="0" fontId="8" fillId="0" borderId="0" applyAlignment="1" pivotButton="0" quotePrefix="0" xfId="0">
      <alignment vertical="center" indent="1"/>
    </xf>
    <xf numFmtId="0" fontId="14" fillId="0" borderId="0" applyAlignment="1" pivotButton="0" quotePrefix="0" xfId="0">
      <alignment vertical="center" indent="1"/>
    </xf>
    <xf numFmtId="0" fontId="2" fillId="7" borderId="0" applyAlignment="1" pivotButton="0" quotePrefix="0" xfId="0">
      <alignment horizontal="left" vertical="center" indent="1"/>
    </xf>
    <xf numFmtId="0" fontId="9" fillId="2" borderId="1" applyAlignment="1" pivotButton="0" quotePrefix="0" xfId="0">
      <alignment horizontal="center" vertical="center"/>
    </xf>
    <xf numFmtId="0" fontId="9" fillId="8" borderId="1" applyAlignment="1" pivotButton="0" quotePrefix="0" xfId="0">
      <alignment horizontal="center" vertical="center"/>
    </xf>
    <xf numFmtId="0" fontId="9" fillId="9" borderId="1" applyAlignment="1" pivotButton="0" quotePrefix="0" xfId="0">
      <alignment horizontal="center" vertical="center"/>
    </xf>
    <xf numFmtId="0" fontId="9" fillId="6" borderId="1" applyAlignment="1" pivotButton="0" quotePrefix="0" xfId="0">
      <alignment horizontal="center" vertical="center"/>
    </xf>
    <xf numFmtId="0" fontId="9" fillId="10" borderId="1" applyAlignment="1" pivotButton="0" quotePrefix="0" xfId="0">
      <alignment horizontal="center" vertical="center"/>
    </xf>
    <xf numFmtId="0" fontId="7" fillId="2" borderId="1" applyAlignment="1" pivotButton="0" quotePrefix="0" xfId="0">
      <alignment horizontal="center" vertical="center" wrapText="1"/>
    </xf>
    <xf numFmtId="0" fontId="7" fillId="6" borderId="1" applyAlignment="1" pivotButton="0" quotePrefix="0" xfId="0">
      <alignment horizontal="center" vertical="center" wrapText="1"/>
    </xf>
    <xf numFmtId="0" fontId="10" fillId="0" borderId="1" applyAlignment="1" pivotButton="0" quotePrefix="0" xfId="0">
      <alignment horizontal="left" vertical="center" indent="1"/>
    </xf>
    <xf numFmtId="0" fontId="10" fillId="5" borderId="1" applyAlignment="1" pivotButton="0" quotePrefix="0" xfId="0">
      <alignment horizontal="center" vertical="center" indent="1"/>
    </xf>
    <xf numFmtId="0" fontId="10" fillId="0" borderId="1" applyAlignment="1" pivotButton="0" quotePrefix="0" xfId="0">
      <alignment horizontal="center" vertical="center" indent="1"/>
    </xf>
    <xf numFmtId="164" fontId="10" fillId="0" borderId="1" applyAlignment="1" pivotButton="0" quotePrefix="0" xfId="0">
      <alignment horizontal="center" vertical="center"/>
    </xf>
    <xf numFmtId="49" fontId="10" fillId="0" borderId="1" applyAlignment="1" pivotButton="0" quotePrefix="0" xfId="0">
      <alignment horizontal="center" vertical="center"/>
    </xf>
    <xf numFmtId="165" fontId="10" fillId="0" borderId="1" applyAlignment="1" pivotButton="0" quotePrefix="0" xfId="0">
      <alignment horizontal="center" vertical="center"/>
    </xf>
    <xf numFmtId="166" fontId="10" fillId="0" borderId="1" applyAlignment="1" pivotButton="0" quotePrefix="0" xfId="0">
      <alignment horizontal="center" vertical="center"/>
    </xf>
    <xf numFmtId="167" fontId="10" fillId="0" borderId="1" applyAlignment="1" pivotButton="0" quotePrefix="0" xfId="0">
      <alignment horizontal="center" vertical="center"/>
    </xf>
    <xf numFmtId="168" fontId="10" fillId="0" borderId="1" applyAlignment="1" pivotButton="0" quotePrefix="0" xfId="0">
      <alignment horizontal="center" vertical="center"/>
    </xf>
    <xf numFmtId="1" fontId="10" fillId="5" borderId="1" applyAlignment="1" pivotButton="0" quotePrefix="0" xfId="0">
      <alignment horizontal="center" vertical="center"/>
    </xf>
    <xf numFmtId="164" fontId="10" fillId="5" borderId="1" applyAlignment="1" pivotButton="0" quotePrefix="0" xfId="0">
      <alignment horizontal="center" vertical="center"/>
    </xf>
    <xf numFmtId="0" fontId="10" fillId="0" borderId="1" applyAlignment="1" pivotButton="0" quotePrefix="0" xfId="0">
      <alignment horizontal="left" vertical="center" wrapText="1" indent="1"/>
    </xf>
    <xf numFmtId="0" fontId="10" fillId="5" borderId="1" applyAlignment="1" pivotButton="0" quotePrefix="0" xfId="0">
      <alignment horizontal="left" vertical="center" indent="1"/>
    </xf>
    <xf numFmtId="169" fontId="10" fillId="0" borderId="1" applyAlignment="1" pivotButton="0" quotePrefix="0" xfId="0">
      <alignment horizontal="center" vertical="center"/>
    </xf>
    <xf numFmtId="1" fontId="10" fillId="0" borderId="1" applyAlignment="1" pivotButton="0" quotePrefix="0" xfId="0">
      <alignment horizontal="center" vertical="center"/>
    </xf>
    <xf numFmtId="0" fontId="15" fillId="12" borderId="1" applyAlignment="1" pivotButton="0" quotePrefix="0" xfId="0">
      <alignment horizontal="center" vertical="center" wrapText="1"/>
    </xf>
    <xf numFmtId="0" fontId="15" fillId="6" borderId="1" applyAlignment="1" pivotButton="0" quotePrefix="0" xfId="0">
      <alignment horizontal="center" vertical="center" wrapText="1"/>
    </xf>
    <xf numFmtId="1" fontId="16" fillId="7" borderId="1" applyAlignment="1" pivotButton="0" quotePrefix="0" xfId="0">
      <alignment horizontal="center" vertical="center"/>
    </xf>
    <xf numFmtId="1" fontId="17" fillId="7" borderId="1" applyAlignment="1" pivotButton="0" quotePrefix="0" xfId="0">
      <alignment horizontal="center" vertical="center"/>
    </xf>
    <xf numFmtId="1" fontId="18" fillId="7" borderId="1" applyAlignment="1" pivotButton="0" quotePrefix="0" xfId="0">
      <alignment horizontal="center" vertical="center"/>
    </xf>
    <xf numFmtId="1" fontId="19" fillId="7" borderId="1" applyAlignment="1" pivotButton="0" quotePrefix="0" xfId="0">
      <alignment horizontal="center" vertical="center"/>
    </xf>
    <xf numFmtId="1" fontId="20" fillId="7" borderId="1" applyAlignment="1" pivotButton="0" quotePrefix="0" xfId="0">
      <alignment horizontal="center" vertical="center"/>
    </xf>
    <xf numFmtId="0" fontId="15" fillId="10" borderId="1" applyAlignment="1" pivotButton="0" quotePrefix="0" xfId="0">
      <alignment horizontal="center" vertical="center" wrapText="1"/>
    </xf>
    <xf numFmtId="1" fontId="21" fillId="7" borderId="1" applyAlignment="1" pivotButton="0" quotePrefix="0" xfId="0">
      <alignment horizontal="center" vertical="center"/>
    </xf>
    <xf numFmtId="1" fontId="22" fillId="7" borderId="1" applyAlignment="1" pivotButton="0" quotePrefix="0" xfId="0">
      <alignment horizontal="center" vertical="center"/>
    </xf>
    <xf numFmtId="170" fontId="16" fillId="7" borderId="1" applyAlignment="1" pivotButton="0" quotePrefix="0" xfId="0">
      <alignment horizontal="center" vertical="center"/>
    </xf>
    <xf numFmtId="171" fontId="17" fillId="7" borderId="1" applyAlignment="1" pivotButton="0" quotePrefix="0" xfId="0">
      <alignment horizontal="center" vertical="center"/>
    </xf>
    <xf numFmtId="1" fontId="23" fillId="7" borderId="1" applyAlignment="1" pivotButton="0" quotePrefix="0" xfId="0">
      <alignment horizontal="center" vertical="center"/>
    </xf>
    <xf numFmtId="0" fontId="24" fillId="2" borderId="1" applyAlignment="1" pivotButton="0" quotePrefix="0" xfId="0">
      <alignment vertical="center" indent="1"/>
    </xf>
    <xf numFmtId="0" fontId="25" fillId="0" borderId="1" applyAlignment="1" pivotButton="0" quotePrefix="0" xfId="0">
      <alignment horizontal="left" vertical="center" indent="1"/>
    </xf>
    <xf numFmtId="0" fontId="25" fillId="0" borderId="1" applyAlignment="1" pivotButton="0" quotePrefix="0" xfId="0">
      <alignment horizontal="center" vertical="center"/>
    </xf>
    <xf numFmtId="0" fontId="8" fillId="0" borderId="1" applyAlignment="1" pivotButton="0" quotePrefix="0" xfId="0">
      <alignment indent="1"/>
    </xf>
    <xf numFmtId="0" fontId="26" fillId="0" borderId="1" applyAlignment="1" pivotButton="0" quotePrefix="0" xfId="0">
      <alignment horizontal="center"/>
    </xf>
    <xf numFmtId="171" fontId="14" fillId="0" borderId="1" applyAlignment="1" pivotButton="0" quotePrefix="0" xfId="0">
      <alignment horizontal="center"/>
    </xf>
    <xf numFmtId="0" fontId="2" fillId="0" borderId="1" pivotButton="0" quotePrefix="0" xfId="0"/>
    <xf numFmtId="172" fontId="8" fillId="0" borderId="1" applyAlignment="1" pivotButton="0" quotePrefix="0" xfId="0">
      <alignment indent="1"/>
    </xf>
    <xf numFmtId="0" fontId="0" fillId="0" borderId="4" pivotButton="0" quotePrefix="0" xfId="0"/>
    <xf numFmtId="0" fontId="0" fillId="0" borderId="5" pivotButton="0" quotePrefix="0" xfId="0"/>
    <xf numFmtId="0" fontId="27" fillId="0" borderId="0" pivotButton="0" quotePrefix="0" xfId="0"/>
    <xf numFmtId="0" fontId="7" fillId="2" borderId="1" applyAlignment="1" pivotButton="0" quotePrefix="0" xfId="0">
      <alignment horizontal="center" vertical="center"/>
    </xf>
    <xf numFmtId="168" fontId="8" fillId="0" borderId="1" applyAlignment="1" pivotButton="0" quotePrefix="0" xfId="0">
      <alignment horizontal="center" vertical="center"/>
    </xf>
    <xf numFmtId="0" fontId="8" fillId="0" borderId="1" applyAlignment="1" pivotButton="0" quotePrefix="0" xfId="0">
      <alignment horizontal="left" vertical="center" indent="1"/>
    </xf>
    <xf numFmtId="0" fontId="11" fillId="0" borderId="1" applyAlignment="1" pivotButton="0" quotePrefix="0" xfId="0">
      <alignment vertical="top" indent="1"/>
    </xf>
    <xf numFmtId="0" fontId="8" fillId="0" borderId="1" applyAlignment="1" pivotButton="0" quotePrefix="0" xfId="0">
      <alignment vertical="top" indent="1"/>
    </xf>
    <xf numFmtId="0" fontId="8" fillId="0" borderId="1" applyAlignment="1" pivotButton="0" quotePrefix="0" xfId="0">
      <alignment vertical="top" wrapText="1" indent="1"/>
    </xf>
    <xf numFmtId="0" fontId="13" fillId="0" borderId="0" pivotButton="0" quotePrefix="0" xfId="0"/>
    <xf numFmtId="0" fontId="4" fillId="0" borderId="0" pivotButton="0" quotePrefix="0" xfId="0"/>
    <xf numFmtId="0" fontId="5" fillId="4" borderId="1" applyAlignment="1" pivotButton="0" quotePrefix="0" xfId="0">
      <alignment vertical="center" indent="1"/>
    </xf>
    <xf numFmtId="1" fontId="5" fillId="4" borderId="1" applyAlignment="1" pivotButton="0" quotePrefix="0" xfId="0">
      <alignment vertical="center" indent="1"/>
    </xf>
    <xf numFmtId="164" fontId="5" fillId="5" borderId="1" applyAlignment="1" pivotButton="0" quotePrefix="0" xfId="0">
      <alignment vertical="center" indent="1"/>
    </xf>
    <xf numFmtId="0" fontId="8" fillId="0" borderId="1" applyAlignment="1" pivotButton="0" quotePrefix="0" xfId="0">
      <alignment horizontal="left" indent="1"/>
    </xf>
    <xf numFmtId="0" fontId="8" fillId="0" borderId="1" applyAlignment="1" pivotButton="0" quotePrefix="0" xfId="0">
      <alignment horizontal="center"/>
    </xf>
    <xf numFmtId="0" fontId="34" fillId="0" borderId="0" applyAlignment="1" pivotButton="0" quotePrefix="0" xfId="0">
      <alignment vertical="top" wrapText="1" indent="1"/>
    </xf>
    <xf numFmtId="0" fontId="10" fillId="0" borderId="0" applyAlignment="1" pivotButton="0" quotePrefix="0" xfId="0">
      <alignment vertical="top" wrapText="1" indent="1"/>
    </xf>
    <xf numFmtId="0" fontId="35" fillId="15" borderId="0" applyAlignment="1" pivotButton="0" quotePrefix="0" xfId="0">
      <alignment vertical="center" wrapText="1" indent="1"/>
    </xf>
  </cellXfs>
  <cellStyles count="1">
    <cellStyle name="Normal" xfId="0" builtinId="0" hidden="0"/>
  </cellStyles>
  <dxfs count="14">
    <dxf>
      <font>
        <name val="Arial"/>
        <color rgb="0012355B"/>
        <sz val="9.5"/>
      </font>
      <fill>
        <patternFill patternType="solid">
          <fgColor rgb="00E8EEF5"/>
        </patternFill>
      </fill>
    </dxf>
    <dxf>
      <font>
        <name val="Arial"/>
        <color rgb="0012355B"/>
        <sz val="9.5"/>
      </font>
      <fill>
        <patternFill patternType="solid">
          <fgColor rgb="00D6E4F0"/>
        </patternFill>
      </fill>
    </dxf>
    <dxf>
      <font>
        <name val="Arial"/>
        <color rgb="007D6608"/>
        <sz val="9.5"/>
      </font>
      <fill>
        <patternFill patternType="solid">
          <fgColor rgb="00FCF3CF"/>
        </patternFill>
      </fill>
    </dxf>
    <dxf>
      <font>
        <name val="Arial"/>
        <b val="1"/>
        <color rgb="009C640C"/>
        <sz val="9.5"/>
      </font>
      <fill>
        <patternFill patternType="solid">
          <fgColor rgb="00FDEBD0"/>
        </patternFill>
      </fill>
    </dxf>
    <dxf>
      <font>
        <name val="Arial"/>
        <color rgb="009C640C"/>
        <sz val="9.5"/>
      </font>
      <fill>
        <patternFill patternType="solid">
          <fgColor rgb="00FAE5D3"/>
        </patternFill>
      </fill>
    </dxf>
    <dxf>
      <font>
        <name val="Arial"/>
        <color rgb="00633974"/>
        <sz val="9.5"/>
      </font>
      <fill>
        <patternFill patternType="solid">
          <fgColor rgb="00E8DAEF"/>
        </patternFill>
      </fill>
    </dxf>
    <dxf>
      <font>
        <name val="Arial"/>
        <b val="1"/>
        <color rgb="00196F3D"/>
        <sz val="9.5"/>
      </font>
      <fill>
        <patternFill patternType="solid">
          <fgColor rgb="00D4EFDF"/>
        </patternFill>
      </fill>
    </dxf>
    <dxf>
      <font>
        <name val="Arial"/>
        <b val="1"/>
        <color rgb="00145A32"/>
        <sz val="9.5"/>
      </font>
      <fill>
        <patternFill patternType="solid">
          <fgColor rgb="00ABEBC6"/>
        </patternFill>
      </fill>
    </dxf>
    <dxf>
      <font>
        <name val="Arial"/>
        <color rgb="005A6B7B"/>
        <sz val="9.5"/>
      </font>
      <fill>
        <patternFill patternType="solid">
          <fgColor rgb="00EDEDED"/>
        </patternFill>
      </fill>
    </dxf>
    <dxf>
      <font>
        <name val="Arial"/>
        <b val="1"/>
        <color rgb="00922B21"/>
        <sz val="9.5"/>
      </font>
      <fill>
        <patternFill patternType="solid">
          <fgColor rgb="00F5B7B1"/>
        </patternFill>
      </fill>
    </dxf>
    <dxf>
      <font>
        <name val="Arial"/>
        <b val="1"/>
        <color rgb="009C640C"/>
        <sz val="9.5"/>
      </font>
      <fill>
        <patternFill patternType="solid">
          <fgColor rgb="00FAD7A0"/>
        </patternFill>
      </fill>
    </dxf>
    <dxf>
      <font>
        <name val="Arial"/>
        <color rgb="001E8449"/>
        <sz val="9.5"/>
      </font>
      <fill>
        <patternFill patternType="solid">
          <fgColor rgb="00E9F7EF"/>
        </patternFill>
      </fill>
    </dxf>
    <dxf>
      <font>
        <name val="Arial"/>
        <color rgb="005A6B7B"/>
        <sz val="9.5"/>
      </font>
      <fill>
        <patternFill patternType="solid">
          <fgColor rgb="00F2F3F4"/>
        </patternFill>
      </fill>
    </dxf>
    <dxf>
      <font>
        <name val="Arial"/>
        <i val="1"/>
        <color rgb="005A6B7B"/>
        <sz val="9.5"/>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blCandidatures" displayName="tblCandidatures" ref="A4:AE34" headerRowCount="1">
  <autoFilter ref="A4:AE34"/>
  <tableColumns count="31">
    <tableColumn id="1" name="ID"/>
    <tableColumn id="2" name="Nom"/>
    <tableColumn id="3" name="Prénom"/>
    <tableColumn id="4" name="Statut"/>
    <tableColumn id="5" name="Alerte"/>
    <tableColumn id="6" name="Civilité"/>
    <tableColumn id="7" name="Date réception"/>
    <tableColumn id="8" name="E-mail"/>
    <tableColumn id="9" name="Téléphone"/>
    <tableColumn id="10" name="Ville"/>
    <tableColumn id="11" name="Poste visé"/>
    <tableColumn id="12" name="Source"/>
    <tableColumn id="13" name="Expérience (ans)"/>
    <tableColumn id="14" name="Diplôme / École"/>
    <tableColumn id="15" name="CAPA / CRFPA"/>
    <tableColumn id="16" name="Disponibilité"/>
    <tableColumn id="17" name="Prétentions (€)"/>
    <tableColumn id="18" name="Responsable"/>
    <tableColumn id="19" name="Éval. /5"/>
    <tableColumn id="20" name="Date entretien"/>
    <tableColumn id="21" name="Décision"/>
    <tableColumn id="22" name="Motif (si refus)"/>
    <tableColumn id="23" name="Date dernier contact"/>
    <tableColumn id="24" name="Prochaine action"/>
    <tableColumn id="25" name="Date prochaine action"/>
    <tableColumn id="26" name="Délai réponse (j)"/>
    <tableColumn id="27" name="Ancienneté (j)"/>
    <tableColumn id="28" name="Dossier candidat"/>
    <tableColumn id="29" name="Consentement vivier"/>
    <tableColumn id="30" name="Purge RGPD le"/>
    <tableColumn id="31" name="Commentaires"/>
  </tableColumns>
  <tableStyleInfo name="TableStyleLight9" showFirstColumn="0" showLastColumn="0" showRowStripes="1" showColumnStripes="0"/>
</table>
</file>

<file path=xl/tables/table2.xml><?xml version="1.0" encoding="utf-8"?>
<table xmlns="http://schemas.openxmlformats.org/spreadsheetml/2006/main" id="2" name="tblEntretiens" displayName="tblEntretiens" ref="A3:P24" headerRowCount="1">
  <autoFilter ref="A3:P24"/>
  <tableColumns count="16">
    <tableColumn id="1" name="N° entretien"/>
    <tableColumn id="2" name="ID candidat"/>
    <tableColumn id="3" name="Candidat"/>
    <tableColumn id="4" name="Poste visé"/>
    <tableColumn id="5" name="Date"/>
    <tableColumn id="6" name="Heure"/>
    <tableColumn id="7" name="Durée (min)"/>
    <tableColumn id="8" name="Type"/>
    <tableColumn id="9" name="Lieu / lien visio"/>
    <tableColumn id="10" name="Intervenants du cabinet"/>
    <tableColumn id="11" name="Statut"/>
    <tableColumn id="12" name="Note /20"/>
    <tableColumn id="13" name="Points forts"/>
    <tableColumn id="14" name="Points de vigilance"/>
    <tableColumn id="15" name="Avis"/>
    <tableColumn id="16" name="Compte rendu rédigé"/>
  </tableColumns>
  <tableStyleInfo name="TableStyleLight9" showFirstColumn="0" showLastColumn="0" showRowStripes="1" showColumnStripes="0"/>
</table>
</file>

<file path=xl/tables/table3.xml><?xml version="1.0" encoding="utf-8"?>
<table xmlns="http://schemas.openxmlformats.org/spreadsheetml/2006/main" id="3" name="tblJournal" displayName="tblJournal" ref="A3:G23" headerRowCount="1">
  <autoFilter ref="A3:G23"/>
  <tableColumns count="7">
    <tableColumn id="1" name="Horodatage"/>
    <tableColumn id="2" name="Utilisateur"/>
    <tableColumn id="3" name="ID candidat"/>
    <tableColumn id="4" name="Candidat"/>
    <tableColumn id="5" name="Action"/>
    <tableColumn id="6" name="Détail"/>
    <tableColumn id="7" name="Résultat"/>
  </tableColumns>
  <tableStyleInfo name="TableStyleLight9" showFirstColumn="0" showLastColumn="0" showRowStripes="1" showColumnStripes="0"/>
</table>
</file>

<file path=xl/tables/table4.xml><?xml version="1.0" encoding="utf-8"?>
<table xmlns="http://schemas.openxmlformats.org/spreadsheetml/2006/main" id="4" name="tblModeles" displayName="tblModeles" ref="A3:E10" headerRowCount="1">
  <autoFilter ref="A3:E10"/>
  <tableColumns count="5">
    <tableColumn id="1" name="Clé"/>
    <tableColumn id="2" name="Libellé du bouton"/>
    <tableColumn id="3" name="Objet de l'e-mail"/>
    <tableColumn id="4" name="Corps du message"/>
    <tableColumn id="5" name="Pièce jointe (chemin comple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00B8912A"/>
    <outlinePr summaryBelow="1" summaryRight="1"/>
    <pageSetUpPr/>
  </sheetPr>
  <dimension ref="A1:K30"/>
  <sheetViews>
    <sheetView showGridLines="0" workbookViewId="0">
      <selection activeCell="A1" sqref="A1"/>
    </sheetView>
  </sheetViews>
  <sheetFormatPr baseColWidth="8" defaultRowHeight="15"/>
  <cols>
    <col width="2" customWidth="1" min="1" max="1"/>
    <col width="34" customWidth="1" min="2" max="2"/>
    <col width="4" customWidth="1" min="3" max="3"/>
    <col width="34" customWidth="1" min="4" max="4"/>
    <col width="4" customWidth="1" min="5" max="5"/>
    <col width="3" customWidth="1" min="6" max="6"/>
    <col width="30" customWidth="1" min="7" max="7"/>
    <col width="46" customWidth="1" min="8" max="8"/>
    <col width="14" customWidth="1" min="9" max="9"/>
    <col width="14" customWidth="1" min="10" max="10"/>
    <col width="14" customWidth="1" min="11" max="11"/>
  </cols>
  <sheetData>
    <row r="1" ht="34" customHeight="1">
      <c r="A1" s="1" t="inlineStr">
        <is>
          <t>GESTION DES CANDIDATURES</t>
        </is>
      </c>
    </row>
    <row r="2" ht="18" customHeight="1">
      <c r="A2" s="2" t="inlineStr">
        <is>
          <t>Cabinet Victimes &amp; Préjudices — tableau de bord, suivi des candidats, automatisations Outlook et Word</t>
        </is>
      </c>
    </row>
    <row r="4" ht="24" customHeight="1">
      <c r="B4" s="3" t="inlineStr">
        <is>
          <t>Candidatures</t>
        </is>
      </c>
      <c r="D4" s="4" t="inlineStr">
        <is>
          <t>En cours</t>
        </is>
      </c>
      <c r="F4" s="5" t="inlineStr">
        <is>
          <t>Entretiens à venir</t>
        </is>
      </c>
      <c r="H4" s="6" t="inlineStr">
        <is>
          <t>À traiter</t>
        </is>
      </c>
      <c r="J4" s="7" t="inlineStr">
        <is>
          <t>Actions en retard</t>
        </is>
      </c>
    </row>
    <row r="5" ht="40" customHeight="1">
      <c r="B5" s="8">
        <f>'Tableau de bord'!B6</f>
        <v/>
      </c>
      <c r="D5" s="9">
        <f>'Tableau de bord'!D6</f>
        <v/>
      </c>
      <c r="F5" s="10">
        <f>'Tableau de bord'!F6</f>
        <v/>
      </c>
      <c r="H5" s="11">
        <f>'Tableau de bord'!B9</f>
        <v/>
      </c>
      <c r="J5" s="12">
        <f>'Tableau de bord'!D9</f>
        <v/>
      </c>
    </row>
    <row r="7">
      <c r="B7" s="13" t="inlineStr">
        <is>
          <t>Ces compteurs se mettent à jour automatiquement.  Détail complet : onglet « Tableau de bord ».</t>
        </is>
      </c>
    </row>
    <row r="9" ht="22" customHeight="1">
      <c r="B9" s="14" t="inlineStr">
        <is>
          <t>PILOTAGE  —  sélectionnez une ligne dans l'onglet Candidatures, puis cliquez</t>
        </is>
      </c>
      <c r="G9" s="14" t="inlineStr">
        <is>
          <t>NAVIGATION ET AIDE</t>
        </is>
      </c>
    </row>
    <row r="10" ht="30" customHeight="1">
      <c r="B10" s="15" t="inlineStr">
        <is>
          <t>Les boutons s'affichent ici après l'installation du module d'automatisation (onglet Notice, 5 minutes). Sans macros, le classeur reste pleinement utilisable à la main.</t>
        </is>
      </c>
    </row>
    <row r="11" ht="16" customHeight="1">
      <c r="B11" s="16" t="n"/>
      <c r="C11" s="16" t="n"/>
      <c r="D11" s="16" t="n"/>
      <c r="E11" s="16" t="n"/>
      <c r="G11" s="17" t="inlineStr">
        <is>
          <t>▸  Candidatures</t>
        </is>
      </c>
      <c r="H11" s="18" t="inlineStr">
        <is>
          <t>Le tableau de suivi : une ligne par candidature.</t>
        </is>
      </c>
    </row>
    <row r="12" ht="16" customHeight="1">
      <c r="B12" s="16" t="n"/>
      <c r="C12" s="16" t="n"/>
      <c r="D12" s="16" t="n"/>
      <c r="E12" s="16" t="n"/>
      <c r="G12" s="17" t="inlineStr">
        <is>
          <t>▸  Entretiens</t>
        </is>
      </c>
      <c r="H12" s="18" t="inlineStr">
        <is>
          <t>Planning et comptes rendus d'entretien.</t>
        </is>
      </c>
    </row>
    <row r="13" ht="16" customHeight="1">
      <c r="B13" s="16" t="n"/>
      <c r="C13" s="16" t="n"/>
      <c r="D13" s="16" t="n"/>
      <c r="E13" s="16" t="n"/>
      <c r="G13" s="17" t="inlineStr">
        <is>
          <t>▸  Tableau de bord</t>
        </is>
      </c>
      <c r="H13" s="18" t="inlineStr">
        <is>
          <t>Statistiques, délais, flux mensuel.</t>
        </is>
      </c>
    </row>
    <row r="14" ht="16" customHeight="1">
      <c r="B14" s="16" t="n"/>
      <c r="C14" s="16" t="n"/>
      <c r="D14" s="16" t="n"/>
      <c r="E14" s="16" t="n"/>
      <c r="G14" s="17" t="inlineStr">
        <is>
          <t>▸  Journal</t>
        </is>
      </c>
      <c r="H14" s="18" t="inlineStr">
        <is>
          <t>Historique automatique des e-mails et documents.</t>
        </is>
      </c>
    </row>
    <row r="15" ht="16" customHeight="1">
      <c r="B15" s="16" t="n"/>
      <c r="C15" s="16" t="n"/>
      <c r="D15" s="16" t="n"/>
      <c r="E15" s="16" t="n"/>
      <c r="G15" s="17" t="inlineStr">
        <is>
          <t>▸  Modèles e-mails</t>
        </is>
      </c>
      <c r="H15" s="18" t="inlineStr">
        <is>
          <t>Textes des messages types, librement modifiables.</t>
        </is>
      </c>
    </row>
    <row r="16" ht="16" customHeight="1">
      <c r="B16" s="16" t="n"/>
      <c r="C16" s="16" t="n"/>
      <c r="D16" s="16" t="n"/>
      <c r="E16" s="16" t="n"/>
      <c r="G16" s="17" t="inlineStr">
        <is>
          <t>▸  Paramètres</t>
        </is>
      </c>
      <c r="H16" s="18" t="inlineStr">
        <is>
          <t>Coordonnées, dossiers, délais, listes déroulantes.</t>
        </is>
      </c>
    </row>
    <row r="17" ht="16" customHeight="1">
      <c r="B17" s="16" t="n"/>
      <c r="C17" s="16" t="n"/>
      <c r="D17" s="16" t="n"/>
      <c r="E17" s="16" t="n"/>
      <c r="G17" s="17" t="inlineStr">
        <is>
          <t>▸  Notice</t>
        </is>
      </c>
      <c r="H17" s="18" t="inlineStr">
        <is>
          <t>Mode d'emploi et installation des automatisations.</t>
        </is>
      </c>
    </row>
    <row r="18" ht="16" customHeight="1">
      <c r="B18" s="16" t="n"/>
      <c r="C18" s="16" t="n"/>
      <c r="D18" s="16" t="n"/>
      <c r="E18" s="16" t="n"/>
    </row>
    <row r="19" ht="16" customHeight="1">
      <c r="B19" s="16" t="n"/>
      <c r="C19" s="16" t="n"/>
      <c r="D19" s="16" t="n"/>
      <c r="E19" s="16" t="n"/>
      <c r="G19" s="19" t="inlineStr">
        <is>
          <t>AVANT LA PREMIÈRE UTILISATION</t>
        </is>
      </c>
    </row>
    <row r="20" ht="16" customHeight="1">
      <c r="B20" s="16" t="n"/>
      <c r="C20" s="16" t="n"/>
      <c r="D20" s="16" t="n"/>
      <c r="E20" s="16" t="n"/>
      <c r="G20" s="20" t="inlineStr">
        <is>
          <t>1.  Onglet Paramètres : renseignez les coordonnées du cabinet et les chemins des dossiers.</t>
        </is>
      </c>
    </row>
    <row r="21" ht="16" customHeight="1">
      <c r="B21" s="16" t="n"/>
      <c r="C21" s="16" t="n"/>
      <c r="D21" s="16" t="n"/>
      <c r="E21" s="16" t="n"/>
      <c r="G21" s="20" t="inlineStr">
        <is>
          <t>2.  Onglet Paramètres : adaptez les listes (postes, responsables, sources) à votre organisation.</t>
        </is>
      </c>
    </row>
    <row r="22" ht="16" customHeight="1">
      <c r="B22" s="16" t="n"/>
      <c r="C22" s="16" t="n"/>
      <c r="D22" s="16" t="n"/>
      <c r="E22" s="16" t="n"/>
      <c r="G22" s="20" t="inlineStr">
        <is>
          <t>3.  Onglet Modèles e-mails : relisez et ajustez les textes types.</t>
        </is>
      </c>
    </row>
    <row r="23" ht="16" customHeight="1">
      <c r="B23" s="16" t="n"/>
      <c r="C23" s="16" t="n"/>
      <c r="D23" s="16" t="n"/>
      <c r="E23" s="16" t="n"/>
      <c r="G23" s="20" t="inlineStr">
        <is>
          <t>4.  Onglet Notice : installez le module d'automatisation (Outlook / Word).</t>
        </is>
      </c>
    </row>
    <row r="24" ht="16" customHeight="1">
      <c r="B24" s="16" t="n"/>
      <c r="C24" s="16" t="n"/>
      <c r="D24" s="16" t="n"/>
      <c r="E24" s="16" t="n"/>
      <c r="G24" s="20" t="inlineStr">
        <is>
          <t>5.  Onglet Candidatures : supprimez la ligne EXEMPLE-01, puis saisissez vos candidatures.</t>
        </is>
      </c>
    </row>
    <row r="25" ht="16" customHeight="1">
      <c r="B25" s="16" t="n"/>
      <c r="C25" s="16" t="n"/>
      <c r="D25" s="16" t="n"/>
      <c r="E25" s="16" t="n"/>
    </row>
    <row r="26" ht="16" customHeight="1">
      <c r="B26" s="16" t="n"/>
      <c r="C26" s="16" t="n"/>
      <c r="D26" s="16" t="n"/>
      <c r="E26" s="16" t="n"/>
      <c r="G26" s="19" t="inlineStr">
        <is>
          <t>BON À SAVOIR</t>
        </is>
      </c>
    </row>
    <row r="27" ht="15" customHeight="1">
      <c r="B27" s="16" t="n"/>
      <c r="C27" s="16" t="n"/>
      <c r="D27" s="16" t="n"/>
      <c r="E27" s="16" t="n"/>
      <c r="G27" s="21" t="inlineStr">
        <is>
          <t>•  Les colonnes sur fond gris sont calculées : ne rien y saisir.</t>
        </is>
      </c>
    </row>
    <row r="28" ht="15" customHeight="1">
      <c r="B28" s="16" t="n"/>
      <c r="C28" s="16" t="n"/>
      <c r="D28" s="16" t="n"/>
      <c r="E28" s="16" t="n"/>
      <c r="G28" s="21" t="inlineStr">
        <is>
          <t>•  La colonne « Alerte » signale les dossiers en retard ou à traiter.</t>
        </is>
      </c>
    </row>
    <row r="29" ht="15" customHeight="1">
      <c r="B29" s="16" t="n"/>
      <c r="C29" s="16" t="n"/>
      <c r="D29" s="16" t="n"/>
      <c r="E29" s="16" t="n"/>
      <c r="G29" s="21" t="inlineStr">
        <is>
          <t>•  Pour ajouter une candidature : cliquez sur la première ligne vide sous le tableau.</t>
        </is>
      </c>
    </row>
    <row r="30" ht="15" customHeight="1">
      <c r="G30" s="21" t="inlineStr">
        <is>
          <t>•  Filtrez et triez avec les flèches des en-têtes du tableau.</t>
        </is>
      </c>
    </row>
  </sheetData>
  <mergeCells count="25">
    <mergeCell ref="F4:G4"/>
    <mergeCell ref="B9:E9"/>
    <mergeCell ref="G21:K21"/>
    <mergeCell ref="J5:K5"/>
    <mergeCell ref="G27:K27"/>
    <mergeCell ref="H4:I4"/>
    <mergeCell ref="G23:K23"/>
    <mergeCell ref="A1:K1"/>
    <mergeCell ref="B10:E10"/>
    <mergeCell ref="F5:G5"/>
    <mergeCell ref="G28:K28"/>
    <mergeCell ref="B7:K7"/>
    <mergeCell ref="J4:K4"/>
    <mergeCell ref="G30:K30"/>
    <mergeCell ref="G24:K24"/>
    <mergeCell ref="A2:K2"/>
    <mergeCell ref="D4:E4"/>
    <mergeCell ref="G29:K29"/>
    <mergeCell ref="G20:K20"/>
    <mergeCell ref="B5:C5"/>
    <mergeCell ref="D5:E5"/>
    <mergeCell ref="H5:I5"/>
    <mergeCell ref="G9:H9"/>
    <mergeCell ref="G22:K22"/>
    <mergeCell ref="B4:C4"/>
  </mergeCells>
  <hyperlinks>
    <hyperlink ref="G11" location="'Candidatures'!A1"/>
    <hyperlink ref="G12" location="'Entretiens'!A1"/>
    <hyperlink ref="G13" location="'Tableau de bord'!A1"/>
    <hyperlink ref="G14" location="'Journal'!A1"/>
    <hyperlink ref="G15" location="'Modèles e-mails'!A1"/>
    <hyperlink ref="G16" location="'Paramètres'!A1"/>
    <hyperlink ref="G17" location="'Notice'!A1"/>
  </hyperlinks>
  <pageMargins left="0.75" right="0.75" top="1" bottom="1" header="0.5" footer="0.5"/>
</worksheet>
</file>

<file path=xl/worksheets/sheet2.xml><?xml version="1.0" encoding="utf-8"?>
<worksheet xmlns="http://schemas.openxmlformats.org/spreadsheetml/2006/main">
  <sheetPr>
    <tabColor rgb="0012355B"/>
    <outlinePr summaryBelow="1" summaryRight="1"/>
    <pageSetUpPr fitToPage="1"/>
  </sheetPr>
  <dimension ref="A1:AE34"/>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4" customWidth="1" min="3" max="3"/>
    <col width="21" customWidth="1" min="4" max="4"/>
    <col width="13" customWidth="1" min="5" max="5"/>
    <col width="9" customWidth="1" min="6" max="6"/>
    <col width="13" customWidth="1" min="7" max="7"/>
    <col width="28" customWidth="1" min="8" max="8"/>
    <col width="15" customWidth="1" min="9" max="9"/>
    <col width="14" customWidth="1" min="10" max="10"/>
    <col width="25" customWidth="1" min="11" max="11"/>
    <col width="21" customWidth="1" min="12" max="12"/>
    <col width="10" customWidth="1" min="13" max="13"/>
    <col width="28" customWidth="1" min="14" max="14"/>
    <col width="12" customWidth="1" min="15" max="15"/>
    <col width="12" customWidth="1" min="16" max="16"/>
    <col width="13" customWidth="1" min="17" max="17"/>
    <col width="16" customWidth="1" min="18" max="18"/>
    <col width="9" customWidth="1" min="19" max="19"/>
    <col width="16" customWidth="1" min="20" max="20"/>
    <col width="13" customWidth="1" min="21" max="21"/>
    <col width="26" customWidth="1" min="22" max="22"/>
    <col width="14" customWidth="1" min="23" max="23"/>
    <col width="23" customWidth="1" min="24" max="24"/>
    <col width="14" customWidth="1" min="25" max="25"/>
    <col width="11" customWidth="1" min="26" max="26"/>
    <col width="11" customWidth="1" min="27" max="27"/>
    <col width="24" customWidth="1" min="28" max="28"/>
    <col width="12" customWidth="1" min="29" max="29"/>
    <col width="13" customWidth="1" min="30" max="30"/>
    <col width="45" customWidth="1" min="31" max="31"/>
  </cols>
  <sheetData>
    <row r="1" ht="34" customHeight="1">
      <c r="A1" s="1" t="inlineStr">
        <is>
          <t>SUIVI DES CANDIDATURES</t>
        </is>
      </c>
    </row>
    <row r="2" ht="30" customHeight="1">
      <c r="A2" s="22" t="inlineStr">
        <is>
          <t>Une ligne = une candidature.  Sélectionnez une ligne puis utilisez les boutons ci-dessous (ou l'onglet Accueil).  Colonnes grisées = calculées automatiquement, ne rien y saisir.</t>
        </is>
      </c>
      <c r="B2" s="16" t="n"/>
      <c r="C2" s="16" t="n"/>
      <c r="D2" s="16" t="n"/>
      <c r="E2" s="16" t="n"/>
      <c r="F2" s="16" t="n"/>
      <c r="G2" s="16" t="n"/>
      <c r="H2" s="16" t="n"/>
      <c r="I2" s="16" t="n"/>
      <c r="J2" s="16" t="n"/>
      <c r="K2" s="16" t="n"/>
      <c r="L2" s="16" t="n"/>
      <c r="M2" s="16" t="n"/>
      <c r="N2" s="16" t="n"/>
      <c r="O2" s="16" t="n"/>
      <c r="P2" s="16" t="n"/>
      <c r="Q2" s="16" t="n"/>
      <c r="R2" s="16" t="n"/>
      <c r="S2" s="16" t="n"/>
      <c r="T2" s="16" t="n"/>
      <c r="U2" s="16" t="n"/>
      <c r="V2" s="16" t="n"/>
      <c r="W2" s="16" t="n"/>
      <c r="X2" s="16" t="n"/>
      <c r="Y2" s="16" t="n"/>
      <c r="Z2" s="16" t="n"/>
      <c r="AA2" s="16" t="n"/>
      <c r="AB2" s="16" t="n"/>
      <c r="AC2" s="16" t="n"/>
      <c r="AD2" s="16" t="n"/>
      <c r="AE2" s="16" t="n"/>
    </row>
    <row r="3" ht="16" customHeight="1">
      <c r="A3" s="23" t="inlineStr">
        <is>
          <t>SUIVI RAPIDE</t>
        </is>
      </c>
      <c r="F3" s="24" t="inlineStr">
        <is>
          <t>COORDONNÉES</t>
        </is>
      </c>
      <c r="K3" s="25" t="inlineStr">
        <is>
          <t>PROFIL &amp; POSTE</t>
        </is>
      </c>
      <c r="R3" s="24" t="inlineStr">
        <is>
          <t>TRAITEMENT DE LA CANDIDATURE</t>
        </is>
      </c>
      <c r="Z3" s="26" t="inlineStr">
        <is>
          <t>DÉLAIS (auto)</t>
        </is>
      </c>
      <c r="AB3" s="27" t="inlineStr">
        <is>
          <t>DOSSIER &amp; RGPD</t>
        </is>
      </c>
    </row>
    <row r="4" ht="30" customHeight="1">
      <c r="A4" s="28" t="inlineStr">
        <is>
          <t>ID</t>
        </is>
      </c>
      <c r="B4" s="28" t="inlineStr">
        <is>
          <t>Nom</t>
        </is>
      </c>
      <c r="C4" s="28" t="inlineStr">
        <is>
          <t>Prénom</t>
        </is>
      </c>
      <c r="D4" s="28" t="inlineStr">
        <is>
          <t>Statut</t>
        </is>
      </c>
      <c r="E4" s="29" t="inlineStr">
        <is>
          <t>Alerte</t>
        </is>
      </c>
      <c r="F4" s="28" t="inlineStr">
        <is>
          <t>Civilité</t>
        </is>
      </c>
      <c r="G4" s="28" t="inlineStr">
        <is>
          <t>Date réception</t>
        </is>
      </c>
      <c r="H4" s="28" t="inlineStr">
        <is>
          <t>E-mail</t>
        </is>
      </c>
      <c r="I4" s="28" t="inlineStr">
        <is>
          <t>Téléphone</t>
        </is>
      </c>
      <c r="J4" s="28" t="inlineStr">
        <is>
          <t>Ville</t>
        </is>
      </c>
      <c r="K4" s="28" t="inlineStr">
        <is>
          <t>Poste visé</t>
        </is>
      </c>
      <c r="L4" s="28" t="inlineStr">
        <is>
          <t>Source</t>
        </is>
      </c>
      <c r="M4" s="28" t="inlineStr">
        <is>
          <t>Expérience (ans)</t>
        </is>
      </c>
      <c r="N4" s="28" t="inlineStr">
        <is>
          <t>Diplôme / École</t>
        </is>
      </c>
      <c r="O4" s="28" t="inlineStr">
        <is>
          <t>CAPA / CRFPA</t>
        </is>
      </c>
      <c r="P4" s="28" t="inlineStr">
        <is>
          <t>Disponibilité</t>
        </is>
      </c>
      <c r="Q4" s="28" t="inlineStr">
        <is>
          <t>Prétentions (€)</t>
        </is>
      </c>
      <c r="R4" s="28" t="inlineStr">
        <is>
          <t>Responsable</t>
        </is>
      </c>
      <c r="S4" s="28" t="inlineStr">
        <is>
          <t>Éval. /5</t>
        </is>
      </c>
      <c r="T4" s="28" t="inlineStr">
        <is>
          <t>Date entretien</t>
        </is>
      </c>
      <c r="U4" s="28" t="inlineStr">
        <is>
          <t>Décision</t>
        </is>
      </c>
      <c r="V4" s="28" t="inlineStr">
        <is>
          <t>Motif (si refus)</t>
        </is>
      </c>
      <c r="W4" s="28" t="inlineStr">
        <is>
          <t>Date dernier contact</t>
        </is>
      </c>
      <c r="X4" s="28" t="inlineStr">
        <is>
          <t>Prochaine action</t>
        </is>
      </c>
      <c r="Y4" s="28" t="inlineStr">
        <is>
          <t>Date prochaine action</t>
        </is>
      </c>
      <c r="Z4" s="29" t="inlineStr">
        <is>
          <t>Délai réponse (j)</t>
        </is>
      </c>
      <c r="AA4" s="29" t="inlineStr">
        <is>
          <t>Ancienneté (j)</t>
        </is>
      </c>
      <c r="AB4" s="28" t="inlineStr">
        <is>
          <t>Dossier candidat</t>
        </is>
      </c>
      <c r="AC4" s="28" t="inlineStr">
        <is>
          <t>Consentement vivier</t>
        </is>
      </c>
      <c r="AD4" s="29" t="inlineStr">
        <is>
          <t>Purge RGPD le</t>
        </is>
      </c>
      <c r="AE4" s="28" t="inlineStr">
        <is>
          <t>Commentaires</t>
        </is>
      </c>
    </row>
    <row r="5">
      <c r="A5" s="30" t="inlineStr">
        <is>
          <t>EXEMPLE-01</t>
        </is>
      </c>
      <c r="B5" s="30" t="inlineStr">
        <is>
          <t>MARTIN</t>
        </is>
      </c>
      <c r="C5" s="30" t="inlineStr">
        <is>
          <t>Camille</t>
        </is>
      </c>
      <c r="D5" s="30" t="inlineStr">
        <is>
          <t>4-Entretien planifié</t>
        </is>
      </c>
      <c r="E5" s="31">
        <f>IF($A5="","",IF(IFERROR(INDEX(StatutClos,MATCH($D5,StatutListe,0)),"N")="O","Clôturé",IF(AND($Y5&lt;&gt;"",$Y5&lt;Aujourdhui),"Retard",IF($Y5=Aujourdhui,"Aujourd'hui",IF(AND($W5="",$G5&lt;&gt;"",Aujourdhui-$G5&gt;SeuilAccuse),"À traiter","OK")))))</f>
        <v/>
      </c>
      <c r="F5" s="32" t="inlineStr">
        <is>
          <t>Mme</t>
        </is>
      </c>
      <c r="G5" s="33" t="n">
        <v>46269</v>
      </c>
      <c r="H5" s="30" t="inlineStr">
        <is>
          <t>camille.martin@exemple.fr</t>
        </is>
      </c>
      <c r="I5" s="34" t="inlineStr">
        <is>
          <t>06 12 34 56 78</t>
        </is>
      </c>
      <c r="J5" s="30" t="inlineStr">
        <is>
          <t>Lyon</t>
        </is>
      </c>
      <c r="K5" s="30" t="inlineStr">
        <is>
          <t>Avocat collaborateur</t>
        </is>
      </c>
      <c r="L5" s="30" t="inlineStr">
        <is>
          <t>Village de la Justice</t>
        </is>
      </c>
      <c r="M5" s="35" t="n">
        <v>3</v>
      </c>
      <c r="N5" s="30" t="inlineStr">
        <is>
          <t>M2 Droit du dommage corporel — Lyon III</t>
        </is>
      </c>
      <c r="O5" s="32" t="inlineStr">
        <is>
          <t>Oui</t>
        </is>
      </c>
      <c r="P5" s="33" t="n">
        <v>46326</v>
      </c>
      <c r="Q5" s="36" t="n">
        <v>42000</v>
      </c>
      <c r="R5" s="30" t="inlineStr">
        <is>
          <t>Associé 1</t>
        </is>
      </c>
      <c r="S5" s="37" t="n">
        <v>4</v>
      </c>
      <c r="T5" s="38" t="n">
        <v>46286.41666666666</v>
      </c>
      <c r="U5" s="30" t="inlineStr">
        <is>
          <t>À statuer</t>
        </is>
      </c>
      <c r="V5" s="30" t="n"/>
      <c r="W5" s="33" t="n">
        <v>46271</v>
      </c>
      <c r="X5" s="30" t="inlineStr">
        <is>
          <t>Prendre les références</t>
        </is>
      </c>
      <c r="Y5" s="33" t="n">
        <v>46284</v>
      </c>
      <c r="Z5" s="39">
        <f>IF(OR($A5="",$G5="",$W5=""),"",$W5-$G5)</f>
        <v/>
      </c>
      <c r="AA5" s="39">
        <f>IF(OR($A5="",$G5=""),"",Aujourdhui-$G5)</f>
        <v/>
      </c>
      <c r="AB5" s="30" t="inlineStr">
        <is>
          <t>C:\Cabinet\Recrutement\Candidats\EXEMPLE-01_MARTIN_Camille</t>
        </is>
      </c>
      <c r="AC5" s="32" t="inlineStr">
        <is>
          <t>Oui</t>
        </is>
      </c>
      <c r="AD5" s="40">
        <f>IF($A5="","",IF($W5&lt;&gt;"",EDATE($W5,12*DureeConservation),IF($G5="","",EDATE($G5,12*DureeConservation))))</f>
        <v/>
      </c>
      <c r="AE5" s="41" t="inlineStr">
        <is>
          <t>LIGNE D'EXEMPLE — supprimez-la avant la première utilisation (bouton « Supprimer les exemples » de l'onglet Accueil).</t>
        </is>
      </c>
    </row>
    <row r="6">
      <c r="A6" s="30" t="n"/>
      <c r="B6" s="30" t="n"/>
      <c r="C6" s="30" t="n"/>
      <c r="D6" s="30" t="n"/>
      <c r="E6" s="31">
        <f>IF($A6="","",IF(IFERROR(INDEX(StatutClos,MATCH($D6,StatutListe,0)),"N")="O","Clôturé",IF(AND($Y6&lt;&gt;"",$Y6&lt;Aujourdhui),"Retard",IF($Y6=Aujourdhui,"Aujourd'hui",IF(AND($W6="",$G6&lt;&gt;"",Aujourdhui-$G6&gt;SeuilAccuse),"À traiter","OK")))))</f>
        <v/>
      </c>
      <c r="F6" s="32" t="n"/>
      <c r="G6" s="33" t="n"/>
      <c r="H6" s="30" t="n"/>
      <c r="I6" s="34" t="n"/>
      <c r="J6" s="30" t="n"/>
      <c r="K6" s="30" t="n"/>
      <c r="L6" s="30" t="n"/>
      <c r="M6" s="35" t="n"/>
      <c r="N6" s="30" t="n"/>
      <c r="O6" s="32" t="n"/>
      <c r="P6" s="33" t="n"/>
      <c r="Q6" s="36" t="n"/>
      <c r="R6" s="30" t="n"/>
      <c r="S6" s="37" t="n"/>
      <c r="T6" s="38" t="n"/>
      <c r="U6" s="30" t="n"/>
      <c r="V6" s="30" t="n"/>
      <c r="W6" s="33" t="n"/>
      <c r="X6" s="30" t="n"/>
      <c r="Y6" s="33" t="n"/>
      <c r="Z6" s="39">
        <f>IF(OR($A6="",$G6="",$W6=""),"",$W6-$G6)</f>
        <v/>
      </c>
      <c r="AA6" s="39">
        <f>IF(OR($A6="",$G6=""),"",Aujourdhui-$G6)</f>
        <v/>
      </c>
      <c r="AB6" s="30" t="n"/>
      <c r="AC6" s="32" t="n"/>
      <c r="AD6" s="40">
        <f>IF($A6="","",IF($W6&lt;&gt;"",EDATE($W6,12*DureeConservation),IF($G6="","",EDATE($G6,12*DureeConservation))))</f>
        <v/>
      </c>
      <c r="AE6" s="41" t="n"/>
    </row>
    <row r="7">
      <c r="A7" s="30" t="n"/>
      <c r="B7" s="30" t="n"/>
      <c r="C7" s="30" t="n"/>
      <c r="D7" s="30" t="n"/>
      <c r="E7" s="31">
        <f>IF($A7="","",IF(IFERROR(INDEX(StatutClos,MATCH($D7,StatutListe,0)),"N")="O","Clôturé",IF(AND($Y7&lt;&gt;"",$Y7&lt;Aujourdhui),"Retard",IF($Y7=Aujourdhui,"Aujourd'hui",IF(AND($W7="",$G7&lt;&gt;"",Aujourdhui-$G7&gt;SeuilAccuse),"À traiter","OK")))))</f>
        <v/>
      </c>
      <c r="F7" s="32" t="n"/>
      <c r="G7" s="33" t="n"/>
      <c r="H7" s="30" t="n"/>
      <c r="I7" s="34" t="n"/>
      <c r="J7" s="30" t="n"/>
      <c r="K7" s="30" t="n"/>
      <c r="L7" s="30" t="n"/>
      <c r="M7" s="35" t="n"/>
      <c r="N7" s="30" t="n"/>
      <c r="O7" s="32" t="n"/>
      <c r="P7" s="33" t="n"/>
      <c r="Q7" s="36" t="n"/>
      <c r="R7" s="30" t="n"/>
      <c r="S7" s="37" t="n"/>
      <c r="T7" s="38" t="n"/>
      <c r="U7" s="30" t="n"/>
      <c r="V7" s="30" t="n"/>
      <c r="W7" s="33" t="n"/>
      <c r="X7" s="30" t="n"/>
      <c r="Y7" s="33" t="n"/>
      <c r="Z7" s="39">
        <f>IF(OR($A7="",$G7="",$W7=""),"",$W7-$G7)</f>
        <v/>
      </c>
      <c r="AA7" s="39">
        <f>IF(OR($A7="",$G7=""),"",Aujourdhui-$G7)</f>
        <v/>
      </c>
      <c r="AB7" s="30" t="n"/>
      <c r="AC7" s="32" t="n"/>
      <c r="AD7" s="40">
        <f>IF($A7="","",IF($W7&lt;&gt;"",EDATE($W7,12*DureeConservation),IF($G7="","",EDATE($G7,12*DureeConservation))))</f>
        <v/>
      </c>
      <c r="AE7" s="41" t="n"/>
    </row>
    <row r="8">
      <c r="A8" s="30" t="n"/>
      <c r="B8" s="30" t="n"/>
      <c r="C8" s="30" t="n"/>
      <c r="D8" s="30" t="n"/>
      <c r="E8" s="31">
        <f>IF($A8="","",IF(IFERROR(INDEX(StatutClos,MATCH($D8,StatutListe,0)),"N")="O","Clôturé",IF(AND($Y8&lt;&gt;"",$Y8&lt;Aujourdhui),"Retard",IF($Y8=Aujourdhui,"Aujourd'hui",IF(AND($W8="",$G8&lt;&gt;"",Aujourdhui-$G8&gt;SeuilAccuse),"À traiter","OK")))))</f>
        <v/>
      </c>
      <c r="F8" s="32" t="n"/>
      <c r="G8" s="33" t="n"/>
      <c r="H8" s="30" t="n"/>
      <c r="I8" s="34" t="n"/>
      <c r="J8" s="30" t="n"/>
      <c r="K8" s="30" t="n"/>
      <c r="L8" s="30" t="n"/>
      <c r="M8" s="35" t="n"/>
      <c r="N8" s="30" t="n"/>
      <c r="O8" s="32" t="n"/>
      <c r="P8" s="33" t="n"/>
      <c r="Q8" s="36" t="n"/>
      <c r="R8" s="30" t="n"/>
      <c r="S8" s="37" t="n"/>
      <c r="T8" s="38" t="n"/>
      <c r="U8" s="30" t="n"/>
      <c r="V8" s="30" t="n"/>
      <c r="W8" s="33" t="n"/>
      <c r="X8" s="30" t="n"/>
      <c r="Y8" s="33" t="n"/>
      <c r="Z8" s="39">
        <f>IF(OR($A8="",$G8="",$W8=""),"",$W8-$G8)</f>
        <v/>
      </c>
      <c r="AA8" s="39">
        <f>IF(OR($A8="",$G8=""),"",Aujourdhui-$G8)</f>
        <v/>
      </c>
      <c r="AB8" s="30" t="n"/>
      <c r="AC8" s="32" t="n"/>
      <c r="AD8" s="40">
        <f>IF($A8="","",IF($W8&lt;&gt;"",EDATE($W8,12*DureeConservation),IF($G8="","",EDATE($G8,12*DureeConservation))))</f>
        <v/>
      </c>
      <c r="AE8" s="41" t="n"/>
    </row>
    <row r="9">
      <c r="A9" s="30" t="n"/>
      <c r="B9" s="30" t="n"/>
      <c r="C9" s="30" t="n"/>
      <c r="D9" s="30" t="n"/>
      <c r="E9" s="31">
        <f>IF($A9="","",IF(IFERROR(INDEX(StatutClos,MATCH($D9,StatutListe,0)),"N")="O","Clôturé",IF(AND($Y9&lt;&gt;"",$Y9&lt;Aujourdhui),"Retard",IF($Y9=Aujourdhui,"Aujourd'hui",IF(AND($W9="",$G9&lt;&gt;"",Aujourdhui-$G9&gt;SeuilAccuse),"À traiter","OK")))))</f>
        <v/>
      </c>
      <c r="F9" s="32" t="n"/>
      <c r="G9" s="33" t="n"/>
      <c r="H9" s="30" t="n"/>
      <c r="I9" s="34" t="n"/>
      <c r="J9" s="30" t="n"/>
      <c r="K9" s="30" t="n"/>
      <c r="L9" s="30" t="n"/>
      <c r="M9" s="35" t="n"/>
      <c r="N9" s="30" t="n"/>
      <c r="O9" s="32" t="n"/>
      <c r="P9" s="33" t="n"/>
      <c r="Q9" s="36" t="n"/>
      <c r="R9" s="30" t="n"/>
      <c r="S9" s="37" t="n"/>
      <c r="T9" s="38" t="n"/>
      <c r="U9" s="30" t="n"/>
      <c r="V9" s="30" t="n"/>
      <c r="W9" s="33" t="n"/>
      <c r="X9" s="30" t="n"/>
      <c r="Y9" s="33" t="n"/>
      <c r="Z9" s="39">
        <f>IF(OR($A9="",$G9="",$W9=""),"",$W9-$G9)</f>
        <v/>
      </c>
      <c r="AA9" s="39">
        <f>IF(OR($A9="",$G9=""),"",Aujourdhui-$G9)</f>
        <v/>
      </c>
      <c r="AB9" s="30" t="n"/>
      <c r="AC9" s="32" t="n"/>
      <c r="AD9" s="40">
        <f>IF($A9="","",IF($W9&lt;&gt;"",EDATE($W9,12*DureeConservation),IF($G9="","",EDATE($G9,12*DureeConservation))))</f>
        <v/>
      </c>
      <c r="AE9" s="41" t="n"/>
    </row>
    <row r="10">
      <c r="A10" s="30" t="n"/>
      <c r="B10" s="30" t="n"/>
      <c r="C10" s="30" t="n"/>
      <c r="D10" s="30" t="n"/>
      <c r="E10" s="31">
        <f>IF($A10="","",IF(IFERROR(INDEX(StatutClos,MATCH($D10,StatutListe,0)),"N")="O","Clôturé",IF(AND($Y10&lt;&gt;"",$Y10&lt;Aujourdhui),"Retard",IF($Y10=Aujourdhui,"Aujourd'hui",IF(AND($W10="",$G10&lt;&gt;"",Aujourdhui-$G10&gt;SeuilAccuse),"À traiter","OK")))))</f>
        <v/>
      </c>
      <c r="F10" s="32" t="n"/>
      <c r="G10" s="33" t="n"/>
      <c r="H10" s="30" t="n"/>
      <c r="I10" s="34" t="n"/>
      <c r="J10" s="30" t="n"/>
      <c r="K10" s="30" t="n"/>
      <c r="L10" s="30" t="n"/>
      <c r="M10" s="35" t="n"/>
      <c r="N10" s="30" t="n"/>
      <c r="O10" s="32" t="n"/>
      <c r="P10" s="33" t="n"/>
      <c r="Q10" s="36" t="n"/>
      <c r="R10" s="30" t="n"/>
      <c r="S10" s="37" t="n"/>
      <c r="T10" s="38" t="n"/>
      <c r="U10" s="30" t="n"/>
      <c r="V10" s="30" t="n"/>
      <c r="W10" s="33" t="n"/>
      <c r="X10" s="30" t="n"/>
      <c r="Y10" s="33" t="n"/>
      <c r="Z10" s="39">
        <f>IF(OR($A10="",$G10="",$W10=""),"",$W10-$G10)</f>
        <v/>
      </c>
      <c r="AA10" s="39">
        <f>IF(OR($A10="",$G10=""),"",Aujourdhui-$G10)</f>
        <v/>
      </c>
      <c r="AB10" s="30" t="n"/>
      <c r="AC10" s="32" t="n"/>
      <c r="AD10" s="40">
        <f>IF($A10="","",IF($W10&lt;&gt;"",EDATE($W10,12*DureeConservation),IF($G10="","",EDATE($G10,12*DureeConservation))))</f>
        <v/>
      </c>
      <c r="AE10" s="41" t="n"/>
    </row>
    <row r="11">
      <c r="A11" s="30" t="n"/>
      <c r="B11" s="30" t="n"/>
      <c r="C11" s="30" t="n"/>
      <c r="D11" s="30" t="n"/>
      <c r="E11" s="31">
        <f>IF($A11="","",IF(IFERROR(INDEX(StatutClos,MATCH($D11,StatutListe,0)),"N")="O","Clôturé",IF(AND($Y11&lt;&gt;"",$Y11&lt;Aujourdhui),"Retard",IF($Y11=Aujourdhui,"Aujourd'hui",IF(AND($W11="",$G11&lt;&gt;"",Aujourdhui-$G11&gt;SeuilAccuse),"À traiter","OK")))))</f>
        <v/>
      </c>
      <c r="F11" s="32" t="n"/>
      <c r="G11" s="33" t="n"/>
      <c r="H11" s="30" t="n"/>
      <c r="I11" s="34" t="n"/>
      <c r="J11" s="30" t="n"/>
      <c r="K11" s="30" t="n"/>
      <c r="L11" s="30" t="n"/>
      <c r="M11" s="35" t="n"/>
      <c r="N11" s="30" t="n"/>
      <c r="O11" s="32" t="n"/>
      <c r="P11" s="33" t="n"/>
      <c r="Q11" s="36" t="n"/>
      <c r="R11" s="30" t="n"/>
      <c r="S11" s="37" t="n"/>
      <c r="T11" s="38" t="n"/>
      <c r="U11" s="30" t="n"/>
      <c r="V11" s="30" t="n"/>
      <c r="W11" s="33" t="n"/>
      <c r="X11" s="30" t="n"/>
      <c r="Y11" s="33" t="n"/>
      <c r="Z11" s="39">
        <f>IF(OR($A11="",$G11="",$W11=""),"",$W11-$G11)</f>
        <v/>
      </c>
      <c r="AA11" s="39">
        <f>IF(OR($A11="",$G11=""),"",Aujourdhui-$G11)</f>
        <v/>
      </c>
      <c r="AB11" s="30" t="n"/>
      <c r="AC11" s="32" t="n"/>
      <c r="AD11" s="40">
        <f>IF($A11="","",IF($W11&lt;&gt;"",EDATE($W11,12*DureeConservation),IF($G11="","",EDATE($G11,12*DureeConservation))))</f>
        <v/>
      </c>
      <c r="AE11" s="41" t="n"/>
    </row>
    <row r="12">
      <c r="A12" s="30" t="n"/>
      <c r="B12" s="30" t="n"/>
      <c r="C12" s="30" t="n"/>
      <c r="D12" s="30" t="n"/>
      <c r="E12" s="31">
        <f>IF($A12="","",IF(IFERROR(INDEX(StatutClos,MATCH($D12,StatutListe,0)),"N")="O","Clôturé",IF(AND($Y12&lt;&gt;"",$Y12&lt;Aujourdhui),"Retard",IF($Y12=Aujourdhui,"Aujourd'hui",IF(AND($W12="",$G12&lt;&gt;"",Aujourdhui-$G12&gt;SeuilAccuse),"À traiter","OK")))))</f>
        <v/>
      </c>
      <c r="F12" s="32" t="n"/>
      <c r="G12" s="33" t="n"/>
      <c r="H12" s="30" t="n"/>
      <c r="I12" s="34" t="n"/>
      <c r="J12" s="30" t="n"/>
      <c r="K12" s="30" t="n"/>
      <c r="L12" s="30" t="n"/>
      <c r="M12" s="35" t="n"/>
      <c r="N12" s="30" t="n"/>
      <c r="O12" s="32" t="n"/>
      <c r="P12" s="33" t="n"/>
      <c r="Q12" s="36" t="n"/>
      <c r="R12" s="30" t="n"/>
      <c r="S12" s="37" t="n"/>
      <c r="T12" s="38" t="n"/>
      <c r="U12" s="30" t="n"/>
      <c r="V12" s="30" t="n"/>
      <c r="W12" s="33" t="n"/>
      <c r="X12" s="30" t="n"/>
      <c r="Y12" s="33" t="n"/>
      <c r="Z12" s="39">
        <f>IF(OR($A12="",$G12="",$W12=""),"",$W12-$G12)</f>
        <v/>
      </c>
      <c r="AA12" s="39">
        <f>IF(OR($A12="",$G12=""),"",Aujourdhui-$G12)</f>
        <v/>
      </c>
      <c r="AB12" s="30" t="n"/>
      <c r="AC12" s="32" t="n"/>
      <c r="AD12" s="40">
        <f>IF($A12="","",IF($W12&lt;&gt;"",EDATE($W12,12*DureeConservation),IF($G12="","",EDATE($G12,12*DureeConservation))))</f>
        <v/>
      </c>
      <c r="AE12" s="41" t="n"/>
    </row>
    <row r="13">
      <c r="A13" s="30" t="n"/>
      <c r="B13" s="30" t="n"/>
      <c r="C13" s="30" t="n"/>
      <c r="D13" s="30" t="n"/>
      <c r="E13" s="31">
        <f>IF($A13="","",IF(IFERROR(INDEX(StatutClos,MATCH($D13,StatutListe,0)),"N")="O","Clôturé",IF(AND($Y13&lt;&gt;"",$Y13&lt;Aujourdhui),"Retard",IF($Y13=Aujourdhui,"Aujourd'hui",IF(AND($W13="",$G13&lt;&gt;"",Aujourdhui-$G13&gt;SeuilAccuse),"À traiter","OK")))))</f>
        <v/>
      </c>
      <c r="F13" s="32" t="n"/>
      <c r="G13" s="33" t="n"/>
      <c r="H13" s="30" t="n"/>
      <c r="I13" s="34" t="n"/>
      <c r="J13" s="30" t="n"/>
      <c r="K13" s="30" t="n"/>
      <c r="L13" s="30" t="n"/>
      <c r="M13" s="35" t="n"/>
      <c r="N13" s="30" t="n"/>
      <c r="O13" s="32" t="n"/>
      <c r="P13" s="33" t="n"/>
      <c r="Q13" s="36" t="n"/>
      <c r="R13" s="30" t="n"/>
      <c r="S13" s="37" t="n"/>
      <c r="T13" s="38" t="n"/>
      <c r="U13" s="30" t="n"/>
      <c r="V13" s="30" t="n"/>
      <c r="W13" s="33" t="n"/>
      <c r="X13" s="30" t="n"/>
      <c r="Y13" s="33" t="n"/>
      <c r="Z13" s="39">
        <f>IF(OR($A13="",$G13="",$W13=""),"",$W13-$G13)</f>
        <v/>
      </c>
      <c r="AA13" s="39">
        <f>IF(OR($A13="",$G13=""),"",Aujourdhui-$G13)</f>
        <v/>
      </c>
      <c r="AB13" s="30" t="n"/>
      <c r="AC13" s="32" t="n"/>
      <c r="AD13" s="40">
        <f>IF($A13="","",IF($W13&lt;&gt;"",EDATE($W13,12*DureeConservation),IF($G13="","",EDATE($G13,12*DureeConservation))))</f>
        <v/>
      </c>
      <c r="AE13" s="41" t="n"/>
    </row>
    <row r="14">
      <c r="A14" s="30" t="n"/>
      <c r="B14" s="30" t="n"/>
      <c r="C14" s="30" t="n"/>
      <c r="D14" s="30" t="n"/>
      <c r="E14" s="31">
        <f>IF($A14="","",IF(IFERROR(INDEX(StatutClos,MATCH($D14,StatutListe,0)),"N")="O","Clôturé",IF(AND($Y14&lt;&gt;"",$Y14&lt;Aujourdhui),"Retard",IF($Y14=Aujourdhui,"Aujourd'hui",IF(AND($W14="",$G14&lt;&gt;"",Aujourdhui-$G14&gt;SeuilAccuse),"À traiter","OK")))))</f>
        <v/>
      </c>
      <c r="F14" s="32" t="n"/>
      <c r="G14" s="33" t="n"/>
      <c r="H14" s="30" t="n"/>
      <c r="I14" s="34" t="n"/>
      <c r="J14" s="30" t="n"/>
      <c r="K14" s="30" t="n"/>
      <c r="L14" s="30" t="n"/>
      <c r="M14" s="35" t="n"/>
      <c r="N14" s="30" t="n"/>
      <c r="O14" s="32" t="n"/>
      <c r="P14" s="33" t="n"/>
      <c r="Q14" s="36" t="n"/>
      <c r="R14" s="30" t="n"/>
      <c r="S14" s="37" t="n"/>
      <c r="T14" s="38" t="n"/>
      <c r="U14" s="30" t="n"/>
      <c r="V14" s="30" t="n"/>
      <c r="W14" s="33" t="n"/>
      <c r="X14" s="30" t="n"/>
      <c r="Y14" s="33" t="n"/>
      <c r="Z14" s="39">
        <f>IF(OR($A14="",$G14="",$W14=""),"",$W14-$G14)</f>
        <v/>
      </c>
      <c r="AA14" s="39">
        <f>IF(OR($A14="",$G14=""),"",Aujourdhui-$G14)</f>
        <v/>
      </c>
      <c r="AB14" s="30" t="n"/>
      <c r="AC14" s="32" t="n"/>
      <c r="AD14" s="40">
        <f>IF($A14="","",IF($W14&lt;&gt;"",EDATE($W14,12*DureeConservation),IF($G14="","",EDATE($G14,12*DureeConservation))))</f>
        <v/>
      </c>
      <c r="AE14" s="41" t="n"/>
    </row>
    <row r="15">
      <c r="A15" s="30" t="n"/>
      <c r="B15" s="30" t="n"/>
      <c r="C15" s="30" t="n"/>
      <c r="D15" s="30" t="n"/>
      <c r="E15" s="31">
        <f>IF($A15="","",IF(IFERROR(INDEX(StatutClos,MATCH($D15,StatutListe,0)),"N")="O","Clôturé",IF(AND($Y15&lt;&gt;"",$Y15&lt;Aujourdhui),"Retard",IF($Y15=Aujourdhui,"Aujourd'hui",IF(AND($W15="",$G15&lt;&gt;"",Aujourdhui-$G15&gt;SeuilAccuse),"À traiter","OK")))))</f>
        <v/>
      </c>
      <c r="F15" s="32" t="n"/>
      <c r="G15" s="33" t="n"/>
      <c r="H15" s="30" t="n"/>
      <c r="I15" s="34" t="n"/>
      <c r="J15" s="30" t="n"/>
      <c r="K15" s="30" t="n"/>
      <c r="L15" s="30" t="n"/>
      <c r="M15" s="35" t="n"/>
      <c r="N15" s="30" t="n"/>
      <c r="O15" s="32" t="n"/>
      <c r="P15" s="33" t="n"/>
      <c r="Q15" s="36" t="n"/>
      <c r="R15" s="30" t="n"/>
      <c r="S15" s="37" t="n"/>
      <c r="T15" s="38" t="n"/>
      <c r="U15" s="30" t="n"/>
      <c r="V15" s="30" t="n"/>
      <c r="W15" s="33" t="n"/>
      <c r="X15" s="30" t="n"/>
      <c r="Y15" s="33" t="n"/>
      <c r="Z15" s="39">
        <f>IF(OR($A15="",$G15="",$W15=""),"",$W15-$G15)</f>
        <v/>
      </c>
      <c r="AA15" s="39">
        <f>IF(OR($A15="",$G15=""),"",Aujourdhui-$G15)</f>
        <v/>
      </c>
      <c r="AB15" s="30" t="n"/>
      <c r="AC15" s="32" t="n"/>
      <c r="AD15" s="40">
        <f>IF($A15="","",IF($W15&lt;&gt;"",EDATE($W15,12*DureeConservation),IF($G15="","",EDATE($G15,12*DureeConservation))))</f>
        <v/>
      </c>
      <c r="AE15" s="41" t="n"/>
    </row>
    <row r="16">
      <c r="A16" s="30" t="n"/>
      <c r="B16" s="30" t="n"/>
      <c r="C16" s="30" t="n"/>
      <c r="D16" s="30" t="n"/>
      <c r="E16" s="31">
        <f>IF($A16="","",IF(IFERROR(INDEX(StatutClos,MATCH($D16,StatutListe,0)),"N")="O","Clôturé",IF(AND($Y16&lt;&gt;"",$Y16&lt;Aujourdhui),"Retard",IF($Y16=Aujourdhui,"Aujourd'hui",IF(AND($W16="",$G16&lt;&gt;"",Aujourdhui-$G16&gt;SeuilAccuse),"À traiter","OK")))))</f>
        <v/>
      </c>
      <c r="F16" s="32" t="n"/>
      <c r="G16" s="33" t="n"/>
      <c r="H16" s="30" t="n"/>
      <c r="I16" s="34" t="n"/>
      <c r="J16" s="30" t="n"/>
      <c r="K16" s="30" t="n"/>
      <c r="L16" s="30" t="n"/>
      <c r="M16" s="35" t="n"/>
      <c r="N16" s="30" t="n"/>
      <c r="O16" s="32" t="n"/>
      <c r="P16" s="33" t="n"/>
      <c r="Q16" s="36" t="n"/>
      <c r="R16" s="30" t="n"/>
      <c r="S16" s="37" t="n"/>
      <c r="T16" s="38" t="n"/>
      <c r="U16" s="30" t="n"/>
      <c r="V16" s="30" t="n"/>
      <c r="W16" s="33" t="n"/>
      <c r="X16" s="30" t="n"/>
      <c r="Y16" s="33" t="n"/>
      <c r="Z16" s="39">
        <f>IF(OR($A16="",$G16="",$W16=""),"",$W16-$G16)</f>
        <v/>
      </c>
      <c r="AA16" s="39">
        <f>IF(OR($A16="",$G16=""),"",Aujourdhui-$G16)</f>
        <v/>
      </c>
      <c r="AB16" s="30" t="n"/>
      <c r="AC16" s="32" t="n"/>
      <c r="AD16" s="40">
        <f>IF($A16="","",IF($W16&lt;&gt;"",EDATE($W16,12*DureeConservation),IF($G16="","",EDATE($G16,12*DureeConservation))))</f>
        <v/>
      </c>
      <c r="AE16" s="41" t="n"/>
    </row>
    <row r="17">
      <c r="A17" s="30" t="n"/>
      <c r="B17" s="30" t="n"/>
      <c r="C17" s="30" t="n"/>
      <c r="D17" s="30" t="n"/>
      <c r="E17" s="31">
        <f>IF($A17="","",IF(IFERROR(INDEX(StatutClos,MATCH($D17,StatutListe,0)),"N")="O","Clôturé",IF(AND($Y17&lt;&gt;"",$Y17&lt;Aujourdhui),"Retard",IF($Y17=Aujourdhui,"Aujourd'hui",IF(AND($W17="",$G17&lt;&gt;"",Aujourdhui-$G17&gt;SeuilAccuse),"À traiter","OK")))))</f>
        <v/>
      </c>
      <c r="F17" s="32" t="n"/>
      <c r="G17" s="33" t="n"/>
      <c r="H17" s="30" t="n"/>
      <c r="I17" s="34" t="n"/>
      <c r="J17" s="30" t="n"/>
      <c r="K17" s="30" t="n"/>
      <c r="L17" s="30" t="n"/>
      <c r="M17" s="35" t="n"/>
      <c r="N17" s="30" t="n"/>
      <c r="O17" s="32" t="n"/>
      <c r="P17" s="33" t="n"/>
      <c r="Q17" s="36" t="n"/>
      <c r="R17" s="30" t="n"/>
      <c r="S17" s="37" t="n"/>
      <c r="T17" s="38" t="n"/>
      <c r="U17" s="30" t="n"/>
      <c r="V17" s="30" t="n"/>
      <c r="W17" s="33" t="n"/>
      <c r="X17" s="30" t="n"/>
      <c r="Y17" s="33" t="n"/>
      <c r="Z17" s="39">
        <f>IF(OR($A17="",$G17="",$W17=""),"",$W17-$G17)</f>
        <v/>
      </c>
      <c r="AA17" s="39">
        <f>IF(OR($A17="",$G17=""),"",Aujourdhui-$G17)</f>
        <v/>
      </c>
      <c r="AB17" s="30" t="n"/>
      <c r="AC17" s="32" t="n"/>
      <c r="AD17" s="40">
        <f>IF($A17="","",IF($W17&lt;&gt;"",EDATE($W17,12*DureeConservation),IF($G17="","",EDATE($G17,12*DureeConservation))))</f>
        <v/>
      </c>
      <c r="AE17" s="41" t="n"/>
    </row>
    <row r="18">
      <c r="A18" s="30" t="n"/>
      <c r="B18" s="30" t="n"/>
      <c r="C18" s="30" t="n"/>
      <c r="D18" s="30" t="n"/>
      <c r="E18" s="31">
        <f>IF($A18="","",IF(IFERROR(INDEX(StatutClos,MATCH($D18,StatutListe,0)),"N")="O","Clôturé",IF(AND($Y18&lt;&gt;"",$Y18&lt;Aujourdhui),"Retard",IF($Y18=Aujourdhui,"Aujourd'hui",IF(AND($W18="",$G18&lt;&gt;"",Aujourdhui-$G18&gt;SeuilAccuse),"À traiter","OK")))))</f>
        <v/>
      </c>
      <c r="F18" s="32" t="n"/>
      <c r="G18" s="33" t="n"/>
      <c r="H18" s="30" t="n"/>
      <c r="I18" s="34" t="n"/>
      <c r="J18" s="30" t="n"/>
      <c r="K18" s="30" t="n"/>
      <c r="L18" s="30" t="n"/>
      <c r="M18" s="35" t="n"/>
      <c r="N18" s="30" t="n"/>
      <c r="O18" s="32" t="n"/>
      <c r="P18" s="33" t="n"/>
      <c r="Q18" s="36" t="n"/>
      <c r="R18" s="30" t="n"/>
      <c r="S18" s="37" t="n"/>
      <c r="T18" s="38" t="n"/>
      <c r="U18" s="30" t="n"/>
      <c r="V18" s="30" t="n"/>
      <c r="W18" s="33" t="n"/>
      <c r="X18" s="30" t="n"/>
      <c r="Y18" s="33" t="n"/>
      <c r="Z18" s="39">
        <f>IF(OR($A18="",$G18="",$W18=""),"",$W18-$G18)</f>
        <v/>
      </c>
      <c r="AA18" s="39">
        <f>IF(OR($A18="",$G18=""),"",Aujourdhui-$G18)</f>
        <v/>
      </c>
      <c r="AB18" s="30" t="n"/>
      <c r="AC18" s="32" t="n"/>
      <c r="AD18" s="40">
        <f>IF($A18="","",IF($W18&lt;&gt;"",EDATE($W18,12*DureeConservation),IF($G18="","",EDATE($G18,12*DureeConservation))))</f>
        <v/>
      </c>
      <c r="AE18" s="41" t="n"/>
    </row>
    <row r="19">
      <c r="A19" s="30" t="n"/>
      <c r="B19" s="30" t="n"/>
      <c r="C19" s="30" t="n"/>
      <c r="D19" s="30" t="n"/>
      <c r="E19" s="31">
        <f>IF($A19="","",IF(IFERROR(INDEX(StatutClos,MATCH($D19,StatutListe,0)),"N")="O","Clôturé",IF(AND($Y19&lt;&gt;"",$Y19&lt;Aujourdhui),"Retard",IF($Y19=Aujourdhui,"Aujourd'hui",IF(AND($W19="",$G19&lt;&gt;"",Aujourdhui-$G19&gt;SeuilAccuse),"À traiter","OK")))))</f>
        <v/>
      </c>
      <c r="F19" s="32" t="n"/>
      <c r="G19" s="33" t="n"/>
      <c r="H19" s="30" t="n"/>
      <c r="I19" s="34" t="n"/>
      <c r="J19" s="30" t="n"/>
      <c r="K19" s="30" t="n"/>
      <c r="L19" s="30" t="n"/>
      <c r="M19" s="35" t="n"/>
      <c r="N19" s="30" t="n"/>
      <c r="O19" s="32" t="n"/>
      <c r="P19" s="33" t="n"/>
      <c r="Q19" s="36" t="n"/>
      <c r="R19" s="30" t="n"/>
      <c r="S19" s="37" t="n"/>
      <c r="T19" s="38" t="n"/>
      <c r="U19" s="30" t="n"/>
      <c r="V19" s="30" t="n"/>
      <c r="W19" s="33" t="n"/>
      <c r="X19" s="30" t="n"/>
      <c r="Y19" s="33" t="n"/>
      <c r="Z19" s="39">
        <f>IF(OR($A19="",$G19="",$W19=""),"",$W19-$G19)</f>
        <v/>
      </c>
      <c r="AA19" s="39">
        <f>IF(OR($A19="",$G19=""),"",Aujourdhui-$G19)</f>
        <v/>
      </c>
      <c r="AB19" s="30" t="n"/>
      <c r="AC19" s="32" t="n"/>
      <c r="AD19" s="40">
        <f>IF($A19="","",IF($W19&lt;&gt;"",EDATE($W19,12*DureeConservation),IF($G19="","",EDATE($G19,12*DureeConservation))))</f>
        <v/>
      </c>
      <c r="AE19" s="41" t="n"/>
    </row>
    <row r="20">
      <c r="A20" s="30" t="n"/>
      <c r="B20" s="30" t="n"/>
      <c r="C20" s="30" t="n"/>
      <c r="D20" s="30" t="n"/>
      <c r="E20" s="31">
        <f>IF($A20="","",IF(IFERROR(INDEX(StatutClos,MATCH($D20,StatutListe,0)),"N")="O","Clôturé",IF(AND($Y20&lt;&gt;"",$Y20&lt;Aujourdhui),"Retard",IF($Y20=Aujourdhui,"Aujourd'hui",IF(AND($W20="",$G20&lt;&gt;"",Aujourdhui-$G20&gt;SeuilAccuse),"À traiter","OK")))))</f>
        <v/>
      </c>
      <c r="F20" s="32" t="n"/>
      <c r="G20" s="33" t="n"/>
      <c r="H20" s="30" t="n"/>
      <c r="I20" s="34" t="n"/>
      <c r="J20" s="30" t="n"/>
      <c r="K20" s="30" t="n"/>
      <c r="L20" s="30" t="n"/>
      <c r="M20" s="35" t="n"/>
      <c r="N20" s="30" t="n"/>
      <c r="O20" s="32" t="n"/>
      <c r="P20" s="33" t="n"/>
      <c r="Q20" s="36" t="n"/>
      <c r="R20" s="30" t="n"/>
      <c r="S20" s="37" t="n"/>
      <c r="T20" s="38" t="n"/>
      <c r="U20" s="30" t="n"/>
      <c r="V20" s="30" t="n"/>
      <c r="W20" s="33" t="n"/>
      <c r="X20" s="30" t="n"/>
      <c r="Y20" s="33" t="n"/>
      <c r="Z20" s="39">
        <f>IF(OR($A20="",$G20="",$W20=""),"",$W20-$G20)</f>
        <v/>
      </c>
      <c r="AA20" s="39">
        <f>IF(OR($A20="",$G20=""),"",Aujourdhui-$G20)</f>
        <v/>
      </c>
      <c r="AB20" s="30" t="n"/>
      <c r="AC20" s="32" t="n"/>
      <c r="AD20" s="40">
        <f>IF($A20="","",IF($W20&lt;&gt;"",EDATE($W20,12*DureeConservation),IF($G20="","",EDATE($G20,12*DureeConservation))))</f>
        <v/>
      </c>
      <c r="AE20" s="41" t="n"/>
    </row>
    <row r="21">
      <c r="A21" s="30" t="n"/>
      <c r="B21" s="30" t="n"/>
      <c r="C21" s="30" t="n"/>
      <c r="D21" s="30" t="n"/>
      <c r="E21" s="31">
        <f>IF($A21="","",IF(IFERROR(INDEX(StatutClos,MATCH($D21,StatutListe,0)),"N")="O","Clôturé",IF(AND($Y21&lt;&gt;"",$Y21&lt;Aujourdhui),"Retard",IF($Y21=Aujourdhui,"Aujourd'hui",IF(AND($W21="",$G21&lt;&gt;"",Aujourdhui-$G21&gt;SeuilAccuse),"À traiter","OK")))))</f>
        <v/>
      </c>
      <c r="F21" s="32" t="n"/>
      <c r="G21" s="33" t="n"/>
      <c r="H21" s="30" t="n"/>
      <c r="I21" s="34" t="n"/>
      <c r="J21" s="30" t="n"/>
      <c r="K21" s="30" t="n"/>
      <c r="L21" s="30" t="n"/>
      <c r="M21" s="35" t="n"/>
      <c r="N21" s="30" t="n"/>
      <c r="O21" s="32" t="n"/>
      <c r="P21" s="33" t="n"/>
      <c r="Q21" s="36" t="n"/>
      <c r="R21" s="30" t="n"/>
      <c r="S21" s="37" t="n"/>
      <c r="T21" s="38" t="n"/>
      <c r="U21" s="30" t="n"/>
      <c r="V21" s="30" t="n"/>
      <c r="W21" s="33" t="n"/>
      <c r="X21" s="30" t="n"/>
      <c r="Y21" s="33" t="n"/>
      <c r="Z21" s="39">
        <f>IF(OR($A21="",$G21="",$W21=""),"",$W21-$G21)</f>
        <v/>
      </c>
      <c r="AA21" s="39">
        <f>IF(OR($A21="",$G21=""),"",Aujourdhui-$G21)</f>
        <v/>
      </c>
      <c r="AB21" s="30" t="n"/>
      <c r="AC21" s="32" t="n"/>
      <c r="AD21" s="40">
        <f>IF($A21="","",IF($W21&lt;&gt;"",EDATE($W21,12*DureeConservation),IF($G21="","",EDATE($G21,12*DureeConservation))))</f>
        <v/>
      </c>
      <c r="AE21" s="41" t="n"/>
    </row>
    <row r="22">
      <c r="A22" s="30" t="n"/>
      <c r="B22" s="30" t="n"/>
      <c r="C22" s="30" t="n"/>
      <c r="D22" s="30" t="n"/>
      <c r="E22" s="31">
        <f>IF($A22="","",IF(IFERROR(INDEX(StatutClos,MATCH($D22,StatutListe,0)),"N")="O","Clôturé",IF(AND($Y22&lt;&gt;"",$Y22&lt;Aujourdhui),"Retard",IF($Y22=Aujourdhui,"Aujourd'hui",IF(AND($W22="",$G22&lt;&gt;"",Aujourdhui-$G22&gt;SeuilAccuse),"À traiter","OK")))))</f>
        <v/>
      </c>
      <c r="F22" s="32" t="n"/>
      <c r="G22" s="33" t="n"/>
      <c r="H22" s="30" t="n"/>
      <c r="I22" s="34" t="n"/>
      <c r="J22" s="30" t="n"/>
      <c r="K22" s="30" t="n"/>
      <c r="L22" s="30" t="n"/>
      <c r="M22" s="35" t="n"/>
      <c r="N22" s="30" t="n"/>
      <c r="O22" s="32" t="n"/>
      <c r="P22" s="33" t="n"/>
      <c r="Q22" s="36" t="n"/>
      <c r="R22" s="30" t="n"/>
      <c r="S22" s="37" t="n"/>
      <c r="T22" s="38" t="n"/>
      <c r="U22" s="30" t="n"/>
      <c r="V22" s="30" t="n"/>
      <c r="W22" s="33" t="n"/>
      <c r="X22" s="30" t="n"/>
      <c r="Y22" s="33" t="n"/>
      <c r="Z22" s="39">
        <f>IF(OR($A22="",$G22="",$W22=""),"",$W22-$G22)</f>
        <v/>
      </c>
      <c r="AA22" s="39">
        <f>IF(OR($A22="",$G22=""),"",Aujourdhui-$G22)</f>
        <v/>
      </c>
      <c r="AB22" s="30" t="n"/>
      <c r="AC22" s="32" t="n"/>
      <c r="AD22" s="40">
        <f>IF($A22="","",IF($W22&lt;&gt;"",EDATE($W22,12*DureeConservation),IF($G22="","",EDATE($G22,12*DureeConservation))))</f>
        <v/>
      </c>
      <c r="AE22" s="41" t="n"/>
    </row>
    <row r="23">
      <c r="A23" s="30" t="n"/>
      <c r="B23" s="30" t="n"/>
      <c r="C23" s="30" t="n"/>
      <c r="D23" s="30" t="n"/>
      <c r="E23" s="31">
        <f>IF($A23="","",IF(IFERROR(INDEX(StatutClos,MATCH($D23,StatutListe,0)),"N")="O","Clôturé",IF(AND($Y23&lt;&gt;"",$Y23&lt;Aujourdhui),"Retard",IF($Y23=Aujourdhui,"Aujourd'hui",IF(AND($W23="",$G23&lt;&gt;"",Aujourdhui-$G23&gt;SeuilAccuse),"À traiter","OK")))))</f>
        <v/>
      </c>
      <c r="F23" s="32" t="n"/>
      <c r="G23" s="33" t="n"/>
      <c r="H23" s="30" t="n"/>
      <c r="I23" s="34" t="n"/>
      <c r="J23" s="30" t="n"/>
      <c r="K23" s="30" t="n"/>
      <c r="L23" s="30" t="n"/>
      <c r="M23" s="35" t="n"/>
      <c r="N23" s="30" t="n"/>
      <c r="O23" s="32" t="n"/>
      <c r="P23" s="33" t="n"/>
      <c r="Q23" s="36" t="n"/>
      <c r="R23" s="30" t="n"/>
      <c r="S23" s="37" t="n"/>
      <c r="T23" s="38" t="n"/>
      <c r="U23" s="30" t="n"/>
      <c r="V23" s="30" t="n"/>
      <c r="W23" s="33" t="n"/>
      <c r="X23" s="30" t="n"/>
      <c r="Y23" s="33" t="n"/>
      <c r="Z23" s="39">
        <f>IF(OR($A23="",$G23="",$W23=""),"",$W23-$G23)</f>
        <v/>
      </c>
      <c r="AA23" s="39">
        <f>IF(OR($A23="",$G23=""),"",Aujourdhui-$G23)</f>
        <v/>
      </c>
      <c r="AB23" s="30" t="n"/>
      <c r="AC23" s="32" t="n"/>
      <c r="AD23" s="40">
        <f>IF($A23="","",IF($W23&lt;&gt;"",EDATE($W23,12*DureeConservation),IF($G23="","",EDATE($G23,12*DureeConservation))))</f>
        <v/>
      </c>
      <c r="AE23" s="41" t="n"/>
    </row>
    <row r="24">
      <c r="A24" s="30" t="n"/>
      <c r="B24" s="30" t="n"/>
      <c r="C24" s="30" t="n"/>
      <c r="D24" s="30" t="n"/>
      <c r="E24" s="31">
        <f>IF($A24="","",IF(IFERROR(INDEX(StatutClos,MATCH($D24,StatutListe,0)),"N")="O","Clôturé",IF(AND($Y24&lt;&gt;"",$Y24&lt;Aujourdhui),"Retard",IF($Y24=Aujourdhui,"Aujourd'hui",IF(AND($W24="",$G24&lt;&gt;"",Aujourdhui-$G24&gt;SeuilAccuse),"À traiter","OK")))))</f>
        <v/>
      </c>
      <c r="F24" s="32" t="n"/>
      <c r="G24" s="33" t="n"/>
      <c r="H24" s="30" t="n"/>
      <c r="I24" s="34" t="n"/>
      <c r="J24" s="30" t="n"/>
      <c r="K24" s="30" t="n"/>
      <c r="L24" s="30" t="n"/>
      <c r="M24" s="35" t="n"/>
      <c r="N24" s="30" t="n"/>
      <c r="O24" s="32" t="n"/>
      <c r="P24" s="33" t="n"/>
      <c r="Q24" s="36" t="n"/>
      <c r="R24" s="30" t="n"/>
      <c r="S24" s="37" t="n"/>
      <c r="T24" s="38" t="n"/>
      <c r="U24" s="30" t="n"/>
      <c r="V24" s="30" t="n"/>
      <c r="W24" s="33" t="n"/>
      <c r="X24" s="30" t="n"/>
      <c r="Y24" s="33" t="n"/>
      <c r="Z24" s="39">
        <f>IF(OR($A24="",$G24="",$W24=""),"",$W24-$G24)</f>
        <v/>
      </c>
      <c r="AA24" s="39">
        <f>IF(OR($A24="",$G24=""),"",Aujourdhui-$G24)</f>
        <v/>
      </c>
      <c r="AB24" s="30" t="n"/>
      <c r="AC24" s="32" t="n"/>
      <c r="AD24" s="40">
        <f>IF($A24="","",IF($W24&lt;&gt;"",EDATE($W24,12*DureeConservation),IF($G24="","",EDATE($G24,12*DureeConservation))))</f>
        <v/>
      </c>
      <c r="AE24" s="41" t="n"/>
    </row>
    <row r="25">
      <c r="A25" s="30" t="n"/>
      <c r="B25" s="30" t="n"/>
      <c r="C25" s="30" t="n"/>
      <c r="D25" s="30" t="n"/>
      <c r="E25" s="31">
        <f>IF($A25="","",IF(IFERROR(INDEX(StatutClos,MATCH($D25,StatutListe,0)),"N")="O","Clôturé",IF(AND($Y25&lt;&gt;"",$Y25&lt;Aujourdhui),"Retard",IF($Y25=Aujourdhui,"Aujourd'hui",IF(AND($W25="",$G25&lt;&gt;"",Aujourdhui-$G25&gt;SeuilAccuse),"À traiter","OK")))))</f>
        <v/>
      </c>
      <c r="F25" s="32" t="n"/>
      <c r="G25" s="33" t="n"/>
      <c r="H25" s="30" t="n"/>
      <c r="I25" s="34" t="n"/>
      <c r="J25" s="30" t="n"/>
      <c r="K25" s="30" t="n"/>
      <c r="L25" s="30" t="n"/>
      <c r="M25" s="35" t="n"/>
      <c r="N25" s="30" t="n"/>
      <c r="O25" s="32" t="n"/>
      <c r="P25" s="33" t="n"/>
      <c r="Q25" s="36" t="n"/>
      <c r="R25" s="30" t="n"/>
      <c r="S25" s="37" t="n"/>
      <c r="T25" s="38" t="n"/>
      <c r="U25" s="30" t="n"/>
      <c r="V25" s="30" t="n"/>
      <c r="W25" s="33" t="n"/>
      <c r="X25" s="30" t="n"/>
      <c r="Y25" s="33" t="n"/>
      <c r="Z25" s="39">
        <f>IF(OR($A25="",$G25="",$W25=""),"",$W25-$G25)</f>
        <v/>
      </c>
      <c r="AA25" s="39">
        <f>IF(OR($A25="",$G25=""),"",Aujourdhui-$G25)</f>
        <v/>
      </c>
      <c r="AB25" s="30" t="n"/>
      <c r="AC25" s="32" t="n"/>
      <c r="AD25" s="40">
        <f>IF($A25="","",IF($W25&lt;&gt;"",EDATE($W25,12*DureeConservation),IF($G25="","",EDATE($G25,12*DureeConservation))))</f>
        <v/>
      </c>
      <c r="AE25" s="41" t="n"/>
    </row>
    <row r="26">
      <c r="A26" s="30" t="n"/>
      <c r="B26" s="30" t="n"/>
      <c r="C26" s="30" t="n"/>
      <c r="D26" s="30" t="n"/>
      <c r="E26" s="31">
        <f>IF($A26="","",IF(IFERROR(INDEX(StatutClos,MATCH($D26,StatutListe,0)),"N")="O","Clôturé",IF(AND($Y26&lt;&gt;"",$Y26&lt;Aujourdhui),"Retard",IF($Y26=Aujourdhui,"Aujourd'hui",IF(AND($W26="",$G26&lt;&gt;"",Aujourdhui-$G26&gt;SeuilAccuse),"À traiter","OK")))))</f>
        <v/>
      </c>
      <c r="F26" s="32" t="n"/>
      <c r="G26" s="33" t="n"/>
      <c r="H26" s="30" t="n"/>
      <c r="I26" s="34" t="n"/>
      <c r="J26" s="30" t="n"/>
      <c r="K26" s="30" t="n"/>
      <c r="L26" s="30" t="n"/>
      <c r="M26" s="35" t="n"/>
      <c r="N26" s="30" t="n"/>
      <c r="O26" s="32" t="n"/>
      <c r="P26" s="33" t="n"/>
      <c r="Q26" s="36" t="n"/>
      <c r="R26" s="30" t="n"/>
      <c r="S26" s="37" t="n"/>
      <c r="T26" s="38" t="n"/>
      <c r="U26" s="30" t="n"/>
      <c r="V26" s="30" t="n"/>
      <c r="W26" s="33" t="n"/>
      <c r="X26" s="30" t="n"/>
      <c r="Y26" s="33" t="n"/>
      <c r="Z26" s="39">
        <f>IF(OR($A26="",$G26="",$W26=""),"",$W26-$G26)</f>
        <v/>
      </c>
      <c r="AA26" s="39">
        <f>IF(OR($A26="",$G26=""),"",Aujourdhui-$G26)</f>
        <v/>
      </c>
      <c r="AB26" s="30" t="n"/>
      <c r="AC26" s="32" t="n"/>
      <c r="AD26" s="40">
        <f>IF($A26="","",IF($W26&lt;&gt;"",EDATE($W26,12*DureeConservation),IF($G26="","",EDATE($G26,12*DureeConservation))))</f>
        <v/>
      </c>
      <c r="AE26" s="41" t="n"/>
    </row>
    <row r="27">
      <c r="A27" s="30" t="n"/>
      <c r="B27" s="30" t="n"/>
      <c r="C27" s="30" t="n"/>
      <c r="D27" s="30" t="n"/>
      <c r="E27" s="31">
        <f>IF($A27="","",IF(IFERROR(INDEX(StatutClos,MATCH($D27,StatutListe,0)),"N")="O","Clôturé",IF(AND($Y27&lt;&gt;"",$Y27&lt;Aujourdhui),"Retard",IF($Y27=Aujourdhui,"Aujourd'hui",IF(AND($W27="",$G27&lt;&gt;"",Aujourdhui-$G27&gt;SeuilAccuse),"À traiter","OK")))))</f>
        <v/>
      </c>
      <c r="F27" s="32" t="n"/>
      <c r="G27" s="33" t="n"/>
      <c r="H27" s="30" t="n"/>
      <c r="I27" s="34" t="n"/>
      <c r="J27" s="30" t="n"/>
      <c r="K27" s="30" t="n"/>
      <c r="L27" s="30" t="n"/>
      <c r="M27" s="35" t="n"/>
      <c r="N27" s="30" t="n"/>
      <c r="O27" s="32" t="n"/>
      <c r="P27" s="33" t="n"/>
      <c r="Q27" s="36" t="n"/>
      <c r="R27" s="30" t="n"/>
      <c r="S27" s="37" t="n"/>
      <c r="T27" s="38" t="n"/>
      <c r="U27" s="30" t="n"/>
      <c r="V27" s="30" t="n"/>
      <c r="W27" s="33" t="n"/>
      <c r="X27" s="30" t="n"/>
      <c r="Y27" s="33" t="n"/>
      <c r="Z27" s="39">
        <f>IF(OR($A27="",$G27="",$W27=""),"",$W27-$G27)</f>
        <v/>
      </c>
      <c r="AA27" s="39">
        <f>IF(OR($A27="",$G27=""),"",Aujourdhui-$G27)</f>
        <v/>
      </c>
      <c r="AB27" s="30" t="n"/>
      <c r="AC27" s="32" t="n"/>
      <c r="AD27" s="40">
        <f>IF($A27="","",IF($W27&lt;&gt;"",EDATE($W27,12*DureeConservation),IF($G27="","",EDATE($G27,12*DureeConservation))))</f>
        <v/>
      </c>
      <c r="AE27" s="41" t="n"/>
    </row>
    <row r="28">
      <c r="A28" s="30" t="n"/>
      <c r="B28" s="30" t="n"/>
      <c r="C28" s="30" t="n"/>
      <c r="D28" s="30" t="n"/>
      <c r="E28" s="31">
        <f>IF($A28="","",IF(IFERROR(INDEX(StatutClos,MATCH($D28,StatutListe,0)),"N")="O","Clôturé",IF(AND($Y28&lt;&gt;"",$Y28&lt;Aujourdhui),"Retard",IF($Y28=Aujourdhui,"Aujourd'hui",IF(AND($W28="",$G28&lt;&gt;"",Aujourdhui-$G28&gt;SeuilAccuse),"À traiter","OK")))))</f>
        <v/>
      </c>
      <c r="F28" s="32" t="n"/>
      <c r="G28" s="33" t="n"/>
      <c r="H28" s="30" t="n"/>
      <c r="I28" s="34" t="n"/>
      <c r="J28" s="30" t="n"/>
      <c r="K28" s="30" t="n"/>
      <c r="L28" s="30" t="n"/>
      <c r="M28" s="35" t="n"/>
      <c r="N28" s="30" t="n"/>
      <c r="O28" s="32" t="n"/>
      <c r="P28" s="33" t="n"/>
      <c r="Q28" s="36" t="n"/>
      <c r="R28" s="30" t="n"/>
      <c r="S28" s="37" t="n"/>
      <c r="T28" s="38" t="n"/>
      <c r="U28" s="30" t="n"/>
      <c r="V28" s="30" t="n"/>
      <c r="W28" s="33" t="n"/>
      <c r="X28" s="30" t="n"/>
      <c r="Y28" s="33" t="n"/>
      <c r="Z28" s="39">
        <f>IF(OR($A28="",$G28="",$W28=""),"",$W28-$G28)</f>
        <v/>
      </c>
      <c r="AA28" s="39">
        <f>IF(OR($A28="",$G28=""),"",Aujourdhui-$G28)</f>
        <v/>
      </c>
      <c r="AB28" s="30" t="n"/>
      <c r="AC28" s="32" t="n"/>
      <c r="AD28" s="40">
        <f>IF($A28="","",IF($W28&lt;&gt;"",EDATE($W28,12*DureeConservation),IF($G28="","",EDATE($G28,12*DureeConservation))))</f>
        <v/>
      </c>
      <c r="AE28" s="41" t="n"/>
    </row>
    <row r="29">
      <c r="A29" s="30" t="n"/>
      <c r="B29" s="30" t="n"/>
      <c r="C29" s="30" t="n"/>
      <c r="D29" s="30" t="n"/>
      <c r="E29" s="31">
        <f>IF($A29="","",IF(IFERROR(INDEX(StatutClos,MATCH($D29,StatutListe,0)),"N")="O","Clôturé",IF(AND($Y29&lt;&gt;"",$Y29&lt;Aujourdhui),"Retard",IF($Y29=Aujourdhui,"Aujourd'hui",IF(AND($W29="",$G29&lt;&gt;"",Aujourdhui-$G29&gt;SeuilAccuse),"À traiter","OK")))))</f>
        <v/>
      </c>
      <c r="F29" s="32" t="n"/>
      <c r="G29" s="33" t="n"/>
      <c r="H29" s="30" t="n"/>
      <c r="I29" s="34" t="n"/>
      <c r="J29" s="30" t="n"/>
      <c r="K29" s="30" t="n"/>
      <c r="L29" s="30" t="n"/>
      <c r="M29" s="35" t="n"/>
      <c r="N29" s="30" t="n"/>
      <c r="O29" s="32" t="n"/>
      <c r="P29" s="33" t="n"/>
      <c r="Q29" s="36" t="n"/>
      <c r="R29" s="30" t="n"/>
      <c r="S29" s="37" t="n"/>
      <c r="T29" s="38" t="n"/>
      <c r="U29" s="30" t="n"/>
      <c r="V29" s="30" t="n"/>
      <c r="W29" s="33" t="n"/>
      <c r="X29" s="30" t="n"/>
      <c r="Y29" s="33" t="n"/>
      <c r="Z29" s="39">
        <f>IF(OR($A29="",$G29="",$W29=""),"",$W29-$G29)</f>
        <v/>
      </c>
      <c r="AA29" s="39">
        <f>IF(OR($A29="",$G29=""),"",Aujourdhui-$G29)</f>
        <v/>
      </c>
      <c r="AB29" s="30" t="n"/>
      <c r="AC29" s="32" t="n"/>
      <c r="AD29" s="40">
        <f>IF($A29="","",IF($W29&lt;&gt;"",EDATE($W29,12*DureeConservation),IF($G29="","",EDATE($G29,12*DureeConservation))))</f>
        <v/>
      </c>
      <c r="AE29" s="41" t="n"/>
    </row>
    <row r="30">
      <c r="A30" s="30" t="n"/>
      <c r="B30" s="30" t="n"/>
      <c r="C30" s="30" t="n"/>
      <c r="D30" s="30" t="n"/>
      <c r="E30" s="31">
        <f>IF($A30="","",IF(IFERROR(INDEX(StatutClos,MATCH($D30,StatutListe,0)),"N")="O","Clôturé",IF(AND($Y30&lt;&gt;"",$Y30&lt;Aujourdhui),"Retard",IF($Y30=Aujourdhui,"Aujourd'hui",IF(AND($W30="",$G30&lt;&gt;"",Aujourdhui-$G30&gt;SeuilAccuse),"À traiter","OK")))))</f>
        <v/>
      </c>
      <c r="F30" s="32" t="n"/>
      <c r="G30" s="33" t="n"/>
      <c r="H30" s="30" t="n"/>
      <c r="I30" s="34" t="n"/>
      <c r="J30" s="30" t="n"/>
      <c r="K30" s="30" t="n"/>
      <c r="L30" s="30" t="n"/>
      <c r="M30" s="35" t="n"/>
      <c r="N30" s="30" t="n"/>
      <c r="O30" s="32" t="n"/>
      <c r="P30" s="33" t="n"/>
      <c r="Q30" s="36" t="n"/>
      <c r="R30" s="30" t="n"/>
      <c r="S30" s="37" t="n"/>
      <c r="T30" s="38" t="n"/>
      <c r="U30" s="30" t="n"/>
      <c r="V30" s="30" t="n"/>
      <c r="W30" s="33" t="n"/>
      <c r="X30" s="30" t="n"/>
      <c r="Y30" s="33" t="n"/>
      <c r="Z30" s="39">
        <f>IF(OR($A30="",$G30="",$W30=""),"",$W30-$G30)</f>
        <v/>
      </c>
      <c r="AA30" s="39">
        <f>IF(OR($A30="",$G30=""),"",Aujourdhui-$G30)</f>
        <v/>
      </c>
      <c r="AB30" s="30" t="n"/>
      <c r="AC30" s="32" t="n"/>
      <c r="AD30" s="40">
        <f>IF($A30="","",IF($W30&lt;&gt;"",EDATE($W30,12*DureeConservation),IF($G30="","",EDATE($G30,12*DureeConservation))))</f>
        <v/>
      </c>
      <c r="AE30" s="41" t="n"/>
    </row>
    <row r="31">
      <c r="A31" s="30" t="n"/>
      <c r="B31" s="30" t="n"/>
      <c r="C31" s="30" t="n"/>
      <c r="D31" s="30" t="n"/>
      <c r="E31" s="31">
        <f>IF($A31="","",IF(IFERROR(INDEX(StatutClos,MATCH($D31,StatutListe,0)),"N")="O","Clôturé",IF(AND($Y31&lt;&gt;"",$Y31&lt;Aujourdhui),"Retard",IF($Y31=Aujourdhui,"Aujourd'hui",IF(AND($W31="",$G31&lt;&gt;"",Aujourdhui-$G31&gt;SeuilAccuse),"À traiter","OK")))))</f>
        <v/>
      </c>
      <c r="F31" s="32" t="n"/>
      <c r="G31" s="33" t="n"/>
      <c r="H31" s="30" t="n"/>
      <c r="I31" s="34" t="n"/>
      <c r="J31" s="30" t="n"/>
      <c r="K31" s="30" t="n"/>
      <c r="L31" s="30" t="n"/>
      <c r="M31" s="35" t="n"/>
      <c r="N31" s="30" t="n"/>
      <c r="O31" s="32" t="n"/>
      <c r="P31" s="33" t="n"/>
      <c r="Q31" s="36" t="n"/>
      <c r="R31" s="30" t="n"/>
      <c r="S31" s="37" t="n"/>
      <c r="T31" s="38" t="n"/>
      <c r="U31" s="30" t="n"/>
      <c r="V31" s="30" t="n"/>
      <c r="W31" s="33" t="n"/>
      <c r="X31" s="30" t="n"/>
      <c r="Y31" s="33" t="n"/>
      <c r="Z31" s="39">
        <f>IF(OR($A31="",$G31="",$W31=""),"",$W31-$G31)</f>
        <v/>
      </c>
      <c r="AA31" s="39">
        <f>IF(OR($A31="",$G31=""),"",Aujourdhui-$G31)</f>
        <v/>
      </c>
      <c r="AB31" s="30" t="n"/>
      <c r="AC31" s="32" t="n"/>
      <c r="AD31" s="40">
        <f>IF($A31="","",IF($W31&lt;&gt;"",EDATE($W31,12*DureeConservation),IF($G31="","",EDATE($G31,12*DureeConservation))))</f>
        <v/>
      </c>
      <c r="AE31" s="41" t="n"/>
    </row>
    <row r="32">
      <c r="A32" s="30" t="n"/>
      <c r="B32" s="30" t="n"/>
      <c r="C32" s="30" t="n"/>
      <c r="D32" s="30" t="n"/>
      <c r="E32" s="31">
        <f>IF($A32="","",IF(IFERROR(INDEX(StatutClos,MATCH($D32,StatutListe,0)),"N")="O","Clôturé",IF(AND($Y32&lt;&gt;"",$Y32&lt;Aujourdhui),"Retard",IF($Y32=Aujourdhui,"Aujourd'hui",IF(AND($W32="",$G32&lt;&gt;"",Aujourdhui-$G32&gt;SeuilAccuse),"À traiter","OK")))))</f>
        <v/>
      </c>
      <c r="F32" s="32" t="n"/>
      <c r="G32" s="33" t="n"/>
      <c r="H32" s="30" t="n"/>
      <c r="I32" s="34" t="n"/>
      <c r="J32" s="30" t="n"/>
      <c r="K32" s="30" t="n"/>
      <c r="L32" s="30" t="n"/>
      <c r="M32" s="35" t="n"/>
      <c r="N32" s="30" t="n"/>
      <c r="O32" s="32" t="n"/>
      <c r="P32" s="33" t="n"/>
      <c r="Q32" s="36" t="n"/>
      <c r="R32" s="30" t="n"/>
      <c r="S32" s="37" t="n"/>
      <c r="T32" s="38" t="n"/>
      <c r="U32" s="30" t="n"/>
      <c r="V32" s="30" t="n"/>
      <c r="W32" s="33" t="n"/>
      <c r="X32" s="30" t="n"/>
      <c r="Y32" s="33" t="n"/>
      <c r="Z32" s="39">
        <f>IF(OR($A32="",$G32="",$W32=""),"",$W32-$G32)</f>
        <v/>
      </c>
      <c r="AA32" s="39">
        <f>IF(OR($A32="",$G32=""),"",Aujourdhui-$G32)</f>
        <v/>
      </c>
      <c r="AB32" s="30" t="n"/>
      <c r="AC32" s="32" t="n"/>
      <c r="AD32" s="40">
        <f>IF($A32="","",IF($W32&lt;&gt;"",EDATE($W32,12*DureeConservation),IF($G32="","",EDATE($G32,12*DureeConservation))))</f>
        <v/>
      </c>
      <c r="AE32" s="41" t="n"/>
    </row>
    <row r="33">
      <c r="A33" s="30" t="n"/>
      <c r="B33" s="30" t="n"/>
      <c r="C33" s="30" t="n"/>
      <c r="D33" s="30" t="n"/>
      <c r="E33" s="31">
        <f>IF($A33="","",IF(IFERROR(INDEX(StatutClos,MATCH($D33,StatutListe,0)),"N")="O","Clôturé",IF(AND($Y33&lt;&gt;"",$Y33&lt;Aujourdhui),"Retard",IF($Y33=Aujourdhui,"Aujourd'hui",IF(AND($W33="",$G33&lt;&gt;"",Aujourdhui-$G33&gt;SeuilAccuse),"À traiter","OK")))))</f>
        <v/>
      </c>
      <c r="F33" s="32" t="n"/>
      <c r="G33" s="33" t="n"/>
      <c r="H33" s="30" t="n"/>
      <c r="I33" s="34" t="n"/>
      <c r="J33" s="30" t="n"/>
      <c r="K33" s="30" t="n"/>
      <c r="L33" s="30" t="n"/>
      <c r="M33" s="35" t="n"/>
      <c r="N33" s="30" t="n"/>
      <c r="O33" s="32" t="n"/>
      <c r="P33" s="33" t="n"/>
      <c r="Q33" s="36" t="n"/>
      <c r="R33" s="30" t="n"/>
      <c r="S33" s="37" t="n"/>
      <c r="T33" s="38" t="n"/>
      <c r="U33" s="30" t="n"/>
      <c r="V33" s="30" t="n"/>
      <c r="W33" s="33" t="n"/>
      <c r="X33" s="30" t="n"/>
      <c r="Y33" s="33" t="n"/>
      <c r="Z33" s="39">
        <f>IF(OR($A33="",$G33="",$W33=""),"",$W33-$G33)</f>
        <v/>
      </c>
      <c r="AA33" s="39">
        <f>IF(OR($A33="",$G33=""),"",Aujourdhui-$G33)</f>
        <v/>
      </c>
      <c r="AB33" s="30" t="n"/>
      <c r="AC33" s="32" t="n"/>
      <c r="AD33" s="40">
        <f>IF($A33="","",IF($W33&lt;&gt;"",EDATE($W33,12*DureeConservation),IF($G33="","",EDATE($G33,12*DureeConservation))))</f>
        <v/>
      </c>
      <c r="AE33" s="41" t="n"/>
    </row>
    <row r="34">
      <c r="A34" s="30" t="n"/>
      <c r="B34" s="30" t="n"/>
      <c r="C34" s="30" t="n"/>
      <c r="D34" s="30" t="n"/>
      <c r="E34" s="31">
        <f>IF($A34="","",IF(IFERROR(INDEX(StatutClos,MATCH($D34,StatutListe,0)),"N")="O","Clôturé",IF(AND($Y34&lt;&gt;"",$Y34&lt;Aujourdhui),"Retard",IF($Y34=Aujourdhui,"Aujourd'hui",IF(AND($W34="",$G34&lt;&gt;"",Aujourdhui-$G34&gt;SeuilAccuse),"À traiter","OK")))))</f>
        <v/>
      </c>
      <c r="F34" s="32" t="n"/>
      <c r="G34" s="33" t="n"/>
      <c r="H34" s="30" t="n"/>
      <c r="I34" s="34" t="n"/>
      <c r="J34" s="30" t="n"/>
      <c r="K34" s="30" t="n"/>
      <c r="L34" s="30" t="n"/>
      <c r="M34" s="35" t="n"/>
      <c r="N34" s="30" t="n"/>
      <c r="O34" s="32" t="n"/>
      <c r="P34" s="33" t="n"/>
      <c r="Q34" s="36" t="n"/>
      <c r="R34" s="30" t="n"/>
      <c r="S34" s="37" t="n"/>
      <c r="T34" s="38" t="n"/>
      <c r="U34" s="30" t="n"/>
      <c r="V34" s="30" t="n"/>
      <c r="W34" s="33" t="n"/>
      <c r="X34" s="30" t="n"/>
      <c r="Y34" s="33" t="n"/>
      <c r="Z34" s="39">
        <f>IF(OR($A34="",$G34="",$W34=""),"",$W34-$G34)</f>
        <v/>
      </c>
      <c r="AA34" s="39">
        <f>IF(OR($A34="",$G34=""),"",Aujourdhui-$G34)</f>
        <v/>
      </c>
      <c r="AB34" s="30" t="n"/>
      <c r="AC34" s="32" t="n"/>
      <c r="AD34" s="40">
        <f>IF($A34="","",IF($W34&lt;&gt;"",EDATE($W34,12*DureeConservation),IF($G34="","",EDATE($G34,12*DureeConservation))))</f>
        <v/>
      </c>
      <c r="AE34" s="41" t="n"/>
    </row>
  </sheetData>
  <mergeCells count="8">
    <mergeCell ref="Z3:AA3"/>
    <mergeCell ref="F3:J3"/>
    <mergeCell ref="A2:AE2"/>
    <mergeCell ref="AB3:AE3"/>
    <mergeCell ref="K3:Q3"/>
    <mergeCell ref="A1:AE1"/>
    <mergeCell ref="R3:Y3"/>
    <mergeCell ref="A3:E3"/>
  </mergeCells>
  <conditionalFormatting sqref="D5:D1004">
    <cfRule type="expression" priority="1" dxfId="0" stopIfTrue="0">
      <formula>=$D5=INDEX(StatutListe,1)</formula>
    </cfRule>
    <cfRule type="expression" priority="2" dxfId="1" stopIfTrue="0">
      <formula>=$D5=INDEX(StatutListe,2)</formula>
    </cfRule>
    <cfRule type="expression" priority="3" dxfId="2" stopIfTrue="0">
      <formula>=$D5=INDEX(StatutListe,3)</formula>
    </cfRule>
    <cfRule type="expression" priority="4" dxfId="3" stopIfTrue="0">
      <formula>=$D5=INDEX(StatutListe,4)</formula>
    </cfRule>
    <cfRule type="expression" priority="5" dxfId="4" stopIfTrue="0">
      <formula>=$D5=INDEX(StatutListe,5)</formula>
    </cfRule>
    <cfRule type="expression" priority="6" dxfId="5" stopIfTrue="0">
      <formula>=$D5=INDEX(StatutListe,6)</formula>
    </cfRule>
    <cfRule type="expression" priority="7" dxfId="6" stopIfTrue="0">
      <formula>=$D5=INDEX(StatutListe,7)</formula>
    </cfRule>
    <cfRule type="expression" priority="8" dxfId="7" stopIfTrue="0">
      <formula>=$D5=INDEX(StatutListe,8)</formula>
    </cfRule>
    <cfRule type="expression" priority="9" dxfId="8" stopIfTrue="0">
      <formula>=$D5=INDEX(StatutListe,9)</formula>
    </cfRule>
    <cfRule type="expression" priority="10" dxfId="8" stopIfTrue="0">
      <formula>=$D5=INDEX(StatutListe,10)</formula>
    </cfRule>
  </conditionalFormatting>
  <conditionalFormatting sqref="E5:E1004">
    <cfRule type="expression" priority="11" dxfId="9" stopIfTrue="0">
      <formula>=$E5="Retard"</formula>
    </cfRule>
    <cfRule type="expression" priority="12" dxfId="10" stopIfTrue="0">
      <formula>=$E5="Aujourd'hui"</formula>
    </cfRule>
    <cfRule type="expression" priority="13" dxfId="2" stopIfTrue="0">
      <formula>=$E5="À traiter"</formula>
    </cfRule>
    <cfRule type="expression" priority="14" dxfId="11" stopIfTrue="0">
      <formula>=$E5="OK"</formula>
    </cfRule>
    <cfRule type="expression" priority="15" dxfId="12" stopIfTrue="0">
      <formula>=$E5="Clôturé"</formula>
    </cfRule>
  </conditionalFormatting>
  <conditionalFormatting sqref="A5:AE1004">
    <cfRule type="expression" priority="16" dxfId="13" stopIfTrue="0">
      <formula>=$E5="Clôturé"</formula>
    </cfRule>
  </conditionalFormatting>
  <conditionalFormatting sqref="AD5:AD1004">
    <cfRule type="expression" priority="17" dxfId="9" stopIfTrue="0">
      <formula>=AND($AD5&lt;&gt;"",$AD5&lt;=Aujourdhui)</formula>
    </cfRule>
  </conditionalFormatting>
  <conditionalFormatting sqref="AA5:AA1004">
    <cfRule type="colorScale" priority="18">
      <colorScale>
        <cfvo type="num" val="0"/>
        <cfvo type="num" val="30"/>
        <cfvo type="num" val="90"/>
        <color rgb="00E9F7EF"/>
        <color rgb="00FCF3CF"/>
        <color rgb="00F5B7B1"/>
      </colorScale>
    </cfRule>
  </conditionalFormatting>
  <conditionalFormatting sqref="S5:S1004">
    <cfRule type="colorScale" priority="19">
      <colorScale>
        <cfvo type="num" val="1"/>
        <cfvo type="num" val="3"/>
        <cfvo type="num" val="5"/>
        <color rgb="00F5B7B1"/>
        <color rgb="00FCF3CF"/>
        <color rgb="00ABEBC6"/>
      </colorScale>
    </cfRule>
  </conditionalFormatting>
  <dataValidations count="12">
    <dataValidation sqref="D5:D1004" showDropDown="0" showInputMessage="0" showErrorMessage="1" allowBlank="1" errorTitle="Valeur hors liste" error="Le statut pilote les indicateurs et les automatisations : choisissez-en un dans la liste." promptTitle="" type="list" errorStyle="stop">
      <formula1>StatutListe</formula1>
    </dataValidation>
    <dataValidation sqref="F5:F1004" showDropDown="0" showInputMessage="0" showErrorMessage="1" allowBlank="1" errorTitle="Valeur hors liste" error="Choisissez une valeur dans la liste déroulante.&#10;Pour ajouter une valeur, complétez la liste dans l'onglet Paramètres." promptTitle="" type="list" errorStyle="warning">
      <formula1>Civilites</formula1>
    </dataValidation>
    <dataValidation sqref="K5:K1004" showDropDown="0" showInputMessage="0" showErrorMessage="1" allowBlank="1" errorTitle="Valeur hors liste" error="Choisissez une valeur dans la liste déroulante.&#10;Pour ajouter une valeur, complétez la liste dans l'onglet Paramètres." promptTitle="" type="list" errorStyle="warning">
      <formula1>Postes</formula1>
    </dataValidation>
    <dataValidation sqref="L5:L1004" showDropDown="0" showInputMessage="0" showErrorMessage="1" allowBlank="1" errorTitle="Valeur hors liste" error="Choisissez une valeur dans la liste déroulante.&#10;Pour ajouter une valeur, complétez la liste dans l'onglet Paramètres." promptTitle="" type="list" errorStyle="warning">
      <formula1>Sources</formula1>
    </dataValidation>
    <dataValidation sqref="O5:O1004" showDropDown="0" showInputMessage="0" showErrorMessage="1" allowBlank="1" errorTitle="Valeur hors liste" error="Choisissez une valeur dans la liste déroulante.&#10;Pour ajouter une valeur, complétez la liste dans l'onglet Paramètres." promptTitle="" type="list" errorStyle="warning">
      <formula1>Capa</formula1>
    </dataValidation>
    <dataValidation sqref="R5:R1004" showDropDown="0" showInputMessage="0" showErrorMessage="1" allowBlank="1" errorTitle="Valeur hors liste" error="Choisissez une valeur dans la liste déroulante.&#10;Pour ajouter une valeur, complétez la liste dans l'onglet Paramètres." promptTitle="" type="list" errorStyle="warning">
      <formula1>Responsables</formula1>
    </dataValidation>
    <dataValidation sqref="S5:S1004" showDropDown="0" showInputMessage="0" showErrorMessage="1" allowBlank="1" errorTitle="Valeur hors liste" error="Choisissez une valeur dans la liste déroulante.&#10;Pour ajouter une valeur, complétez la liste dans l'onglet Paramètres." promptTitle="" type="list" errorStyle="warning">
      <formula1>Evaluations</formula1>
    </dataValidation>
    <dataValidation sqref="U5:U1004" showDropDown="0" showInputMessage="0" showErrorMessage="1" allowBlank="1" errorTitle="Valeur hors liste" error="Choisissez une valeur dans la liste déroulante.&#10;Pour ajouter une valeur, complétez la liste dans l'onglet Paramètres." promptTitle="" type="list" errorStyle="warning">
      <formula1>Decisions</formula1>
    </dataValidation>
    <dataValidation sqref="V5:V1004" showDropDown="0" showInputMessage="0" showErrorMessage="1" allowBlank="1" errorTitle="Valeur hors liste" error="Choisissez une valeur dans la liste déroulante.&#10;Pour ajouter une valeur, complétez la liste dans l'onglet Paramètres." promptTitle="" type="list" errorStyle="warning">
      <formula1>Motifs</formula1>
    </dataValidation>
    <dataValidation sqref="X5:X1004" showDropDown="0" showInputMessage="0" showErrorMessage="1" allowBlank="1" errorTitle="Valeur hors liste" error="Choisissez une valeur dans la liste déroulante.&#10;Pour ajouter une valeur, complétez la liste dans l'onglet Paramètres." promptTitle="" type="list" errorStyle="warning">
      <formula1>Actions</formula1>
    </dataValidation>
    <dataValidation sqref="AC5:AC1004" showDropDown="0" showInputMessage="0" showErrorMessage="1" allowBlank="1" errorTitle="Valeur hors liste" error="Choisissez une valeur dans la liste déroulante.&#10;Pour ajouter une valeur, complétez la liste dans l'onglet Paramètres." promptTitle="" type="list" errorStyle="warning">
      <formula1>OuiNon</formula1>
    </dataValidation>
    <dataValidation sqref="G5:G1004 P5:P1004 W5:W1004 Y5:Y1004" showDropDown="0" showInputMessage="0" showErrorMessage="1" allowBlank="1" errorTitle="Date invalide" error="Saisissez une date au format jj/mm/aaaa." type="date" errorStyle="warning" operator="greaterThan">
      <formula1>DATE(1990,1,1)</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12355B"/>
    <outlinePr summaryBelow="1" summaryRight="1"/>
    <pageSetUpPr/>
  </sheetPr>
  <dimension ref="A1:P24"/>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2" customWidth="1" min="3" max="3"/>
    <col width="24" customWidth="1" min="4" max="4"/>
    <col width="12" customWidth="1" min="5" max="5"/>
    <col width="9" customWidth="1" min="6" max="6"/>
    <col width="10" customWidth="1" min="7" max="7"/>
    <col width="16" customWidth="1" min="8" max="8"/>
    <col width="30" customWidth="1" min="9" max="9"/>
    <col width="26" customWidth="1" min="10" max="10"/>
    <col width="13" customWidth="1" min="11" max="11"/>
    <col width="9" customWidth="1" min="12" max="12"/>
    <col width="34" customWidth="1" min="13" max="13"/>
    <col width="34" customWidth="1" min="14" max="14"/>
    <col width="16" customWidth="1" min="15" max="15"/>
    <col width="12" customWidth="1" min="16" max="16"/>
  </cols>
  <sheetData>
    <row r="1" ht="34" customHeight="1">
      <c r="A1" s="1" t="inlineStr">
        <is>
          <t>ENTRETIENS</t>
        </is>
      </c>
    </row>
    <row r="2" ht="6" customHeight="1">
      <c r="A2" s="2" t="inlineStr">
        <is>
          <t>Alimenté automatiquement par le bouton « Planifier un entretien ». Le nom et le poste sont récupérés depuis l'onglet Candidatures à partir de l'ID.</t>
        </is>
      </c>
    </row>
    <row r="3" ht="30" customHeight="1">
      <c r="A3" s="28" t="inlineStr">
        <is>
          <t>N° entretien</t>
        </is>
      </c>
      <c r="B3" s="28" t="inlineStr">
        <is>
          <t>ID candidat</t>
        </is>
      </c>
      <c r="C3" s="29" t="inlineStr">
        <is>
          <t>Candidat</t>
        </is>
      </c>
      <c r="D3" s="29" t="inlineStr">
        <is>
          <t>Poste visé</t>
        </is>
      </c>
      <c r="E3" s="28" t="inlineStr">
        <is>
          <t>Date</t>
        </is>
      </c>
      <c r="F3" s="28" t="inlineStr">
        <is>
          <t>Heure</t>
        </is>
      </c>
      <c r="G3" s="28" t="inlineStr">
        <is>
          <t>Durée (min)</t>
        </is>
      </c>
      <c r="H3" s="28" t="inlineStr">
        <is>
          <t>Type</t>
        </is>
      </c>
      <c r="I3" s="28" t="inlineStr">
        <is>
          <t>Lieu / lien visio</t>
        </is>
      </c>
      <c r="J3" s="28" t="inlineStr">
        <is>
          <t>Intervenants du cabinet</t>
        </is>
      </c>
      <c r="K3" s="28" t="inlineStr">
        <is>
          <t>Statut</t>
        </is>
      </c>
      <c r="L3" s="28" t="inlineStr">
        <is>
          <t>Note /20</t>
        </is>
      </c>
      <c r="M3" s="28" t="inlineStr">
        <is>
          <t>Points forts</t>
        </is>
      </c>
      <c r="N3" s="28" t="inlineStr">
        <is>
          <t>Points de vigilance</t>
        </is>
      </c>
      <c r="O3" s="28" t="inlineStr">
        <is>
          <t>Avis</t>
        </is>
      </c>
      <c r="P3" s="28" t="inlineStr">
        <is>
          <t>Compte rendu rédigé</t>
        </is>
      </c>
    </row>
    <row r="4">
      <c r="A4" s="30" t="inlineStr">
        <is>
          <t>EXEMPLE-E01</t>
        </is>
      </c>
      <c r="B4" s="30" t="inlineStr">
        <is>
          <t>EXEMPLE-01</t>
        </is>
      </c>
      <c r="C4" s="42">
        <f>IF($B4="","",IFERROR(INDEX(Candidatures!$B$5:$B$5000,MATCH($B4,Candidatures!$A$5:$A$5000,0))&amp;" "&amp;INDEX(Candidatures!$C$5:$C$5000,MATCH($B4,Candidatures!$A$5:$A$5000,0)),"ID inconnu"))</f>
        <v/>
      </c>
      <c r="D4" s="42">
        <f>IF($B4="","",IFERROR(INDEX(Candidatures!$K$5:$K$5000,MATCH($B4,Candidatures!$A$5:$A$5000,0)),""))</f>
        <v/>
      </c>
      <c r="E4" s="33" t="n">
        <v>46286</v>
      </c>
      <c r="F4" s="43" t="n">
        <v>0.4166666666666667</v>
      </c>
      <c r="G4" s="44" t="n">
        <v>45</v>
      </c>
      <c r="H4" s="30" t="inlineStr">
        <is>
          <t>Au cabinet</t>
        </is>
      </c>
      <c r="I4" s="30" t="inlineStr">
        <is>
          <t>Salle de réunion — 2e étage</t>
        </is>
      </c>
      <c r="J4" s="30" t="inlineStr">
        <is>
          <t>Associé 1, Responsable RH</t>
        </is>
      </c>
      <c r="K4" s="30" t="inlineStr">
        <is>
          <t>Planifié</t>
        </is>
      </c>
      <c r="L4" s="35" t="n"/>
      <c r="M4" s="41" t="inlineStr">
        <is>
          <t>Exemple : maîtrise de la nomenclature Dintilhac.</t>
        </is>
      </c>
      <c r="N4" s="41" t="n"/>
      <c r="O4" s="30" t="n"/>
      <c r="P4" s="30" t="n"/>
    </row>
    <row r="5">
      <c r="A5" s="30" t="n"/>
      <c r="B5" s="30" t="n"/>
      <c r="C5" s="42">
        <f>IF($B5="","",IFERROR(INDEX(Candidatures!$B$5:$B$5000,MATCH($B5,Candidatures!$A$5:$A$5000,0))&amp;" "&amp;INDEX(Candidatures!$C$5:$C$5000,MATCH($B5,Candidatures!$A$5:$A$5000,0)),"ID inconnu"))</f>
        <v/>
      </c>
      <c r="D5" s="42">
        <f>IF($B5="","",IFERROR(INDEX(Candidatures!$K$5:$K$5000,MATCH($B5,Candidatures!$A$5:$A$5000,0)),""))</f>
        <v/>
      </c>
      <c r="E5" s="33" t="n"/>
      <c r="F5" s="43" t="n"/>
      <c r="G5" s="44" t="n"/>
      <c r="H5" s="30" t="n"/>
      <c r="I5" s="30" t="n"/>
      <c r="J5" s="30" t="n"/>
      <c r="K5" s="30" t="n"/>
      <c r="L5" s="35" t="n"/>
      <c r="M5" s="41" t="n"/>
      <c r="N5" s="41" t="n"/>
      <c r="O5" s="30" t="n"/>
      <c r="P5" s="30" t="n"/>
    </row>
    <row r="6">
      <c r="A6" s="30" t="n"/>
      <c r="B6" s="30" t="n"/>
      <c r="C6" s="42">
        <f>IF($B6="","",IFERROR(INDEX(Candidatures!$B$5:$B$5000,MATCH($B6,Candidatures!$A$5:$A$5000,0))&amp;" "&amp;INDEX(Candidatures!$C$5:$C$5000,MATCH($B6,Candidatures!$A$5:$A$5000,0)),"ID inconnu"))</f>
        <v/>
      </c>
      <c r="D6" s="42">
        <f>IF($B6="","",IFERROR(INDEX(Candidatures!$K$5:$K$5000,MATCH($B6,Candidatures!$A$5:$A$5000,0)),""))</f>
        <v/>
      </c>
      <c r="E6" s="33" t="n"/>
      <c r="F6" s="43" t="n"/>
      <c r="G6" s="44" t="n"/>
      <c r="H6" s="30" t="n"/>
      <c r="I6" s="30" t="n"/>
      <c r="J6" s="30" t="n"/>
      <c r="K6" s="30" t="n"/>
      <c r="L6" s="35" t="n"/>
      <c r="M6" s="41" t="n"/>
      <c r="N6" s="41" t="n"/>
      <c r="O6" s="30" t="n"/>
      <c r="P6" s="30" t="n"/>
    </row>
    <row r="7">
      <c r="A7" s="30" t="n"/>
      <c r="B7" s="30" t="n"/>
      <c r="C7" s="42">
        <f>IF($B7="","",IFERROR(INDEX(Candidatures!$B$5:$B$5000,MATCH($B7,Candidatures!$A$5:$A$5000,0))&amp;" "&amp;INDEX(Candidatures!$C$5:$C$5000,MATCH($B7,Candidatures!$A$5:$A$5000,0)),"ID inconnu"))</f>
        <v/>
      </c>
      <c r="D7" s="42">
        <f>IF($B7="","",IFERROR(INDEX(Candidatures!$K$5:$K$5000,MATCH($B7,Candidatures!$A$5:$A$5000,0)),""))</f>
        <v/>
      </c>
      <c r="E7" s="33" t="n"/>
      <c r="F7" s="43" t="n"/>
      <c r="G7" s="44" t="n"/>
      <c r="H7" s="30" t="n"/>
      <c r="I7" s="30" t="n"/>
      <c r="J7" s="30" t="n"/>
      <c r="K7" s="30" t="n"/>
      <c r="L7" s="35" t="n"/>
      <c r="M7" s="41" t="n"/>
      <c r="N7" s="41" t="n"/>
      <c r="O7" s="30" t="n"/>
      <c r="P7" s="30" t="n"/>
    </row>
    <row r="8">
      <c r="A8" s="30" t="n"/>
      <c r="B8" s="30" t="n"/>
      <c r="C8" s="42">
        <f>IF($B8="","",IFERROR(INDEX(Candidatures!$B$5:$B$5000,MATCH($B8,Candidatures!$A$5:$A$5000,0))&amp;" "&amp;INDEX(Candidatures!$C$5:$C$5000,MATCH($B8,Candidatures!$A$5:$A$5000,0)),"ID inconnu"))</f>
        <v/>
      </c>
      <c r="D8" s="42">
        <f>IF($B8="","",IFERROR(INDEX(Candidatures!$K$5:$K$5000,MATCH($B8,Candidatures!$A$5:$A$5000,0)),""))</f>
        <v/>
      </c>
      <c r="E8" s="33" t="n"/>
      <c r="F8" s="43" t="n"/>
      <c r="G8" s="44" t="n"/>
      <c r="H8" s="30" t="n"/>
      <c r="I8" s="30" t="n"/>
      <c r="J8" s="30" t="n"/>
      <c r="K8" s="30" t="n"/>
      <c r="L8" s="35" t="n"/>
      <c r="M8" s="41" t="n"/>
      <c r="N8" s="41" t="n"/>
      <c r="O8" s="30" t="n"/>
      <c r="P8" s="30" t="n"/>
    </row>
    <row r="9">
      <c r="A9" s="30" t="n"/>
      <c r="B9" s="30" t="n"/>
      <c r="C9" s="42">
        <f>IF($B9="","",IFERROR(INDEX(Candidatures!$B$5:$B$5000,MATCH($B9,Candidatures!$A$5:$A$5000,0))&amp;" "&amp;INDEX(Candidatures!$C$5:$C$5000,MATCH($B9,Candidatures!$A$5:$A$5000,0)),"ID inconnu"))</f>
        <v/>
      </c>
      <c r="D9" s="42">
        <f>IF($B9="","",IFERROR(INDEX(Candidatures!$K$5:$K$5000,MATCH($B9,Candidatures!$A$5:$A$5000,0)),""))</f>
        <v/>
      </c>
      <c r="E9" s="33" t="n"/>
      <c r="F9" s="43" t="n"/>
      <c r="G9" s="44" t="n"/>
      <c r="H9" s="30" t="n"/>
      <c r="I9" s="30" t="n"/>
      <c r="J9" s="30" t="n"/>
      <c r="K9" s="30" t="n"/>
      <c r="L9" s="35" t="n"/>
      <c r="M9" s="41" t="n"/>
      <c r="N9" s="41" t="n"/>
      <c r="O9" s="30" t="n"/>
      <c r="P9" s="30" t="n"/>
    </row>
    <row r="10">
      <c r="A10" s="30" t="n"/>
      <c r="B10" s="30" t="n"/>
      <c r="C10" s="42">
        <f>IF($B10="","",IFERROR(INDEX(Candidatures!$B$5:$B$5000,MATCH($B10,Candidatures!$A$5:$A$5000,0))&amp;" "&amp;INDEX(Candidatures!$C$5:$C$5000,MATCH($B10,Candidatures!$A$5:$A$5000,0)),"ID inconnu"))</f>
        <v/>
      </c>
      <c r="D10" s="42">
        <f>IF($B10="","",IFERROR(INDEX(Candidatures!$K$5:$K$5000,MATCH($B10,Candidatures!$A$5:$A$5000,0)),""))</f>
        <v/>
      </c>
      <c r="E10" s="33" t="n"/>
      <c r="F10" s="43" t="n"/>
      <c r="G10" s="44" t="n"/>
      <c r="H10" s="30" t="n"/>
      <c r="I10" s="30" t="n"/>
      <c r="J10" s="30" t="n"/>
      <c r="K10" s="30" t="n"/>
      <c r="L10" s="35" t="n"/>
      <c r="M10" s="41" t="n"/>
      <c r="N10" s="41" t="n"/>
      <c r="O10" s="30" t="n"/>
      <c r="P10" s="30" t="n"/>
    </row>
    <row r="11">
      <c r="A11" s="30" t="n"/>
      <c r="B11" s="30" t="n"/>
      <c r="C11" s="42">
        <f>IF($B11="","",IFERROR(INDEX(Candidatures!$B$5:$B$5000,MATCH($B11,Candidatures!$A$5:$A$5000,0))&amp;" "&amp;INDEX(Candidatures!$C$5:$C$5000,MATCH($B11,Candidatures!$A$5:$A$5000,0)),"ID inconnu"))</f>
        <v/>
      </c>
      <c r="D11" s="42">
        <f>IF($B11="","",IFERROR(INDEX(Candidatures!$K$5:$K$5000,MATCH($B11,Candidatures!$A$5:$A$5000,0)),""))</f>
        <v/>
      </c>
      <c r="E11" s="33" t="n"/>
      <c r="F11" s="43" t="n"/>
      <c r="G11" s="44" t="n"/>
      <c r="H11" s="30" t="n"/>
      <c r="I11" s="30" t="n"/>
      <c r="J11" s="30" t="n"/>
      <c r="K11" s="30" t="n"/>
      <c r="L11" s="35" t="n"/>
      <c r="M11" s="41" t="n"/>
      <c r="N11" s="41" t="n"/>
      <c r="O11" s="30" t="n"/>
      <c r="P11" s="30" t="n"/>
    </row>
    <row r="12">
      <c r="A12" s="30" t="n"/>
      <c r="B12" s="30" t="n"/>
      <c r="C12" s="42">
        <f>IF($B12="","",IFERROR(INDEX(Candidatures!$B$5:$B$5000,MATCH($B12,Candidatures!$A$5:$A$5000,0))&amp;" "&amp;INDEX(Candidatures!$C$5:$C$5000,MATCH($B12,Candidatures!$A$5:$A$5000,0)),"ID inconnu"))</f>
        <v/>
      </c>
      <c r="D12" s="42">
        <f>IF($B12="","",IFERROR(INDEX(Candidatures!$K$5:$K$5000,MATCH($B12,Candidatures!$A$5:$A$5000,0)),""))</f>
        <v/>
      </c>
      <c r="E12" s="33" t="n"/>
      <c r="F12" s="43" t="n"/>
      <c r="G12" s="44" t="n"/>
      <c r="H12" s="30" t="n"/>
      <c r="I12" s="30" t="n"/>
      <c r="J12" s="30" t="n"/>
      <c r="K12" s="30" t="n"/>
      <c r="L12" s="35" t="n"/>
      <c r="M12" s="41" t="n"/>
      <c r="N12" s="41" t="n"/>
      <c r="O12" s="30" t="n"/>
      <c r="P12" s="30" t="n"/>
    </row>
    <row r="13">
      <c r="A13" s="30" t="n"/>
      <c r="B13" s="30" t="n"/>
      <c r="C13" s="42">
        <f>IF($B13="","",IFERROR(INDEX(Candidatures!$B$5:$B$5000,MATCH($B13,Candidatures!$A$5:$A$5000,0))&amp;" "&amp;INDEX(Candidatures!$C$5:$C$5000,MATCH($B13,Candidatures!$A$5:$A$5000,0)),"ID inconnu"))</f>
        <v/>
      </c>
      <c r="D13" s="42">
        <f>IF($B13="","",IFERROR(INDEX(Candidatures!$K$5:$K$5000,MATCH($B13,Candidatures!$A$5:$A$5000,0)),""))</f>
        <v/>
      </c>
      <c r="E13" s="33" t="n"/>
      <c r="F13" s="43" t="n"/>
      <c r="G13" s="44" t="n"/>
      <c r="H13" s="30" t="n"/>
      <c r="I13" s="30" t="n"/>
      <c r="J13" s="30" t="n"/>
      <c r="K13" s="30" t="n"/>
      <c r="L13" s="35" t="n"/>
      <c r="M13" s="41" t="n"/>
      <c r="N13" s="41" t="n"/>
      <c r="O13" s="30" t="n"/>
      <c r="P13" s="30" t="n"/>
    </row>
    <row r="14">
      <c r="A14" s="30" t="n"/>
      <c r="B14" s="30" t="n"/>
      <c r="C14" s="42">
        <f>IF($B14="","",IFERROR(INDEX(Candidatures!$B$5:$B$5000,MATCH($B14,Candidatures!$A$5:$A$5000,0))&amp;" "&amp;INDEX(Candidatures!$C$5:$C$5000,MATCH($B14,Candidatures!$A$5:$A$5000,0)),"ID inconnu"))</f>
        <v/>
      </c>
      <c r="D14" s="42">
        <f>IF($B14="","",IFERROR(INDEX(Candidatures!$K$5:$K$5000,MATCH($B14,Candidatures!$A$5:$A$5000,0)),""))</f>
        <v/>
      </c>
      <c r="E14" s="33" t="n"/>
      <c r="F14" s="43" t="n"/>
      <c r="G14" s="44" t="n"/>
      <c r="H14" s="30" t="n"/>
      <c r="I14" s="30" t="n"/>
      <c r="J14" s="30" t="n"/>
      <c r="K14" s="30" t="n"/>
      <c r="L14" s="35" t="n"/>
      <c r="M14" s="41" t="n"/>
      <c r="N14" s="41" t="n"/>
      <c r="O14" s="30" t="n"/>
      <c r="P14" s="30" t="n"/>
    </row>
    <row r="15">
      <c r="A15" s="30" t="n"/>
      <c r="B15" s="30" t="n"/>
      <c r="C15" s="42">
        <f>IF($B15="","",IFERROR(INDEX(Candidatures!$B$5:$B$5000,MATCH($B15,Candidatures!$A$5:$A$5000,0))&amp;" "&amp;INDEX(Candidatures!$C$5:$C$5000,MATCH($B15,Candidatures!$A$5:$A$5000,0)),"ID inconnu"))</f>
        <v/>
      </c>
      <c r="D15" s="42">
        <f>IF($B15="","",IFERROR(INDEX(Candidatures!$K$5:$K$5000,MATCH($B15,Candidatures!$A$5:$A$5000,0)),""))</f>
        <v/>
      </c>
      <c r="E15" s="33" t="n"/>
      <c r="F15" s="43" t="n"/>
      <c r="G15" s="44" t="n"/>
      <c r="H15" s="30" t="n"/>
      <c r="I15" s="30" t="n"/>
      <c r="J15" s="30" t="n"/>
      <c r="K15" s="30" t="n"/>
      <c r="L15" s="35" t="n"/>
      <c r="M15" s="41" t="n"/>
      <c r="N15" s="41" t="n"/>
      <c r="O15" s="30" t="n"/>
      <c r="P15" s="30" t="n"/>
    </row>
    <row r="16">
      <c r="A16" s="30" t="n"/>
      <c r="B16" s="30" t="n"/>
      <c r="C16" s="42">
        <f>IF($B16="","",IFERROR(INDEX(Candidatures!$B$5:$B$5000,MATCH($B16,Candidatures!$A$5:$A$5000,0))&amp;" "&amp;INDEX(Candidatures!$C$5:$C$5000,MATCH($B16,Candidatures!$A$5:$A$5000,0)),"ID inconnu"))</f>
        <v/>
      </c>
      <c r="D16" s="42">
        <f>IF($B16="","",IFERROR(INDEX(Candidatures!$K$5:$K$5000,MATCH($B16,Candidatures!$A$5:$A$5000,0)),""))</f>
        <v/>
      </c>
      <c r="E16" s="33" t="n"/>
      <c r="F16" s="43" t="n"/>
      <c r="G16" s="44" t="n"/>
      <c r="H16" s="30" t="n"/>
      <c r="I16" s="30" t="n"/>
      <c r="J16" s="30" t="n"/>
      <c r="K16" s="30" t="n"/>
      <c r="L16" s="35" t="n"/>
      <c r="M16" s="41" t="n"/>
      <c r="N16" s="41" t="n"/>
      <c r="O16" s="30" t="n"/>
      <c r="P16" s="30" t="n"/>
    </row>
    <row r="17">
      <c r="A17" s="30" t="n"/>
      <c r="B17" s="30" t="n"/>
      <c r="C17" s="42">
        <f>IF($B17="","",IFERROR(INDEX(Candidatures!$B$5:$B$5000,MATCH($B17,Candidatures!$A$5:$A$5000,0))&amp;" "&amp;INDEX(Candidatures!$C$5:$C$5000,MATCH($B17,Candidatures!$A$5:$A$5000,0)),"ID inconnu"))</f>
        <v/>
      </c>
      <c r="D17" s="42">
        <f>IF($B17="","",IFERROR(INDEX(Candidatures!$K$5:$K$5000,MATCH($B17,Candidatures!$A$5:$A$5000,0)),""))</f>
        <v/>
      </c>
      <c r="E17" s="33" t="n"/>
      <c r="F17" s="43" t="n"/>
      <c r="G17" s="44" t="n"/>
      <c r="H17" s="30" t="n"/>
      <c r="I17" s="30" t="n"/>
      <c r="J17" s="30" t="n"/>
      <c r="K17" s="30" t="n"/>
      <c r="L17" s="35" t="n"/>
      <c r="M17" s="41" t="n"/>
      <c r="N17" s="41" t="n"/>
      <c r="O17" s="30" t="n"/>
      <c r="P17" s="30" t="n"/>
    </row>
    <row r="18">
      <c r="A18" s="30" t="n"/>
      <c r="B18" s="30" t="n"/>
      <c r="C18" s="42">
        <f>IF($B18="","",IFERROR(INDEX(Candidatures!$B$5:$B$5000,MATCH($B18,Candidatures!$A$5:$A$5000,0))&amp;" "&amp;INDEX(Candidatures!$C$5:$C$5000,MATCH($B18,Candidatures!$A$5:$A$5000,0)),"ID inconnu"))</f>
        <v/>
      </c>
      <c r="D18" s="42">
        <f>IF($B18="","",IFERROR(INDEX(Candidatures!$K$5:$K$5000,MATCH($B18,Candidatures!$A$5:$A$5000,0)),""))</f>
        <v/>
      </c>
      <c r="E18" s="33" t="n"/>
      <c r="F18" s="43" t="n"/>
      <c r="G18" s="44" t="n"/>
      <c r="H18" s="30" t="n"/>
      <c r="I18" s="30" t="n"/>
      <c r="J18" s="30" t="n"/>
      <c r="K18" s="30" t="n"/>
      <c r="L18" s="35" t="n"/>
      <c r="M18" s="41" t="n"/>
      <c r="N18" s="41" t="n"/>
      <c r="O18" s="30" t="n"/>
      <c r="P18" s="30" t="n"/>
    </row>
    <row r="19">
      <c r="A19" s="30" t="n"/>
      <c r="B19" s="30" t="n"/>
      <c r="C19" s="42">
        <f>IF($B19="","",IFERROR(INDEX(Candidatures!$B$5:$B$5000,MATCH($B19,Candidatures!$A$5:$A$5000,0))&amp;" "&amp;INDEX(Candidatures!$C$5:$C$5000,MATCH($B19,Candidatures!$A$5:$A$5000,0)),"ID inconnu"))</f>
        <v/>
      </c>
      <c r="D19" s="42">
        <f>IF($B19="","",IFERROR(INDEX(Candidatures!$K$5:$K$5000,MATCH($B19,Candidatures!$A$5:$A$5000,0)),""))</f>
        <v/>
      </c>
      <c r="E19" s="33" t="n"/>
      <c r="F19" s="43" t="n"/>
      <c r="G19" s="44" t="n"/>
      <c r="H19" s="30" t="n"/>
      <c r="I19" s="30" t="n"/>
      <c r="J19" s="30" t="n"/>
      <c r="K19" s="30" t="n"/>
      <c r="L19" s="35" t="n"/>
      <c r="M19" s="41" t="n"/>
      <c r="N19" s="41" t="n"/>
      <c r="O19" s="30" t="n"/>
      <c r="P19" s="30" t="n"/>
    </row>
    <row r="20">
      <c r="A20" s="30" t="n"/>
      <c r="B20" s="30" t="n"/>
      <c r="C20" s="42">
        <f>IF($B20="","",IFERROR(INDEX(Candidatures!$B$5:$B$5000,MATCH($B20,Candidatures!$A$5:$A$5000,0))&amp;" "&amp;INDEX(Candidatures!$C$5:$C$5000,MATCH($B20,Candidatures!$A$5:$A$5000,0)),"ID inconnu"))</f>
        <v/>
      </c>
      <c r="D20" s="42">
        <f>IF($B20="","",IFERROR(INDEX(Candidatures!$K$5:$K$5000,MATCH($B20,Candidatures!$A$5:$A$5000,0)),""))</f>
        <v/>
      </c>
      <c r="E20" s="33" t="n"/>
      <c r="F20" s="43" t="n"/>
      <c r="G20" s="44" t="n"/>
      <c r="H20" s="30" t="n"/>
      <c r="I20" s="30" t="n"/>
      <c r="J20" s="30" t="n"/>
      <c r="K20" s="30" t="n"/>
      <c r="L20" s="35" t="n"/>
      <c r="M20" s="41" t="n"/>
      <c r="N20" s="41" t="n"/>
      <c r="O20" s="30" t="n"/>
      <c r="P20" s="30" t="n"/>
    </row>
    <row r="21">
      <c r="A21" s="30" t="n"/>
      <c r="B21" s="30" t="n"/>
      <c r="C21" s="42">
        <f>IF($B21="","",IFERROR(INDEX(Candidatures!$B$5:$B$5000,MATCH($B21,Candidatures!$A$5:$A$5000,0))&amp;" "&amp;INDEX(Candidatures!$C$5:$C$5000,MATCH($B21,Candidatures!$A$5:$A$5000,0)),"ID inconnu"))</f>
        <v/>
      </c>
      <c r="D21" s="42">
        <f>IF($B21="","",IFERROR(INDEX(Candidatures!$K$5:$K$5000,MATCH($B21,Candidatures!$A$5:$A$5000,0)),""))</f>
        <v/>
      </c>
      <c r="E21" s="33" t="n"/>
      <c r="F21" s="43" t="n"/>
      <c r="G21" s="44" t="n"/>
      <c r="H21" s="30" t="n"/>
      <c r="I21" s="30" t="n"/>
      <c r="J21" s="30" t="n"/>
      <c r="K21" s="30" t="n"/>
      <c r="L21" s="35" t="n"/>
      <c r="M21" s="41" t="n"/>
      <c r="N21" s="41" t="n"/>
      <c r="O21" s="30" t="n"/>
      <c r="P21" s="30" t="n"/>
    </row>
    <row r="22">
      <c r="A22" s="30" t="n"/>
      <c r="B22" s="30" t="n"/>
      <c r="C22" s="42">
        <f>IF($B22="","",IFERROR(INDEX(Candidatures!$B$5:$B$5000,MATCH($B22,Candidatures!$A$5:$A$5000,0))&amp;" "&amp;INDEX(Candidatures!$C$5:$C$5000,MATCH($B22,Candidatures!$A$5:$A$5000,0)),"ID inconnu"))</f>
        <v/>
      </c>
      <c r="D22" s="42">
        <f>IF($B22="","",IFERROR(INDEX(Candidatures!$K$5:$K$5000,MATCH($B22,Candidatures!$A$5:$A$5000,0)),""))</f>
        <v/>
      </c>
      <c r="E22" s="33" t="n"/>
      <c r="F22" s="43" t="n"/>
      <c r="G22" s="44" t="n"/>
      <c r="H22" s="30" t="n"/>
      <c r="I22" s="30" t="n"/>
      <c r="J22" s="30" t="n"/>
      <c r="K22" s="30" t="n"/>
      <c r="L22" s="35" t="n"/>
      <c r="M22" s="41" t="n"/>
      <c r="N22" s="41" t="n"/>
      <c r="O22" s="30" t="n"/>
      <c r="P22" s="30" t="n"/>
    </row>
    <row r="23">
      <c r="A23" s="30" t="n"/>
      <c r="B23" s="30" t="n"/>
      <c r="C23" s="42">
        <f>IF($B23="","",IFERROR(INDEX(Candidatures!$B$5:$B$5000,MATCH($B23,Candidatures!$A$5:$A$5000,0))&amp;" "&amp;INDEX(Candidatures!$C$5:$C$5000,MATCH($B23,Candidatures!$A$5:$A$5000,0)),"ID inconnu"))</f>
        <v/>
      </c>
      <c r="D23" s="42">
        <f>IF($B23="","",IFERROR(INDEX(Candidatures!$K$5:$K$5000,MATCH($B23,Candidatures!$A$5:$A$5000,0)),""))</f>
        <v/>
      </c>
      <c r="E23" s="33" t="n"/>
      <c r="F23" s="43" t="n"/>
      <c r="G23" s="44" t="n"/>
      <c r="H23" s="30" t="n"/>
      <c r="I23" s="30" t="n"/>
      <c r="J23" s="30" t="n"/>
      <c r="K23" s="30" t="n"/>
      <c r="L23" s="35" t="n"/>
      <c r="M23" s="41" t="n"/>
      <c r="N23" s="41" t="n"/>
      <c r="O23" s="30" t="n"/>
      <c r="P23" s="30" t="n"/>
    </row>
    <row r="24">
      <c r="A24" s="30" t="n"/>
      <c r="B24" s="30" t="n"/>
      <c r="C24" s="42">
        <f>IF($B24="","",IFERROR(INDEX(Candidatures!$B$5:$B$5000,MATCH($B24,Candidatures!$A$5:$A$5000,0))&amp;" "&amp;INDEX(Candidatures!$C$5:$C$5000,MATCH($B24,Candidatures!$A$5:$A$5000,0)),"ID inconnu"))</f>
        <v/>
      </c>
      <c r="D24" s="42">
        <f>IF($B24="","",IFERROR(INDEX(Candidatures!$K$5:$K$5000,MATCH($B24,Candidatures!$A$5:$A$5000,0)),""))</f>
        <v/>
      </c>
      <c r="E24" s="33" t="n"/>
      <c r="F24" s="43" t="n"/>
      <c r="G24" s="44" t="n"/>
      <c r="H24" s="30" t="n"/>
      <c r="I24" s="30" t="n"/>
      <c r="J24" s="30" t="n"/>
      <c r="K24" s="30" t="n"/>
      <c r="L24" s="35" t="n"/>
      <c r="M24" s="41" t="n"/>
      <c r="N24" s="41" t="n"/>
      <c r="O24" s="30" t="n"/>
      <c r="P24" s="30" t="n"/>
    </row>
  </sheetData>
  <mergeCells count="2">
    <mergeCell ref="A1:P1"/>
    <mergeCell ref="A2:P2"/>
  </mergeCells>
  <dataValidations count="4">
    <dataValidation sqref="H4:H500" showDropDown="0" showInputMessage="0" showErrorMessage="1" allowBlank="1" errorTitle="Valeur hors liste" error="Choisissez une valeur dans la liste déroulante.&#10;Pour ajouter une valeur, complétez la liste dans l'onglet Paramètres." promptTitle="" type="list" errorStyle="warning">
      <formula1>TypesEntretien</formula1>
    </dataValidation>
    <dataValidation sqref="K4:K500" showDropDown="0" showInputMessage="0" showErrorMessage="1" allowBlank="1" errorTitle="Valeur hors liste" error="Choisissez une valeur dans la liste déroulante.&#10;Pour ajouter une valeur, complétez la liste dans l'onglet Paramètres." promptTitle="" type="list" errorStyle="warning">
      <formula1>StatutsEntretien</formula1>
    </dataValidation>
    <dataValidation sqref="O4:O500" showDropDown="0" showInputMessage="0" showErrorMessage="1" allowBlank="1" errorTitle="Valeur hors liste" error="Choisissez une valeur dans la liste déroulante.&#10;Pour ajouter une valeur, complétez la liste dans l'onglet Paramètres." promptTitle="" type="list" errorStyle="warning">
      <formula1>AvisEntretien</formula1>
    </dataValidation>
    <dataValidation sqref="P4:P500" showDropDown="0" showInputMessage="0" showErrorMessage="1" allowBlank="1" errorTitle="Valeur hors liste" error="Choisissez une valeur dans la liste déroulante.&#10;Pour ajouter une valeur, complétez la liste dans l'onglet Paramètres." promptTitle="" type="list" errorStyle="warning">
      <formula1>OuiNon</formula1>
    </dataValidation>
  </dataValidations>
  <pageMargins left="0.75" right="0.75" top="1" bottom="1" header="0.5" footer="0.5"/>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tabColor rgb="00B8912A"/>
    <outlinePr summaryBelow="1" summaryRight="1"/>
    <pageSetUpPr/>
  </sheetPr>
  <dimension ref="A1:L53"/>
  <sheetViews>
    <sheetView showGridLines="0" workbookViewId="0">
      <selection activeCell="A1" sqref="A1"/>
    </sheetView>
  </sheetViews>
  <sheetFormatPr baseColWidth="8" defaultRowHeight="15"/>
  <cols>
    <col width="2" customWidth="1" min="1" max="1"/>
    <col width="14" customWidth="1" min="2" max="2"/>
    <col width="14" customWidth="1" min="3" max="3"/>
    <col width="14" customWidth="1" min="4" max="4"/>
    <col width="16" customWidth="1" min="5" max="5"/>
    <col width="14" customWidth="1" min="6" max="6"/>
    <col width="14" customWidth="1" min="7" max="7"/>
    <col width="14" customWidth="1" min="8" max="8"/>
    <col width="14" customWidth="1" min="9" max="9"/>
    <col width="16" customWidth="1" min="10" max="10"/>
    <col width="14" customWidth="1" min="11" max="11"/>
    <col width="2" customWidth="1" min="12" max="12"/>
  </cols>
  <sheetData>
    <row r="1" ht="34" customHeight="1">
      <c r="A1" s="1" t="inlineStr">
        <is>
          <t>TABLEAU DE BORD DU RECRUTEMENT</t>
        </is>
      </c>
    </row>
    <row r="2" ht="18" customHeight="1">
      <c r="A2" s="2" t="inlineStr">
        <is>
          <t>Tous les chiffres se recalculent automatiquement à chaque saisie. Aucune manipulation requise.</t>
        </is>
      </c>
    </row>
    <row r="4" ht="22" customHeight="1">
      <c r="B4" s="14" t="inlineStr">
        <is>
          <t>INDICATEURS CLÉS</t>
        </is>
      </c>
    </row>
    <row r="5" ht="26" customHeight="1">
      <c r="B5" s="3" t="inlineStr">
        <is>
          <t>Candidatures reçues</t>
        </is>
      </c>
      <c r="D5" s="4" t="inlineStr">
        <is>
          <t>Dossiers en cours</t>
        </is>
      </c>
      <c r="F5" s="5" t="inlineStr">
        <is>
          <t>Entretiens à venir</t>
        </is>
      </c>
      <c r="H5" s="45" t="inlineStr">
        <is>
          <t>Recrutements</t>
        </is>
      </c>
      <c r="J5" s="46" t="inlineStr">
        <is>
          <t>Réponses négatives</t>
        </is>
      </c>
    </row>
    <row r="6" ht="34" customHeight="1">
      <c r="B6" s="47">
        <f>COUNTA(Candidatures!$A$5:$A$5000)</f>
        <v/>
      </c>
      <c r="D6" s="48">
        <f>COUNTA(Candidatures!$A$5:$A$5000)-COUNTIF(Candidatures!$D$5:$D$5000,INDEX(StatutListe,8))-COUNTIF(Candidatures!$D$5:$D$5000,INDEX(StatutListe,9))-COUNTIF(Candidatures!$D$5:$D$5000,INDEX(StatutListe,10))</f>
        <v/>
      </c>
      <c r="F6" s="49">
        <f>COUNTIFS(Candidatures!$T$5:$T$5000,"&gt;="&amp;Aujourdhui)</f>
        <v/>
      </c>
      <c r="H6" s="50">
        <f>COUNTIF(Candidatures!$D$5:$D$5000,INDEX(StatutListe,8))</f>
        <v/>
      </c>
      <c r="J6" s="51">
        <f>COUNTIF(Candidatures!$D$5:$D$5000,INDEX(StatutListe,9))</f>
        <v/>
      </c>
    </row>
    <row r="8" ht="26" customHeight="1">
      <c r="B8" s="6" t="inlineStr">
        <is>
          <t>À traiter</t>
        </is>
      </c>
      <c r="D8" s="7" t="inlineStr">
        <is>
          <t>Actions en retard</t>
        </is>
      </c>
      <c r="F8" s="3" t="inlineStr">
        <is>
          <t>Délai moyen de réponse</t>
        </is>
      </c>
      <c r="H8" s="4" t="inlineStr">
        <is>
          <t>Taux d'entretien</t>
        </is>
      </c>
      <c r="J8" s="52" t="inlineStr">
        <is>
          <t>À purger (RGPD)</t>
        </is>
      </c>
    </row>
    <row r="9" ht="34" customHeight="1">
      <c r="B9" s="53">
        <f>COUNTIF(Candidatures!$E$5:$E$5000,"À traiter")</f>
        <v/>
      </c>
      <c r="D9" s="54">
        <f>COUNTIF(Candidatures!$E$5:$E$5000,"Retard")</f>
        <v/>
      </c>
      <c r="F9" s="55">
        <f>IFERROR(AVERAGE(Candidatures!$Z$5:$Z$5000),0)</f>
        <v/>
      </c>
      <c r="H9" s="56">
        <f>IFERROR((COUNTIF(Candidatures!$D$5:$D$5000,INDEX(StatutListe,4))+COUNTIF(Candidatures!$D$5:$D$5000,INDEX(StatutListe,5))+COUNTIF(Candidatures!$D$5:$D$5000,INDEX(StatutListe,7))+COUNTIF(Candidatures!$D$5:$D$5000,INDEX(StatutListe,8)))/COUNTA(Candidatures!$A$5:$A$5000),0)</f>
        <v/>
      </c>
      <c r="J9" s="57">
        <f>COUNTIFS(Candidatures!$AD$5:$AD$5000,"&gt;0",Candidatures!$AD$5:$AD$5000,"&lt;="&amp;Aujourdhui)</f>
        <v/>
      </c>
    </row>
    <row r="12" ht="20" customHeight="1">
      <c r="B12" s="58" t="inlineStr">
        <is>
          <t>RÉPARTITION PAR STATUT</t>
        </is>
      </c>
      <c r="G12" s="58" t="inlineStr">
        <is>
          <t>RÉPARTITION PAR POSTE</t>
        </is>
      </c>
    </row>
    <row r="13">
      <c r="B13" s="59" t="inlineStr">
        <is>
          <t>Libellé</t>
        </is>
      </c>
      <c r="C13" s="60" t="inlineStr">
        <is>
          <t>Nb</t>
        </is>
      </c>
      <c r="D13" s="60" t="inlineStr">
        <is>
          <t>Part</t>
        </is>
      </c>
      <c r="E13" s="60" t="inlineStr"/>
      <c r="G13" s="59" t="inlineStr">
        <is>
          <t>Libellé</t>
        </is>
      </c>
      <c r="H13" s="60" t="inlineStr">
        <is>
          <t>Nb</t>
        </is>
      </c>
      <c r="I13" s="60" t="inlineStr">
        <is>
          <t>Part</t>
        </is>
      </c>
      <c r="J13" s="60" t="inlineStr"/>
    </row>
    <row r="14">
      <c r="B14" s="61">
        <f>INDEX(StatutListe,1)</f>
        <v/>
      </c>
      <c r="C14" s="62">
        <f>COUNTIF(Candidatures!$D$5:$D$5000,$B14)</f>
        <v/>
      </c>
      <c r="D14" s="63">
        <f>IFERROR(C14/COUNTA(Candidatures!$A$5:$A$5000),0)</f>
        <v/>
      </c>
      <c r="E14" s="64">
        <f>C14</f>
        <v/>
      </c>
      <c r="G14" s="61">
        <f>INDEX(Postes,1)</f>
        <v/>
      </c>
      <c r="H14" s="62">
        <f>COUNTIF(Candidatures!$K$5:$K$5000,$G14)</f>
        <v/>
      </c>
      <c r="I14" s="63">
        <f>IFERROR(H14/COUNTA(Candidatures!$A$5:$A$5000),0)</f>
        <v/>
      </c>
      <c r="J14" s="64">
        <f>H14</f>
        <v/>
      </c>
    </row>
    <row r="15">
      <c r="B15" s="61">
        <f>INDEX(StatutListe,2)</f>
        <v/>
      </c>
      <c r="C15" s="62">
        <f>COUNTIF(Candidatures!$D$5:$D$5000,$B15)</f>
        <v/>
      </c>
      <c r="D15" s="63">
        <f>IFERROR(C15/COUNTA(Candidatures!$A$5:$A$5000),0)</f>
        <v/>
      </c>
      <c r="E15" s="64">
        <f>C15</f>
        <v/>
      </c>
      <c r="G15" s="61">
        <f>INDEX(Postes,2)</f>
        <v/>
      </c>
      <c r="H15" s="62">
        <f>COUNTIF(Candidatures!$K$5:$K$5000,$G15)</f>
        <v/>
      </c>
      <c r="I15" s="63">
        <f>IFERROR(H15/COUNTA(Candidatures!$A$5:$A$5000),0)</f>
        <v/>
      </c>
      <c r="J15" s="64">
        <f>H15</f>
        <v/>
      </c>
    </row>
    <row r="16">
      <c r="B16" s="61">
        <f>INDEX(StatutListe,3)</f>
        <v/>
      </c>
      <c r="C16" s="62">
        <f>COUNTIF(Candidatures!$D$5:$D$5000,$B16)</f>
        <v/>
      </c>
      <c r="D16" s="63">
        <f>IFERROR(C16/COUNTA(Candidatures!$A$5:$A$5000),0)</f>
        <v/>
      </c>
      <c r="E16" s="64">
        <f>C16</f>
        <v/>
      </c>
      <c r="G16" s="61">
        <f>INDEX(Postes,3)</f>
        <v/>
      </c>
      <c r="H16" s="62">
        <f>COUNTIF(Candidatures!$K$5:$K$5000,$G16)</f>
        <v/>
      </c>
      <c r="I16" s="63">
        <f>IFERROR(H16/COUNTA(Candidatures!$A$5:$A$5000),0)</f>
        <v/>
      </c>
      <c r="J16" s="64">
        <f>H16</f>
        <v/>
      </c>
    </row>
    <row r="17">
      <c r="B17" s="61">
        <f>INDEX(StatutListe,4)</f>
        <v/>
      </c>
      <c r="C17" s="62">
        <f>COUNTIF(Candidatures!$D$5:$D$5000,$B17)</f>
        <v/>
      </c>
      <c r="D17" s="63">
        <f>IFERROR(C17/COUNTA(Candidatures!$A$5:$A$5000),0)</f>
        <v/>
      </c>
      <c r="E17" s="64">
        <f>C17</f>
        <v/>
      </c>
      <c r="G17" s="61">
        <f>INDEX(Postes,4)</f>
        <v/>
      </c>
      <c r="H17" s="62">
        <f>COUNTIF(Candidatures!$K$5:$K$5000,$G17)</f>
        <v/>
      </c>
      <c r="I17" s="63">
        <f>IFERROR(H17/COUNTA(Candidatures!$A$5:$A$5000),0)</f>
        <v/>
      </c>
      <c r="J17" s="64">
        <f>H17</f>
        <v/>
      </c>
    </row>
    <row r="18">
      <c r="B18" s="61">
        <f>INDEX(StatutListe,5)</f>
        <v/>
      </c>
      <c r="C18" s="62">
        <f>COUNTIF(Candidatures!$D$5:$D$5000,$B18)</f>
        <v/>
      </c>
      <c r="D18" s="63">
        <f>IFERROR(C18/COUNTA(Candidatures!$A$5:$A$5000),0)</f>
        <v/>
      </c>
      <c r="E18" s="64">
        <f>C18</f>
        <v/>
      </c>
      <c r="G18" s="61">
        <f>INDEX(Postes,5)</f>
        <v/>
      </c>
      <c r="H18" s="62">
        <f>COUNTIF(Candidatures!$K$5:$K$5000,$G18)</f>
        <v/>
      </c>
      <c r="I18" s="63">
        <f>IFERROR(H18/COUNTA(Candidatures!$A$5:$A$5000),0)</f>
        <v/>
      </c>
      <c r="J18" s="64">
        <f>H18</f>
        <v/>
      </c>
    </row>
    <row r="19">
      <c r="B19" s="61">
        <f>INDEX(StatutListe,6)</f>
        <v/>
      </c>
      <c r="C19" s="62">
        <f>COUNTIF(Candidatures!$D$5:$D$5000,$B19)</f>
        <v/>
      </c>
      <c r="D19" s="63">
        <f>IFERROR(C19/COUNTA(Candidatures!$A$5:$A$5000),0)</f>
        <v/>
      </c>
      <c r="E19" s="64">
        <f>C19</f>
        <v/>
      </c>
      <c r="G19" s="61">
        <f>INDEX(Postes,6)</f>
        <v/>
      </c>
      <c r="H19" s="62">
        <f>COUNTIF(Candidatures!$K$5:$K$5000,$G19)</f>
        <v/>
      </c>
      <c r="I19" s="63">
        <f>IFERROR(H19/COUNTA(Candidatures!$A$5:$A$5000),0)</f>
        <v/>
      </c>
      <c r="J19" s="64">
        <f>H19</f>
        <v/>
      </c>
    </row>
    <row r="20">
      <c r="B20" s="61">
        <f>INDEX(StatutListe,7)</f>
        <v/>
      </c>
      <c r="C20" s="62">
        <f>COUNTIF(Candidatures!$D$5:$D$5000,$B20)</f>
        <v/>
      </c>
      <c r="D20" s="63">
        <f>IFERROR(C20/COUNTA(Candidatures!$A$5:$A$5000),0)</f>
        <v/>
      </c>
      <c r="E20" s="64">
        <f>C20</f>
        <v/>
      </c>
      <c r="G20" s="61">
        <f>INDEX(Postes,7)</f>
        <v/>
      </c>
      <c r="H20" s="62">
        <f>COUNTIF(Candidatures!$K$5:$K$5000,$G20)</f>
        <v/>
      </c>
      <c r="I20" s="63">
        <f>IFERROR(H20/COUNTA(Candidatures!$A$5:$A$5000),0)</f>
        <v/>
      </c>
      <c r="J20" s="64">
        <f>H20</f>
        <v/>
      </c>
    </row>
    <row r="21">
      <c r="B21" s="61">
        <f>INDEX(StatutListe,8)</f>
        <v/>
      </c>
      <c r="C21" s="62">
        <f>COUNTIF(Candidatures!$D$5:$D$5000,$B21)</f>
        <v/>
      </c>
      <c r="D21" s="63">
        <f>IFERROR(C21/COUNTA(Candidatures!$A$5:$A$5000),0)</f>
        <v/>
      </c>
      <c r="E21" s="64">
        <f>C21</f>
        <v/>
      </c>
      <c r="G21" s="61">
        <f>INDEX(Postes,8)</f>
        <v/>
      </c>
      <c r="H21" s="62">
        <f>COUNTIF(Candidatures!$K$5:$K$5000,$G21)</f>
        <v/>
      </c>
      <c r="I21" s="63">
        <f>IFERROR(H21/COUNTA(Candidatures!$A$5:$A$5000),0)</f>
        <v/>
      </c>
      <c r="J21" s="64">
        <f>H21</f>
        <v/>
      </c>
    </row>
    <row r="22">
      <c r="B22" s="61">
        <f>INDEX(StatutListe,9)</f>
        <v/>
      </c>
      <c r="C22" s="62">
        <f>COUNTIF(Candidatures!$D$5:$D$5000,$B22)</f>
        <v/>
      </c>
      <c r="D22" s="63">
        <f>IFERROR(C22/COUNTA(Candidatures!$A$5:$A$5000),0)</f>
        <v/>
      </c>
      <c r="E22" s="64">
        <f>C22</f>
        <v/>
      </c>
      <c r="G22" s="61">
        <f>INDEX(Postes,9)</f>
        <v/>
      </c>
      <c r="H22" s="62">
        <f>COUNTIF(Candidatures!$K$5:$K$5000,$G22)</f>
        <v/>
      </c>
      <c r="I22" s="63">
        <f>IFERROR(H22/COUNTA(Candidatures!$A$5:$A$5000),0)</f>
        <v/>
      </c>
      <c r="J22" s="64">
        <f>H22</f>
        <v/>
      </c>
    </row>
    <row r="23">
      <c r="B23" s="61">
        <f>INDEX(StatutListe,10)</f>
        <v/>
      </c>
      <c r="C23" s="62">
        <f>COUNTIF(Candidatures!$D$5:$D$5000,$B23)</f>
        <v/>
      </c>
      <c r="D23" s="63">
        <f>IFERROR(C23/COUNTA(Candidatures!$A$5:$A$5000),0)</f>
        <v/>
      </c>
      <c r="E23" s="64">
        <f>C23</f>
        <v/>
      </c>
      <c r="G23" s="61">
        <f>INDEX(Postes,10)</f>
        <v/>
      </c>
      <c r="H23" s="62">
        <f>COUNTIF(Candidatures!$K$5:$K$5000,$G23)</f>
        <v/>
      </c>
      <c r="I23" s="63">
        <f>IFERROR(H23/COUNTA(Candidatures!$A$5:$A$5000),0)</f>
        <v/>
      </c>
      <c r="J23" s="64">
        <f>H23</f>
        <v/>
      </c>
    </row>
    <row r="25" ht="20" customHeight="1">
      <c r="B25" s="58" t="inlineStr">
        <is>
          <t>RÉPARTITION PAR SOURCE</t>
        </is>
      </c>
      <c r="G25" s="58" t="inlineStr">
        <is>
          <t>RÉPARTITION PAR RESPONSABLE</t>
        </is>
      </c>
    </row>
    <row r="26">
      <c r="B26" s="59" t="inlineStr">
        <is>
          <t>Libellé</t>
        </is>
      </c>
      <c r="C26" s="60" t="inlineStr">
        <is>
          <t>Nb</t>
        </is>
      </c>
      <c r="D26" s="60" t="inlineStr">
        <is>
          <t>Part</t>
        </is>
      </c>
      <c r="E26" s="60" t="inlineStr"/>
      <c r="G26" s="59" t="inlineStr">
        <is>
          <t>Libellé</t>
        </is>
      </c>
      <c r="H26" s="60" t="inlineStr">
        <is>
          <t>Nb</t>
        </is>
      </c>
      <c r="I26" s="60" t="inlineStr">
        <is>
          <t>Part</t>
        </is>
      </c>
      <c r="J26" s="60" t="inlineStr"/>
    </row>
    <row r="27">
      <c r="B27" s="61">
        <f>INDEX(Sources,1)</f>
        <v/>
      </c>
      <c r="C27" s="62">
        <f>COUNTIF(Candidatures!$L$5:$L$5000,$B27)</f>
        <v/>
      </c>
      <c r="D27" s="63">
        <f>IFERROR(C27/COUNTA(Candidatures!$A$5:$A$5000),0)</f>
        <v/>
      </c>
      <c r="E27" s="64">
        <f>C27</f>
        <v/>
      </c>
      <c r="G27" s="61">
        <f>INDEX(Responsables,1)</f>
        <v/>
      </c>
      <c r="H27" s="62">
        <f>COUNTIF(Candidatures!$R$5:$R$5000,$G27)</f>
        <v/>
      </c>
      <c r="I27" s="63">
        <f>IFERROR(H27/COUNTA(Candidatures!$A$5:$A$5000),0)</f>
        <v/>
      </c>
      <c r="J27" s="64">
        <f>H27</f>
        <v/>
      </c>
    </row>
    <row r="28">
      <c r="B28" s="61">
        <f>INDEX(Sources,2)</f>
        <v/>
      </c>
      <c r="C28" s="62">
        <f>COUNTIF(Candidatures!$L$5:$L$5000,$B28)</f>
        <v/>
      </c>
      <c r="D28" s="63">
        <f>IFERROR(C28/COUNTA(Candidatures!$A$5:$A$5000),0)</f>
        <v/>
      </c>
      <c r="E28" s="64">
        <f>C28</f>
        <v/>
      </c>
      <c r="G28" s="61">
        <f>INDEX(Responsables,2)</f>
        <v/>
      </c>
      <c r="H28" s="62">
        <f>COUNTIF(Candidatures!$R$5:$R$5000,$G28)</f>
        <v/>
      </c>
      <c r="I28" s="63">
        <f>IFERROR(H28/COUNTA(Candidatures!$A$5:$A$5000),0)</f>
        <v/>
      </c>
      <c r="J28" s="64">
        <f>H28</f>
        <v/>
      </c>
    </row>
    <row r="29">
      <c r="B29" s="61">
        <f>INDEX(Sources,3)</f>
        <v/>
      </c>
      <c r="C29" s="62">
        <f>COUNTIF(Candidatures!$L$5:$L$5000,$B29)</f>
        <v/>
      </c>
      <c r="D29" s="63">
        <f>IFERROR(C29/COUNTA(Candidatures!$A$5:$A$5000),0)</f>
        <v/>
      </c>
      <c r="E29" s="64">
        <f>C29</f>
        <v/>
      </c>
      <c r="G29" s="61">
        <f>INDEX(Responsables,3)</f>
        <v/>
      </c>
      <c r="H29" s="62">
        <f>COUNTIF(Candidatures!$R$5:$R$5000,$G29)</f>
        <v/>
      </c>
      <c r="I29" s="63">
        <f>IFERROR(H29/COUNTA(Candidatures!$A$5:$A$5000),0)</f>
        <v/>
      </c>
      <c r="J29" s="64">
        <f>H29</f>
        <v/>
      </c>
    </row>
    <row r="30">
      <c r="B30" s="61">
        <f>INDEX(Sources,4)</f>
        <v/>
      </c>
      <c r="C30" s="62">
        <f>COUNTIF(Candidatures!$L$5:$L$5000,$B30)</f>
        <v/>
      </c>
      <c r="D30" s="63">
        <f>IFERROR(C30/COUNTA(Candidatures!$A$5:$A$5000),0)</f>
        <v/>
      </c>
      <c r="E30" s="64">
        <f>C30</f>
        <v/>
      </c>
      <c r="G30" s="61">
        <f>INDEX(Responsables,4)</f>
        <v/>
      </c>
      <c r="H30" s="62">
        <f>COUNTIF(Candidatures!$R$5:$R$5000,$G30)</f>
        <v/>
      </c>
      <c r="I30" s="63">
        <f>IFERROR(H30/COUNTA(Candidatures!$A$5:$A$5000),0)</f>
        <v/>
      </c>
      <c r="J30" s="64">
        <f>H30</f>
        <v/>
      </c>
    </row>
    <row r="31">
      <c r="B31" s="61">
        <f>INDEX(Sources,5)</f>
        <v/>
      </c>
      <c r="C31" s="62">
        <f>COUNTIF(Candidatures!$L$5:$L$5000,$B31)</f>
        <v/>
      </c>
      <c r="D31" s="63">
        <f>IFERROR(C31/COUNTA(Candidatures!$A$5:$A$5000),0)</f>
        <v/>
      </c>
      <c r="E31" s="64">
        <f>C31</f>
        <v/>
      </c>
      <c r="G31" s="61">
        <f>INDEX(Responsables,5)</f>
        <v/>
      </c>
      <c r="H31" s="62">
        <f>COUNTIF(Candidatures!$R$5:$R$5000,$G31)</f>
        <v/>
      </c>
      <c r="I31" s="63">
        <f>IFERROR(H31/COUNTA(Candidatures!$A$5:$A$5000),0)</f>
        <v/>
      </c>
      <c r="J31" s="64">
        <f>H31</f>
        <v/>
      </c>
    </row>
    <row r="32">
      <c r="B32" s="61">
        <f>INDEX(Sources,6)</f>
        <v/>
      </c>
      <c r="C32" s="62">
        <f>COUNTIF(Candidatures!$L$5:$L$5000,$B32)</f>
        <v/>
      </c>
      <c r="D32" s="63">
        <f>IFERROR(C32/COUNTA(Candidatures!$A$5:$A$5000),0)</f>
        <v/>
      </c>
      <c r="E32" s="64">
        <f>C32</f>
        <v/>
      </c>
      <c r="G32" s="61">
        <f>INDEX(Responsables,6)</f>
        <v/>
      </c>
      <c r="H32" s="62">
        <f>COUNTIF(Candidatures!$R$5:$R$5000,$G32)</f>
        <v/>
      </c>
      <c r="I32" s="63">
        <f>IFERROR(H32/COUNTA(Candidatures!$A$5:$A$5000),0)</f>
        <v/>
      </c>
      <c r="J32" s="64">
        <f>H32</f>
        <v/>
      </c>
    </row>
    <row r="33">
      <c r="B33" s="61">
        <f>INDEX(Sources,7)</f>
        <v/>
      </c>
      <c r="C33" s="62">
        <f>COUNTIF(Candidatures!$L$5:$L$5000,$B33)</f>
        <v/>
      </c>
      <c r="D33" s="63">
        <f>IFERROR(C33/COUNTA(Candidatures!$A$5:$A$5000),0)</f>
        <v/>
      </c>
      <c r="E33" s="64">
        <f>C33</f>
        <v/>
      </c>
    </row>
    <row r="34">
      <c r="B34" s="61">
        <f>INDEX(Sources,8)</f>
        <v/>
      </c>
      <c r="C34" s="62">
        <f>COUNTIF(Candidatures!$L$5:$L$5000,$B34)</f>
        <v/>
      </c>
      <c r="D34" s="63">
        <f>IFERROR(C34/COUNTA(Candidatures!$A$5:$A$5000),0)</f>
        <v/>
      </c>
      <c r="E34" s="64">
        <f>C34</f>
        <v/>
      </c>
    </row>
    <row r="35">
      <c r="B35" s="61">
        <f>INDEX(Sources,9)</f>
        <v/>
      </c>
      <c r="C35" s="62">
        <f>COUNTIF(Candidatures!$L$5:$L$5000,$B35)</f>
        <v/>
      </c>
      <c r="D35" s="63">
        <f>IFERROR(C35/COUNTA(Candidatures!$A$5:$A$5000),0)</f>
        <v/>
      </c>
      <c r="E35" s="64">
        <f>C35</f>
        <v/>
      </c>
    </row>
    <row r="36">
      <c r="B36" s="61">
        <f>INDEX(Sources,10)</f>
        <v/>
      </c>
      <c r="C36" s="62">
        <f>COUNTIF(Candidatures!$L$5:$L$5000,$B36)</f>
        <v/>
      </c>
      <c r="D36" s="63">
        <f>IFERROR(C36/COUNTA(Candidatures!$A$5:$A$5000),0)</f>
        <v/>
      </c>
      <c r="E36" s="64">
        <f>C36</f>
        <v/>
      </c>
    </row>
    <row r="38" ht="20" customHeight="1">
      <c r="B38" s="58" t="inlineStr">
        <is>
          <t>FLUX DES CANDIDATURES — 12 DERNIERS MOIS</t>
        </is>
      </c>
    </row>
    <row r="39">
      <c r="B39" s="65">
        <f>EDATE(DATE(YEAR(Aujourdhui),MONTH(Aujourdhui),1),-11)</f>
        <v/>
      </c>
      <c r="C39" s="62">
        <f>COUNTIFS(Candidatures!$G$5:$G$5000,"&gt;="&amp;$B39,Candidatures!$G$5:$G$5000,"&lt;"&amp;EDATE($B39,1))</f>
        <v/>
      </c>
      <c r="D39" s="64">
        <f>$C39</f>
        <v/>
      </c>
      <c r="E39" s="66" t="n"/>
      <c r="F39" s="66" t="n"/>
      <c r="G39" s="66" t="n"/>
      <c r="H39" s="66" t="n"/>
      <c r="I39" s="66" t="n"/>
      <c r="J39" s="67" t="n"/>
    </row>
    <row r="40">
      <c r="B40" s="65">
        <f>EDATE(DATE(YEAR(Aujourdhui),MONTH(Aujourdhui),1),-10)</f>
        <v/>
      </c>
      <c r="C40" s="62">
        <f>COUNTIFS(Candidatures!$G$5:$G$5000,"&gt;="&amp;$B40,Candidatures!$G$5:$G$5000,"&lt;"&amp;EDATE($B40,1))</f>
        <v/>
      </c>
      <c r="D40" s="64">
        <f>$C40</f>
        <v/>
      </c>
      <c r="E40" s="66" t="n"/>
      <c r="F40" s="66" t="n"/>
      <c r="G40" s="66" t="n"/>
      <c r="H40" s="66" t="n"/>
      <c r="I40" s="66" t="n"/>
      <c r="J40" s="67" t="n"/>
    </row>
    <row r="41">
      <c r="B41" s="65">
        <f>EDATE(DATE(YEAR(Aujourdhui),MONTH(Aujourdhui),1),-9)</f>
        <v/>
      </c>
      <c r="C41" s="62">
        <f>COUNTIFS(Candidatures!$G$5:$G$5000,"&gt;="&amp;$B41,Candidatures!$G$5:$G$5000,"&lt;"&amp;EDATE($B41,1))</f>
        <v/>
      </c>
      <c r="D41" s="64">
        <f>$C41</f>
        <v/>
      </c>
      <c r="E41" s="66" t="n"/>
      <c r="F41" s="66" t="n"/>
      <c r="G41" s="66" t="n"/>
      <c r="H41" s="66" t="n"/>
      <c r="I41" s="66" t="n"/>
      <c r="J41" s="67" t="n"/>
    </row>
    <row r="42">
      <c r="B42" s="65">
        <f>EDATE(DATE(YEAR(Aujourdhui),MONTH(Aujourdhui),1),-8)</f>
        <v/>
      </c>
      <c r="C42" s="62">
        <f>COUNTIFS(Candidatures!$G$5:$G$5000,"&gt;="&amp;$B42,Candidatures!$G$5:$G$5000,"&lt;"&amp;EDATE($B42,1))</f>
        <v/>
      </c>
      <c r="D42" s="64">
        <f>$C42</f>
        <v/>
      </c>
      <c r="E42" s="66" t="n"/>
      <c r="F42" s="66" t="n"/>
      <c r="G42" s="66" t="n"/>
      <c r="H42" s="66" t="n"/>
      <c r="I42" s="66" t="n"/>
      <c r="J42" s="67" t="n"/>
    </row>
    <row r="43">
      <c r="B43" s="65">
        <f>EDATE(DATE(YEAR(Aujourdhui),MONTH(Aujourdhui),1),-7)</f>
        <v/>
      </c>
      <c r="C43" s="62">
        <f>COUNTIFS(Candidatures!$G$5:$G$5000,"&gt;="&amp;$B43,Candidatures!$G$5:$G$5000,"&lt;"&amp;EDATE($B43,1))</f>
        <v/>
      </c>
      <c r="D43" s="64">
        <f>$C43</f>
        <v/>
      </c>
      <c r="E43" s="66" t="n"/>
      <c r="F43" s="66" t="n"/>
      <c r="G43" s="66" t="n"/>
      <c r="H43" s="66" t="n"/>
      <c r="I43" s="66" t="n"/>
      <c r="J43" s="67" t="n"/>
    </row>
    <row r="44">
      <c r="B44" s="65">
        <f>EDATE(DATE(YEAR(Aujourdhui),MONTH(Aujourdhui),1),-6)</f>
        <v/>
      </c>
      <c r="C44" s="62">
        <f>COUNTIFS(Candidatures!$G$5:$G$5000,"&gt;="&amp;$B44,Candidatures!$G$5:$G$5000,"&lt;"&amp;EDATE($B44,1))</f>
        <v/>
      </c>
      <c r="D44" s="64">
        <f>$C44</f>
        <v/>
      </c>
      <c r="E44" s="66" t="n"/>
      <c r="F44" s="66" t="n"/>
      <c r="G44" s="66" t="n"/>
      <c r="H44" s="66" t="n"/>
      <c r="I44" s="66" t="n"/>
      <c r="J44" s="67" t="n"/>
    </row>
    <row r="45">
      <c r="B45" s="65">
        <f>EDATE(DATE(YEAR(Aujourdhui),MONTH(Aujourdhui),1),-5)</f>
        <v/>
      </c>
      <c r="C45" s="62">
        <f>COUNTIFS(Candidatures!$G$5:$G$5000,"&gt;="&amp;$B45,Candidatures!$G$5:$G$5000,"&lt;"&amp;EDATE($B45,1))</f>
        <v/>
      </c>
      <c r="D45" s="64">
        <f>$C45</f>
        <v/>
      </c>
      <c r="E45" s="66" t="n"/>
      <c r="F45" s="66" t="n"/>
      <c r="G45" s="66" t="n"/>
      <c r="H45" s="66" t="n"/>
      <c r="I45" s="66" t="n"/>
      <c r="J45" s="67" t="n"/>
    </row>
    <row r="46">
      <c r="B46" s="65">
        <f>EDATE(DATE(YEAR(Aujourdhui),MONTH(Aujourdhui),1),-4)</f>
        <v/>
      </c>
      <c r="C46" s="62">
        <f>COUNTIFS(Candidatures!$G$5:$G$5000,"&gt;="&amp;$B46,Candidatures!$G$5:$G$5000,"&lt;"&amp;EDATE($B46,1))</f>
        <v/>
      </c>
      <c r="D46" s="64">
        <f>$C46</f>
        <v/>
      </c>
      <c r="E46" s="66" t="n"/>
      <c r="F46" s="66" t="n"/>
      <c r="G46" s="66" t="n"/>
      <c r="H46" s="66" t="n"/>
      <c r="I46" s="66" t="n"/>
      <c r="J46" s="67" t="n"/>
    </row>
    <row r="47">
      <c r="B47" s="65">
        <f>EDATE(DATE(YEAR(Aujourdhui),MONTH(Aujourdhui),1),-3)</f>
        <v/>
      </c>
      <c r="C47" s="62">
        <f>COUNTIFS(Candidatures!$G$5:$G$5000,"&gt;="&amp;$B47,Candidatures!$G$5:$G$5000,"&lt;"&amp;EDATE($B47,1))</f>
        <v/>
      </c>
      <c r="D47" s="64">
        <f>$C47</f>
        <v/>
      </c>
      <c r="E47" s="66" t="n"/>
      <c r="F47" s="66" t="n"/>
      <c r="G47" s="66" t="n"/>
      <c r="H47" s="66" t="n"/>
      <c r="I47" s="66" t="n"/>
      <c r="J47" s="67" t="n"/>
    </row>
    <row r="48">
      <c r="B48" s="65">
        <f>EDATE(DATE(YEAR(Aujourdhui),MONTH(Aujourdhui),1),-2)</f>
        <v/>
      </c>
      <c r="C48" s="62">
        <f>COUNTIFS(Candidatures!$G$5:$G$5000,"&gt;="&amp;$B48,Candidatures!$G$5:$G$5000,"&lt;"&amp;EDATE($B48,1))</f>
        <v/>
      </c>
      <c r="D48" s="64">
        <f>$C48</f>
        <v/>
      </c>
      <c r="E48" s="66" t="n"/>
      <c r="F48" s="66" t="n"/>
      <c r="G48" s="66" t="n"/>
      <c r="H48" s="66" t="n"/>
      <c r="I48" s="66" t="n"/>
      <c r="J48" s="67" t="n"/>
    </row>
    <row r="49">
      <c r="B49" s="65">
        <f>EDATE(DATE(YEAR(Aujourdhui),MONTH(Aujourdhui),1),-1)</f>
        <v/>
      </c>
      <c r="C49" s="62">
        <f>COUNTIFS(Candidatures!$G$5:$G$5000,"&gt;="&amp;$B49,Candidatures!$G$5:$G$5000,"&lt;"&amp;EDATE($B49,1))</f>
        <v/>
      </c>
      <c r="D49" s="64">
        <f>$C49</f>
        <v/>
      </c>
      <c r="E49" s="66" t="n"/>
      <c r="F49" s="66" t="n"/>
      <c r="G49" s="66" t="n"/>
      <c r="H49" s="66" t="n"/>
      <c r="I49" s="66" t="n"/>
      <c r="J49" s="67" t="n"/>
    </row>
    <row r="50">
      <c r="B50" s="65">
        <f>EDATE(DATE(YEAR(Aujourdhui),MONTH(Aujourdhui),1),0)</f>
        <v/>
      </c>
      <c r="C50" s="62">
        <f>COUNTIFS(Candidatures!$G$5:$G$5000,"&gt;="&amp;$B50,Candidatures!$G$5:$G$5000,"&lt;"&amp;EDATE($B50,1))</f>
        <v/>
      </c>
      <c r="D50" s="64">
        <f>$C50</f>
        <v/>
      </c>
      <c r="E50" s="66" t="n"/>
      <c r="F50" s="66" t="n"/>
      <c r="G50" s="66" t="n"/>
      <c r="H50" s="66" t="n"/>
      <c r="I50" s="66" t="n"/>
      <c r="J50" s="67" t="n"/>
    </row>
    <row r="52">
      <c r="B52" s="68" t="inlineStr">
        <is>
          <t>Périmètre de calcul : lignes 5 à 5000 de l'onglet Candidatures. Les libellés proviennent des listes de l'onglet Paramètres : renommer une valeur met automatiquement à jour ce tableau.</t>
        </is>
      </c>
    </row>
    <row r="53">
      <c r="B53" s="68" t="inlineStr">
        <is>
          <t>Durée de conservation des candidatures non retenues : paramétrable dans l'onglet Paramètres — recommandation CNIL : 2 ans à compter du dernier contact.</t>
        </is>
      </c>
    </row>
  </sheetData>
  <mergeCells count="40">
    <mergeCell ref="J5:K5"/>
    <mergeCell ref="D39:J39"/>
    <mergeCell ref="F6:G6"/>
    <mergeCell ref="D42:J42"/>
    <mergeCell ref="G25:J25"/>
    <mergeCell ref="H9:I9"/>
    <mergeCell ref="B38:J38"/>
    <mergeCell ref="J9:K9"/>
    <mergeCell ref="D6:E6"/>
    <mergeCell ref="A2:L2"/>
    <mergeCell ref="H6:I6"/>
    <mergeCell ref="D50:J50"/>
    <mergeCell ref="B4:K4"/>
    <mergeCell ref="J6:K6"/>
    <mergeCell ref="D44:J44"/>
    <mergeCell ref="F5:G5"/>
    <mergeCell ref="G12:J12"/>
    <mergeCell ref="B25:E25"/>
    <mergeCell ref="B8:C8"/>
    <mergeCell ref="F8:G8"/>
    <mergeCell ref="D46:J46"/>
    <mergeCell ref="D40:J40"/>
    <mergeCell ref="B12:E12"/>
    <mergeCell ref="D45:J45"/>
    <mergeCell ref="B9:C9"/>
    <mergeCell ref="D9:E9"/>
    <mergeCell ref="D49:J49"/>
    <mergeCell ref="F9:G9"/>
    <mergeCell ref="D8:E8"/>
    <mergeCell ref="B6:C6"/>
    <mergeCell ref="D41:J41"/>
    <mergeCell ref="D48:J48"/>
    <mergeCell ref="B5:C5"/>
    <mergeCell ref="A1:L1"/>
    <mergeCell ref="D5:E5"/>
    <mergeCell ref="D47:J47"/>
    <mergeCell ref="H5:I5"/>
    <mergeCell ref="H8:I8"/>
    <mergeCell ref="J8:K8"/>
    <mergeCell ref="D43:J43"/>
  </mergeCells>
  <conditionalFormatting sqref="E14:E23">
    <cfRule type="dataBar" priority="1">
      <dataBar showValue="0">
        <cfvo type="num" val="0"/>
        <cfvo type="max"/>
        <color rgb="0012355B"/>
      </dataBar>
    </cfRule>
  </conditionalFormatting>
  <conditionalFormatting sqref="J14:J23">
    <cfRule type="dataBar" priority="2">
      <dataBar showValue="0">
        <cfvo type="num" val="0"/>
        <cfvo type="max"/>
        <color rgb="0012355B"/>
      </dataBar>
    </cfRule>
  </conditionalFormatting>
  <conditionalFormatting sqref="E27:E36">
    <cfRule type="dataBar" priority="3">
      <dataBar showValue="0">
        <cfvo type="num" val="0"/>
        <cfvo type="max"/>
        <color rgb="0012355B"/>
      </dataBar>
    </cfRule>
  </conditionalFormatting>
  <conditionalFormatting sqref="J27:J32">
    <cfRule type="dataBar" priority="4">
      <dataBar showValue="0">
        <cfvo type="num" val="0"/>
        <cfvo type="max"/>
        <color rgb="0012355B"/>
      </dataBar>
    </cfRule>
  </conditionalFormatting>
  <conditionalFormatting sqref="D39:D50">
    <cfRule type="dataBar" priority="5">
      <dataBar showValue="0">
        <cfvo type="num" val="0"/>
        <cfvo type="max"/>
        <color rgb="002C5F8A"/>
      </dataBar>
    </cfRule>
  </conditionalFormatting>
  <pageMargins left="0.75" right="0.75" top="1" bottom="1" header="0.5" footer="0.5"/>
</worksheet>
</file>

<file path=xl/worksheets/sheet5.xml><?xml version="1.0" encoding="utf-8"?>
<worksheet xmlns="http://schemas.openxmlformats.org/spreadsheetml/2006/main">
  <sheetPr>
    <tabColor rgb="005A6B7B"/>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18" customWidth="1" min="1" max="1"/>
    <col width="18" customWidth="1" min="2" max="2"/>
    <col width="14" customWidth="1" min="3" max="3"/>
    <col width="24" customWidth="1" min="4" max="4"/>
    <col width="26" customWidth="1" min="5" max="5"/>
    <col width="60" customWidth="1" min="6" max="6"/>
    <col width="14" customWidth="1" min="7" max="7"/>
  </cols>
  <sheetData>
    <row r="1" ht="34" customHeight="1">
      <c r="A1" s="1" t="inlineStr">
        <is>
          <t>JOURNAL DES ACTIONS</t>
        </is>
      </c>
    </row>
    <row r="2" ht="6" customHeight="1">
      <c r="A2" s="2" t="inlineStr">
        <is>
          <t>Rempli automatiquement par les macros (e-mails envoyés, documents générés, imports). Sert de preuve de traitement et de traçabilité RGPD. Ne pas saisir manuellement.</t>
        </is>
      </c>
    </row>
    <row r="3" ht="22" customHeight="1">
      <c r="A3" s="69" t="inlineStr">
        <is>
          <t>Horodatage</t>
        </is>
      </c>
      <c r="B3" s="69" t="inlineStr">
        <is>
          <t>Utilisateur</t>
        </is>
      </c>
      <c r="C3" s="69" t="inlineStr">
        <is>
          <t>ID candidat</t>
        </is>
      </c>
      <c r="D3" s="69" t="inlineStr">
        <is>
          <t>Candidat</t>
        </is>
      </c>
      <c r="E3" s="69" t="inlineStr">
        <is>
          <t>Action</t>
        </is>
      </c>
      <c r="F3" s="69" t="inlineStr">
        <is>
          <t>Détail</t>
        </is>
      </c>
      <c r="G3" s="69" t="inlineStr">
        <is>
          <t>Résultat</t>
        </is>
      </c>
    </row>
    <row r="4">
      <c r="A4" s="70" t="n">
        <v>46281.29166666666</v>
      </c>
      <c r="B4" s="71" t="inlineStr">
        <is>
          <t>Exemple</t>
        </is>
      </c>
      <c r="C4" s="71" t="inlineStr">
        <is>
          <t>EXEMPLE-01</t>
        </is>
      </c>
      <c r="D4" s="71" t="inlineStr">
        <is>
          <t>MARTIN Camille</t>
        </is>
      </c>
      <c r="E4" s="71" t="inlineStr">
        <is>
          <t>Accusé de réception</t>
        </is>
      </c>
      <c r="F4" s="71" t="inlineStr">
        <is>
          <t>E-mail envoyé à camille.martin@exemple.fr</t>
        </is>
      </c>
      <c r="G4" s="71" t="inlineStr">
        <is>
          <t>OK</t>
        </is>
      </c>
    </row>
    <row r="5">
      <c r="A5" s="70" t="n"/>
      <c r="B5" s="71" t="n"/>
      <c r="C5" s="71" t="n"/>
      <c r="D5" s="71" t="n"/>
      <c r="E5" s="71" t="n"/>
      <c r="F5" s="71" t="n"/>
      <c r="G5" s="71" t="n"/>
    </row>
    <row r="6">
      <c r="A6" s="70" t="n"/>
      <c r="B6" s="71" t="n"/>
      <c r="C6" s="71" t="n"/>
      <c r="D6" s="71" t="n"/>
      <c r="E6" s="71" t="n"/>
      <c r="F6" s="71" t="n"/>
      <c r="G6" s="71" t="n"/>
    </row>
    <row r="7">
      <c r="A7" s="70" t="n"/>
      <c r="B7" s="71" t="n"/>
      <c r="C7" s="71" t="n"/>
      <c r="D7" s="71" t="n"/>
      <c r="E7" s="71" t="n"/>
      <c r="F7" s="71" t="n"/>
      <c r="G7" s="71" t="n"/>
    </row>
    <row r="8">
      <c r="A8" s="70" t="n"/>
      <c r="B8" s="71" t="n"/>
      <c r="C8" s="71" t="n"/>
      <c r="D8" s="71" t="n"/>
      <c r="E8" s="71" t="n"/>
      <c r="F8" s="71" t="n"/>
      <c r="G8" s="71" t="n"/>
    </row>
    <row r="9">
      <c r="A9" s="70" t="n"/>
      <c r="B9" s="71" t="n"/>
      <c r="C9" s="71" t="n"/>
      <c r="D9" s="71" t="n"/>
      <c r="E9" s="71" t="n"/>
      <c r="F9" s="71" t="n"/>
      <c r="G9" s="71" t="n"/>
    </row>
    <row r="10">
      <c r="A10" s="70" t="n"/>
      <c r="B10" s="71" t="n"/>
      <c r="C10" s="71" t="n"/>
      <c r="D10" s="71" t="n"/>
      <c r="E10" s="71" t="n"/>
      <c r="F10" s="71" t="n"/>
      <c r="G10" s="71" t="n"/>
    </row>
    <row r="11">
      <c r="A11" s="70" t="n"/>
      <c r="B11" s="71" t="n"/>
      <c r="C11" s="71" t="n"/>
      <c r="D11" s="71" t="n"/>
      <c r="E11" s="71" t="n"/>
      <c r="F11" s="71" t="n"/>
      <c r="G11" s="71" t="n"/>
    </row>
    <row r="12">
      <c r="A12" s="70" t="n"/>
      <c r="B12" s="71" t="n"/>
      <c r="C12" s="71" t="n"/>
      <c r="D12" s="71" t="n"/>
      <c r="E12" s="71" t="n"/>
      <c r="F12" s="71" t="n"/>
      <c r="G12" s="71" t="n"/>
    </row>
    <row r="13">
      <c r="A13" s="70" t="n"/>
      <c r="B13" s="71" t="n"/>
      <c r="C13" s="71" t="n"/>
      <c r="D13" s="71" t="n"/>
      <c r="E13" s="71" t="n"/>
      <c r="F13" s="71" t="n"/>
      <c r="G13" s="71" t="n"/>
    </row>
    <row r="14">
      <c r="A14" s="70" t="n"/>
      <c r="B14" s="71" t="n"/>
      <c r="C14" s="71" t="n"/>
      <c r="D14" s="71" t="n"/>
      <c r="E14" s="71" t="n"/>
      <c r="F14" s="71" t="n"/>
      <c r="G14" s="71" t="n"/>
    </row>
    <row r="15">
      <c r="A15" s="70" t="n"/>
      <c r="B15" s="71" t="n"/>
      <c r="C15" s="71" t="n"/>
      <c r="D15" s="71" t="n"/>
      <c r="E15" s="71" t="n"/>
      <c r="F15" s="71" t="n"/>
      <c r="G15" s="71" t="n"/>
    </row>
    <row r="16">
      <c r="A16" s="70" t="n"/>
      <c r="B16" s="71" t="n"/>
      <c r="C16" s="71" t="n"/>
      <c r="D16" s="71" t="n"/>
      <c r="E16" s="71" t="n"/>
      <c r="F16" s="71" t="n"/>
      <c r="G16" s="71" t="n"/>
    </row>
    <row r="17">
      <c r="A17" s="70" t="n"/>
      <c r="B17" s="71" t="n"/>
      <c r="C17" s="71" t="n"/>
      <c r="D17" s="71" t="n"/>
      <c r="E17" s="71" t="n"/>
      <c r="F17" s="71" t="n"/>
      <c r="G17" s="71" t="n"/>
    </row>
    <row r="18">
      <c r="A18" s="70" t="n"/>
      <c r="B18" s="71" t="n"/>
      <c r="C18" s="71" t="n"/>
      <c r="D18" s="71" t="n"/>
      <c r="E18" s="71" t="n"/>
      <c r="F18" s="71" t="n"/>
      <c r="G18" s="71" t="n"/>
    </row>
    <row r="19">
      <c r="A19" s="70" t="n"/>
      <c r="B19" s="71" t="n"/>
      <c r="C19" s="71" t="n"/>
      <c r="D19" s="71" t="n"/>
      <c r="E19" s="71" t="n"/>
      <c r="F19" s="71" t="n"/>
      <c r="G19" s="71" t="n"/>
    </row>
    <row r="20">
      <c r="A20" s="70" t="n"/>
      <c r="B20" s="71" t="n"/>
      <c r="C20" s="71" t="n"/>
      <c r="D20" s="71" t="n"/>
      <c r="E20" s="71" t="n"/>
      <c r="F20" s="71" t="n"/>
      <c r="G20" s="71" t="n"/>
    </row>
    <row r="21">
      <c r="A21" s="70" t="n"/>
      <c r="B21" s="71" t="n"/>
      <c r="C21" s="71" t="n"/>
      <c r="D21" s="71" t="n"/>
      <c r="E21" s="71" t="n"/>
      <c r="F21" s="71" t="n"/>
      <c r="G21" s="71" t="n"/>
    </row>
    <row r="22">
      <c r="A22" s="70" t="n"/>
      <c r="B22" s="71" t="n"/>
      <c r="C22" s="71" t="n"/>
      <c r="D22" s="71" t="n"/>
      <c r="E22" s="71" t="n"/>
      <c r="F22" s="71" t="n"/>
      <c r="G22" s="71" t="n"/>
    </row>
    <row r="23">
      <c r="A23" s="70" t="n"/>
      <c r="B23" s="71" t="n"/>
      <c r="C23" s="71" t="n"/>
      <c r="D23" s="71" t="n"/>
      <c r="E23" s="71" t="n"/>
      <c r="F23" s="71" t="n"/>
      <c r="G23" s="71" t="n"/>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B8912A"/>
    <outlinePr summaryBelow="1" summaryRight="1"/>
    <pageSetUpPr/>
  </sheetPr>
  <dimension ref="A1:E35"/>
  <sheetViews>
    <sheetView showGridLines="0" workbookViewId="0">
      <selection activeCell="A1" sqref="A1"/>
    </sheetView>
  </sheetViews>
  <sheetFormatPr baseColWidth="8" defaultRowHeight="15"/>
  <cols>
    <col width="20" customWidth="1" min="1" max="1"/>
    <col width="26" customWidth="1" min="2" max="2"/>
    <col width="46" customWidth="1" min="3" max="3"/>
    <col width="100" customWidth="1" min="4" max="4"/>
    <col width="30" customWidth="1" min="5" max="5"/>
  </cols>
  <sheetData>
    <row r="1" ht="34" customHeight="1">
      <c r="A1" s="1" t="inlineStr">
        <is>
          <t>MODÈLES D'E-MAILS</t>
        </is>
      </c>
    </row>
    <row r="2" ht="6" customHeight="1">
      <c r="A2" s="2" t="inlineStr">
        <is>
          <t>Textes envoyés par les boutons d'automatisation. Modifiez-les librement : ne touchez pas à la colonne « Clé », utilisée par les macros.</t>
        </is>
      </c>
    </row>
    <row r="3" ht="22" customHeight="1">
      <c r="A3" s="69" t="inlineStr">
        <is>
          <t>Clé</t>
        </is>
      </c>
      <c r="B3" s="69" t="inlineStr">
        <is>
          <t>Libellé du bouton</t>
        </is>
      </c>
      <c r="C3" s="69" t="inlineStr">
        <is>
          <t>Objet de l'e-mail</t>
        </is>
      </c>
      <c r="D3" s="69" t="inlineStr">
        <is>
          <t>Corps du message</t>
        </is>
      </c>
      <c r="E3" s="69" t="inlineStr">
        <is>
          <t>Pièce jointe (chemin complet)</t>
        </is>
      </c>
    </row>
    <row r="4" ht="96" customHeight="1">
      <c r="A4" s="72" t="inlineStr">
        <is>
          <t>ACCUSE_RECEPTION</t>
        </is>
      </c>
      <c r="B4" s="73" t="inlineStr">
        <is>
          <t>Accusé de réception</t>
        </is>
      </c>
      <c r="C4" s="73" t="inlineStr">
        <is>
          <t>Votre candidature au poste de {{POSTE}} — {{CABINET}}</t>
        </is>
      </c>
      <c r="D4" s="74" t="inlineStr">
        <is>
          <t>{{CIVILITE_LONGUE}},
Nous accusons réception de votre candidature au poste de {{POSTE}}, qui nous est parvenue le {{DATE_RECEPTION}}, et vous remercions de l'intérêt que vous portez à notre cabinet.
Votre dossier est en cours d'examen par {{RESPONSABLE}}. Nous reviendrons vers vous dans un délai de trois semaines, que la suite donnée soit favorable ou non.
Nous vous prions d'agréer, {{CIVILITE_LONGUE}}, l'expression de nos salutations distinguées.
Conformément au règlement (UE) 2016/679, les données de votre candidature sont conservées {{DUREE_CONSERVATION}} ans à compter de notre dernier échange, aux seules fins du recrutement. Vous pouvez exercer vos droits d'accès, de rectification et d'effacement à l'adresse {{EMAIL_RH}}.
{{SIGNATURE_BLOC}}</t>
        </is>
      </c>
      <c r="E4" s="73" t="inlineStr"/>
    </row>
    <row r="5" ht="96" customHeight="1">
      <c r="A5" s="72" t="inlineStr">
        <is>
          <t>DEMANDE_PIECES</t>
        </is>
      </c>
      <c r="B5" s="73" t="inlineStr">
        <is>
          <t>Demande de pièces complémentaires</t>
        </is>
      </c>
      <c r="C5" s="73" t="inlineStr">
        <is>
          <t>Votre candidature — pièces complémentaires</t>
        </is>
      </c>
      <c r="D5" s="74" t="inlineStr">
        <is>
          <t>{{CIVILITE_LONGUE}},
Nous avons bien reçu votre candidature au poste de {{POSTE}}. Afin de poursuivre son examen, nous vous remercions de nous transmettre les éléments suivants :
  •  votre curriculum vitae actualisé ;
  •  une lettre de motivation ;
  •  le cas échéant, une copie de votre CAPA ou de votre attestation de réussite ;
  •  vos dates de disponibilité.
Ces pièces peuvent être adressées en réponse au présent message.
Nous vous prions d'agréer, {{CIVILITE_LONGUE}}, l'expression de nos salutations distinguées.
{{SIGNATURE_BLOC}}</t>
        </is>
      </c>
      <c r="E5" s="73" t="inlineStr"/>
    </row>
    <row r="6" ht="96" customHeight="1">
      <c r="A6" s="72" t="inlineStr">
        <is>
          <t>CONVOCATION</t>
        </is>
      </c>
      <c r="B6" s="73" t="inlineStr">
        <is>
          <t>Convocation à un entretien</t>
        </is>
      </c>
      <c r="C6" s="73" t="inlineStr">
        <is>
          <t>Entretien — poste de {{POSTE}} — {{CABINET}}</t>
        </is>
      </c>
      <c r="D6" s="74" t="inlineStr">
        <is>
          <t>{{CIVILITE_LONGUE}},
Votre candidature au poste de {{POSTE}} a retenu notre attention.
Nous vous proposons de nous rencontrer le {{DATE_ENTRETIEN}} à {{HEURE_ENTRETIEN}}.
Modalité : {{TYPE_ENTRETIEN}}
Lieu / lien : {{LIEU_ENTRETIEN}}
Durée prévue : environ {{DUREE_ENTRETIEN}} minutes
Vous serez reçu(e) par {{RESPONSABLE}}.
Nous vous remercions de bien vouloir confirmer votre présence en réponse à ce message. Si ce créneau ne vous convenait pas, n'hésitez pas à nous proposer d'autres disponibilités.
Nous vous prions d'agréer, {{CIVILITE_LONGUE}}, l'expression de nos salutations distinguées.
{{SIGNATURE_BLOC}}</t>
        </is>
      </c>
      <c r="E6" s="73" t="inlineStr"/>
    </row>
    <row r="7" ht="96" customHeight="1">
      <c r="A7" s="72" t="inlineStr">
        <is>
          <t>RELANCE_CANDIDAT</t>
        </is>
      </c>
      <c r="B7" s="73" t="inlineStr">
        <is>
          <t>Relance du candidat</t>
        </is>
      </c>
      <c r="C7" s="73" t="inlineStr">
        <is>
          <t>Votre candidature au poste de {{POSTE}} — relance</t>
        </is>
      </c>
      <c r="D7" s="74" t="inlineStr">
        <is>
          <t>{{CIVILITE_LONGUE}},
Sauf erreur de notre part, notre message du {{DATE_DERNIER_CONTACT}} relatif à votre candidature au poste de {{POSTE}} est resté sans réponse.
Nous restons à votre disposition et vous remercions de nous indiquer si vous souhaitez maintenir votre candidature.
Nous vous prions d'agréer, {{CIVILITE_LONGUE}}, l'expression de nos salutations distinguées.
{{SIGNATURE_BLOC}}</t>
        </is>
      </c>
      <c r="E7" s="73" t="inlineStr"/>
    </row>
    <row r="8" ht="96" customHeight="1">
      <c r="A8" s="72" t="inlineStr">
        <is>
          <t>VIVIER</t>
        </is>
      </c>
      <c r="B8" s="73" t="inlineStr">
        <is>
          <t>Mise en vivier</t>
        </is>
      </c>
      <c r="C8" s="73" t="inlineStr">
        <is>
          <t>Votre candidature — {{CABINET}}</t>
        </is>
      </c>
      <c r="D8" s="74" t="inlineStr">
        <is>
          <t>{{CIVILITE_LONGUE}},
Nous avons étudié avec attention votre candidature au poste de {{POSTE}}.
Si nous ne sommes pas en mesure d'y donner une suite favorable dans l'immédiat, votre profil a retenu notre intérêt. Sous réserve de votre accord, nous conserverons votre dossier afin de vous recontacter dès qu'un poste correspondant se libérera.
Il vous suffit de nous répondre par la négative pour que votre dossier soit supprimé sans délai.
Nous vous prions d'agréer, {{CIVILITE_LONGUE}}, l'expression de nos salutations distinguées.
Conformément au règlement (UE) 2016/679, les données de votre candidature sont conservées {{DUREE_CONSERVATION}} ans à compter de notre dernier échange, aux seules fins du recrutement. Vous pouvez exercer vos droits d'accès, de rectification et d'effacement à l'adresse {{EMAIL_RH}}.
{{SIGNATURE_BLOC}}</t>
        </is>
      </c>
      <c r="E8" s="73" t="inlineStr"/>
    </row>
    <row r="9" ht="96" customHeight="1">
      <c r="A9" s="72" t="inlineStr">
        <is>
          <t>REFUS</t>
        </is>
      </c>
      <c r="B9" s="73" t="inlineStr">
        <is>
          <t>Réponse négative</t>
        </is>
      </c>
      <c r="C9" s="73" t="inlineStr">
        <is>
          <t>Votre candidature au poste de {{POSTE}} — {{CABINET}}</t>
        </is>
      </c>
      <c r="D9" s="74" t="inlineStr">
        <is>
          <t>{{CIVILITE_LONGUE}},
Nous avons étudié avec attention votre candidature au poste de {{POSTE}} et vous remercions de la confiance que vous avez témoignée à notre cabinet.
Nous sommes au regret de ne pouvoir y donner une suite favorable. Cette décision ne remet nullement en cause la qualité de votre parcours ; elle tient à l'adéquation entre votre profil et les besoins actuels du cabinet.
Nous vous souhaitons une pleine réussite dans la suite de votre parcours professionnel et vous prions d'agréer, {{CIVILITE_LONGUE}}, l'expression de nos salutations distinguées.
Conformément au règlement (UE) 2016/679, les données de votre candidature sont conservées {{DUREE_CONSERVATION}} ans à compter de notre dernier échange, aux seules fins du recrutement. Vous pouvez exercer vos droits d'accès, de rectification et d'effacement à l'adresse {{EMAIL_RH}}.
{{SIGNATURE_BLOC}}</t>
        </is>
      </c>
      <c r="E9" s="73" t="inlineStr"/>
    </row>
    <row r="10" ht="96" customHeight="1">
      <c r="A10" s="72" t="inlineStr">
        <is>
          <t>PROPOSITION</t>
        </is>
      </c>
      <c r="B10" s="73" t="inlineStr">
        <is>
          <t>Proposition / suite favorable</t>
        </is>
      </c>
      <c r="C10" s="73" t="inlineStr">
        <is>
          <t>Votre candidature au poste de {{POSTE}} — suite favorable</t>
        </is>
      </c>
      <c r="D10" s="74" t="inlineStr">
        <is>
          <t>{{CIVILITE_LONGUE}},
À l'issue de nos échanges, nous avons le plaisir de vous confirmer notre souhait de vous accueillir au sein du cabinet au poste de {{POSTE}}.
Vous trouverez ci-joint le document reprenant les conditions envisagées. Nous vous remercions de nous faire part de vos observations et de votre date de disponibilité.
Nous restons à votre entière disposition et vous prions d'agréer, {{CIVILITE_LONGUE}}, l'expression de nos salutations distinguées.
{{SIGNATURE_BLOC}}</t>
        </is>
      </c>
      <c r="E10" s="73" t="inlineStr"/>
    </row>
    <row r="12">
      <c r="A12" s="19" t="inlineStr">
        <is>
          <t>BALISES DISPONIBLES — remplacées automatiquement à l'envoi</t>
        </is>
      </c>
    </row>
    <row r="13">
      <c r="A13" s="75" t="inlineStr">
        <is>
          <t>{{CIVILITE}}</t>
        </is>
      </c>
      <c r="B13" s="18" t="inlineStr">
        <is>
          <t>M. / Mme — pour le bloc adresse</t>
        </is>
      </c>
    </row>
    <row r="14">
      <c r="A14" s="75" t="inlineStr">
        <is>
          <t>{{CIVILITE_LONGUE}}</t>
        </is>
      </c>
      <c r="B14" s="18" t="inlineStr">
        <is>
          <t>Madame / Monsieur — pour l'appel et la formule de politesse</t>
        </is>
      </c>
    </row>
    <row r="15">
      <c r="A15" s="75" t="inlineStr">
        <is>
          <t>{{NOM}}</t>
        </is>
      </c>
      <c r="B15" s="18" t="inlineStr">
        <is>
          <t>Nom du candidat</t>
        </is>
      </c>
    </row>
    <row r="16">
      <c r="A16" s="75" t="inlineStr">
        <is>
          <t>{{PRENOM}}</t>
        </is>
      </c>
      <c r="B16" s="18" t="inlineStr">
        <is>
          <t>Prénom</t>
        </is>
      </c>
    </row>
    <row r="17">
      <c r="A17" s="75" t="inlineStr">
        <is>
          <t>{{POSTE}}</t>
        </is>
      </c>
      <c r="B17" s="18" t="inlineStr">
        <is>
          <t>Poste visé</t>
        </is>
      </c>
    </row>
    <row r="18">
      <c r="A18" s="75" t="inlineStr">
        <is>
          <t>{{ID}}</t>
        </is>
      </c>
      <c r="B18" s="18" t="inlineStr">
        <is>
          <t>Identifiant de la candidature</t>
        </is>
      </c>
    </row>
    <row r="19">
      <c r="A19" s="75" t="inlineStr">
        <is>
          <t>{{DATE_RECEPTION}}</t>
        </is>
      </c>
      <c r="B19" s="18" t="inlineStr">
        <is>
          <t>Date de réception de la candidature</t>
        </is>
      </c>
    </row>
    <row r="20">
      <c r="A20" s="75" t="inlineStr">
        <is>
          <t>{{DATE_DERNIER_CONTACT}}</t>
        </is>
      </c>
      <c r="B20" s="18" t="inlineStr">
        <is>
          <t>Date du dernier contact</t>
        </is>
      </c>
    </row>
    <row r="21">
      <c r="A21" s="75" t="inlineStr">
        <is>
          <t>{{DATE_ENTRETIEN}}</t>
        </is>
      </c>
      <c r="B21" s="18" t="inlineStr">
        <is>
          <t>Date de l'entretien (jj/mm/aaaa)</t>
        </is>
      </c>
    </row>
    <row r="22">
      <c r="A22" s="75" t="inlineStr">
        <is>
          <t>{{HEURE_ENTRETIEN}}</t>
        </is>
      </c>
      <c r="B22" s="18" t="inlineStr">
        <is>
          <t>Heure de l'entretien</t>
        </is>
      </c>
    </row>
    <row r="23">
      <c r="A23" s="75" t="inlineStr">
        <is>
          <t>{{DUREE_ENTRETIEN}}</t>
        </is>
      </c>
      <c r="B23" s="18" t="inlineStr">
        <is>
          <t>Durée en minutes</t>
        </is>
      </c>
    </row>
    <row r="24">
      <c r="A24" s="75" t="inlineStr">
        <is>
          <t>{{TYPE_ENTRETIEN}}</t>
        </is>
      </c>
      <c r="B24" s="18" t="inlineStr">
        <is>
          <t>Au cabinet / visio / téléphone</t>
        </is>
      </c>
    </row>
    <row r="25">
      <c r="A25" s="75" t="inlineStr">
        <is>
          <t>{{LIEU_ENTRETIEN}}</t>
        </is>
      </c>
      <c r="B25" s="18" t="inlineStr">
        <is>
          <t>Adresse ou lien de connexion</t>
        </is>
      </c>
    </row>
    <row r="26">
      <c r="A26" s="75" t="inlineStr">
        <is>
          <t>{{RESPONSABLE}}</t>
        </is>
      </c>
      <c r="B26" s="18" t="inlineStr">
        <is>
          <t>Responsable du dossier</t>
        </is>
      </c>
    </row>
    <row r="27">
      <c r="A27" s="75" t="inlineStr">
        <is>
          <t>{{CABINET}}</t>
        </is>
      </c>
      <c r="B27" s="18" t="inlineStr">
        <is>
          <t>Nom du cabinet (Paramètres)</t>
        </is>
      </c>
    </row>
    <row r="28">
      <c r="A28" s="75" t="inlineStr">
        <is>
          <t>{{ADRESSE}}</t>
        </is>
      </c>
      <c r="B28" s="18" t="inlineStr">
        <is>
          <t>Adresse du cabinet</t>
        </is>
      </c>
    </row>
    <row r="29">
      <c r="A29" s="75" t="inlineStr">
        <is>
          <t>{{TELEPHONE}}</t>
        </is>
      </c>
      <c r="B29" s="18" t="inlineStr">
        <is>
          <t>Téléphone du cabinet</t>
        </is>
      </c>
    </row>
    <row r="30">
      <c r="A30" s="75" t="inlineStr">
        <is>
          <t>{{EMAIL_RH}}</t>
        </is>
      </c>
      <c r="B30" s="18" t="inlineStr">
        <is>
          <t>E-mail de recrutement</t>
        </is>
      </c>
    </row>
    <row r="31">
      <c r="A31" s="75" t="inlineStr">
        <is>
          <t>{{SITE}}</t>
        </is>
      </c>
      <c r="B31" s="18" t="inlineStr">
        <is>
          <t>Site internet</t>
        </is>
      </c>
    </row>
    <row r="32">
      <c r="A32" s="75" t="inlineStr">
        <is>
          <t>{{SIGNATAIRE}}</t>
        </is>
      </c>
      <c r="B32" s="18" t="inlineStr">
        <is>
          <t>Nom du signataire</t>
        </is>
      </c>
    </row>
    <row r="33">
      <c r="A33" s="75" t="inlineStr">
        <is>
          <t>{{FONCTION}}</t>
        </is>
      </c>
      <c r="B33" s="18" t="inlineStr">
        <is>
          <t>Fonction</t>
        </is>
      </c>
    </row>
    <row r="34">
      <c r="A34" s="75" t="inlineStr">
        <is>
          <t>{{SIGNATURE_BLOC}}</t>
        </is>
      </c>
      <c r="B34" s="18" t="inlineStr">
        <is>
          <t>Bloc de signature complet, construit depuis Paramètres (laissez « Signature e-mail » vide pour utiliser celle d'Outlook)</t>
        </is>
      </c>
    </row>
    <row r="35">
      <c r="A35" s="75" t="inlineStr">
        <is>
          <t>{{DUREE_CONSERVATION}}</t>
        </is>
      </c>
      <c r="B35" s="18" t="inlineStr">
        <is>
          <t>Durée de conservation RGPD, en années</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5A6B7B"/>
    <outlinePr summaryBelow="1" summaryRight="1"/>
    <pageSetUpPr/>
  </sheetPr>
  <dimension ref="A1:P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11" customWidth="1" min="2" max="2"/>
    <col width="12" customWidth="1" min="3" max="3"/>
    <col width="13" customWidth="1" min="4" max="4"/>
    <col width="13" customWidth="1" min="5" max="5"/>
    <col width="11" customWidth="1" min="6" max="6"/>
    <col width="18" customWidth="1" min="7" max="7"/>
    <col width="11" customWidth="1" min="8" max="8"/>
    <col width="15" customWidth="1" min="9" max="9"/>
    <col width="21" customWidth="1" min="10" max="10"/>
    <col width="24" customWidth="1" min="11" max="11"/>
    <col width="11" customWidth="1" min="12" max="12"/>
    <col width="16" customWidth="1" min="13" max="13"/>
    <col width="19" customWidth="1" min="14" max="14"/>
    <col width="12" customWidth="1" min="15" max="15"/>
    <col width="18" customWidth="1" min="16" max="16"/>
  </cols>
  <sheetData>
    <row r="1" ht="34" customHeight="1">
      <c r="A1" s="1" t="inlineStr">
        <is>
          <t>PARAMÈTRES DU CABINET</t>
        </is>
      </c>
    </row>
    <row r="2" ht="18" customHeight="1">
      <c r="A2" s="2" t="inlineStr">
        <is>
          <t>Toutes les cellules sur fond crème sont à personnaliser. Les listes ci-dessous alimentent les menus déroulants de l'onglet Candidatures.</t>
        </is>
      </c>
    </row>
    <row r="4" ht="22" customHeight="1">
      <c r="B4" s="14" t="inlineStr">
        <is>
          <t>IDENTITÉ DU CABINET</t>
        </is>
      </c>
    </row>
    <row r="5" ht="17" customHeight="1">
      <c r="B5" s="76" t="inlineStr">
        <is>
          <t>Nom du cabinet</t>
        </is>
      </c>
      <c r="C5" s="77" t="inlineStr">
        <is>
          <t>Cabinet Victimes &amp; Préjudices</t>
        </is>
      </c>
    </row>
    <row r="6" ht="17" customHeight="1">
      <c r="B6" s="76" t="inlineStr">
        <is>
          <t>Adresse (1 ligne)</t>
        </is>
      </c>
      <c r="C6" s="77" t="inlineStr">
        <is>
          <t>— à compléter —</t>
        </is>
      </c>
    </row>
    <row r="7" ht="17" customHeight="1">
      <c r="B7" s="76" t="inlineStr">
        <is>
          <t>Téléphone</t>
        </is>
      </c>
      <c r="C7" s="77" t="inlineStr">
        <is>
          <t>— à compléter —</t>
        </is>
      </c>
    </row>
    <row r="8" ht="17" customHeight="1">
      <c r="B8" s="76" t="inlineStr">
        <is>
          <t>E-mail recrutement</t>
        </is>
      </c>
      <c r="C8" s="77" t="inlineStr">
        <is>
          <t>recrutement@victimesetprejudices.fr</t>
        </is>
      </c>
      <c r="E8" s="13" t="inlineStr">
        <is>
          <t>Adresse affichée dans les courriers et les modèles d'e-mails.</t>
        </is>
      </c>
    </row>
    <row r="9" ht="17" customHeight="1">
      <c r="B9" s="76" t="inlineStr">
        <is>
          <t>Site internet</t>
        </is>
      </c>
      <c r="C9" s="77" t="inlineStr">
        <is>
          <t>https://www.victimesetprejudices.fr</t>
        </is>
      </c>
    </row>
    <row r="10" ht="17" customHeight="1">
      <c r="B10" s="76" t="inlineStr">
        <is>
          <t>Signataire des courriers</t>
        </is>
      </c>
      <c r="C10" s="77" t="inlineStr">
        <is>
          <t>— à compléter —</t>
        </is>
      </c>
    </row>
    <row r="11" ht="17" customHeight="1">
      <c r="B11" s="76" t="inlineStr">
        <is>
          <t>Fonction du signataire</t>
        </is>
      </c>
      <c r="C11" s="77" t="inlineStr">
        <is>
          <t>Avocat associé</t>
        </is>
      </c>
    </row>
    <row r="12" ht="17" customHeight="1">
      <c r="B12" s="76" t="inlineStr">
        <is>
          <t>Signature e-mail</t>
        </is>
      </c>
      <c r="C12" s="77" t="inlineStr">
        <is>
          <t>Cordialement,</t>
        </is>
      </c>
      <c r="E12" s="13" t="inlineStr">
        <is>
          <t>Laissez vide pour conserver la signature Outlook par défaut (recommandé).</t>
        </is>
      </c>
    </row>
    <row r="13" ht="17" customHeight="1">
      <c r="B13" s="76" t="inlineStr">
        <is>
          <t>Ville (lieu de signature)</t>
        </is>
      </c>
      <c r="C13" s="77" t="inlineStr">
        <is>
          <t>— à compléter —</t>
        </is>
      </c>
      <c r="E13" s="13" t="inlineStr">
        <is>
          <t>Figure en tête des courriers : « Lyon, le 15/09/2026 ».</t>
        </is>
      </c>
    </row>
    <row r="15" ht="22" customHeight="1">
      <c r="B15" s="14" t="inlineStr">
        <is>
          <t>AUTOMATISATIONS (Outlook / Word)</t>
        </is>
      </c>
    </row>
    <row r="16" ht="17" customHeight="1">
      <c r="B16" s="76" t="inlineStr">
        <is>
          <t>Mode d'envoi des e-mails</t>
        </is>
      </c>
      <c r="C16" s="77" t="inlineStr">
        <is>
          <t>Afficher avant envoi</t>
        </is>
      </c>
      <c r="E16" s="13" t="inlineStr">
        <is>
          <t>« Afficher avant envoi » (recommandé) ou « Envoyer directement ».</t>
        </is>
      </c>
    </row>
    <row r="17" ht="17" customHeight="1">
      <c r="B17" s="76" t="inlineStr">
        <is>
          <t>Dossier des candidats</t>
        </is>
      </c>
      <c r="C17" s="77" t="inlineStr">
        <is>
          <t>C:\Cabinet\Recrutement\Candidats</t>
        </is>
      </c>
      <c r="E17" s="13" t="inlineStr">
        <is>
          <t>Un sous-dossier par candidat y est créé automatiquement (CV, LM, pièces).</t>
        </is>
      </c>
    </row>
    <row r="18" ht="17" customHeight="1">
      <c r="B18" s="76" t="inlineStr">
        <is>
          <t>Dossier des modèles Word</t>
        </is>
      </c>
      <c r="C18" s="77" t="inlineStr">
        <is>
          <t>C:\Cabinet\Recrutement\Modeles</t>
        </is>
      </c>
      <c r="E18" s="13" t="inlineStr">
        <is>
          <t>Déposez-y les fichiers .docx fournis avec ce classeur.</t>
        </is>
      </c>
    </row>
    <row r="19" ht="17" customHeight="1">
      <c r="B19" s="76" t="inlineStr">
        <is>
          <t>Dossier Outlook à importer</t>
        </is>
      </c>
      <c r="C19" s="77" t="inlineStr">
        <is>
          <t>Candidatures</t>
        </is>
      </c>
      <c r="E19" s="13" t="inlineStr">
        <is>
          <t>Nom du dossier de la boîte de réception scanné par « Importer depuis Outlook ».</t>
        </is>
      </c>
    </row>
    <row r="20" ht="17" customHeight="1">
      <c r="B20" s="76" t="inlineStr">
        <is>
          <t>Générer aussi un PDF</t>
        </is>
      </c>
      <c r="C20" s="77" t="inlineStr">
        <is>
          <t>Oui</t>
        </is>
      </c>
      <c r="E20" s="13" t="inlineStr">
        <is>
          <t>Chaque document Word produit est également enregistré en PDF.</t>
        </is>
      </c>
    </row>
    <row r="22" ht="22" customHeight="1">
      <c r="B22" s="14" t="inlineStr">
        <is>
          <t>DÉLAIS ET CONFORMITÉ</t>
        </is>
      </c>
    </row>
    <row r="23" ht="17" customHeight="1">
      <c r="B23" s="76" t="inlineStr">
        <is>
          <t>Délai d'accusé de réception (jours)</t>
        </is>
      </c>
      <c r="C23" s="78" t="n">
        <v>7</v>
      </c>
      <c r="E23" s="13" t="inlineStr">
        <is>
          <t>Hypothèse cabinet, modifiable : au-delà, la candidature passe en « À traiter ».</t>
        </is>
      </c>
    </row>
    <row r="24" ht="17" customHeight="1">
      <c r="B24" s="76" t="inlineStr">
        <is>
          <t>Délai de relance (jours)</t>
        </is>
      </c>
      <c r="C24" s="78" t="n">
        <v>21</v>
      </c>
      <c r="E24" s="13" t="inlineStr">
        <is>
          <t>Hypothèse cabinet, modifiable : utilisé par le bouton « Relances ».</t>
        </is>
      </c>
    </row>
    <row r="25" ht="17" customHeight="1">
      <c r="B25" s="76" t="inlineStr">
        <is>
          <t>Conservation des données (années)</t>
        </is>
      </c>
      <c r="C25" s="78" t="n">
        <v>2</v>
      </c>
      <c r="E25" s="13" t="inlineStr">
        <is>
          <t>Recommandation CNIL : 2 ans à compter du dernier contact avec le candidat.</t>
        </is>
      </c>
    </row>
    <row r="26" ht="17" customHeight="1">
      <c r="B26" s="76" t="inlineStr">
        <is>
          <t>Date du jour (automatique)</t>
        </is>
      </c>
      <c r="C26" s="79">
        <f>TODAY()</f>
        <v/>
      </c>
      <c r="E26" s="13" t="inlineStr">
        <is>
          <t>Cellule calculée — ne pas modifier. Sert à tous les indicateurs de délai.</t>
        </is>
      </c>
    </row>
    <row r="29" ht="22" customHeight="1">
      <c r="B29" s="14" t="inlineStr">
        <is>
          <t>LISTES DÉROULANTES — ajoutez ou renommez librement les valeurs</t>
        </is>
      </c>
    </row>
    <row r="30">
      <c r="B30" s="13" t="inlineStr">
        <is>
          <t>Après ajout d'une valeur en fin de liste, cliquez sur « Actualiser les listes » (onglet Accueil) pour étendre le menu déroulant correspondant.</t>
        </is>
      </c>
    </row>
    <row r="31" ht="28" customHeight="1">
      <c r="B31" s="29" t="inlineStr">
        <is>
          <t>Civilité</t>
        </is>
      </c>
      <c r="C31" s="29" t="inlineStr">
        <is>
          <t>Postes</t>
        </is>
      </c>
      <c r="D31" s="29" t="inlineStr">
        <is>
          <t>Sources</t>
        </is>
      </c>
      <c r="E31" s="29" t="inlineStr">
        <is>
          <t>Statuts</t>
        </is>
      </c>
      <c r="F31" s="29" t="inlineStr">
        <is>
          <t>Clôturé ?</t>
        </is>
      </c>
      <c r="G31" s="29" t="inlineStr">
        <is>
          <t>Responsables</t>
        </is>
      </c>
      <c r="H31" s="29" t="inlineStr">
        <is>
          <t>Évaluation</t>
        </is>
      </c>
      <c r="I31" s="29" t="inlineStr">
        <is>
          <t>Décisions</t>
        </is>
      </c>
      <c r="J31" s="29" t="inlineStr">
        <is>
          <t>Motifs de refus</t>
        </is>
      </c>
      <c r="K31" s="29" t="inlineStr">
        <is>
          <t>Prochaines actions</t>
        </is>
      </c>
      <c r="L31" s="29" t="inlineStr">
        <is>
          <t>Oui / Non</t>
        </is>
      </c>
      <c r="M31" s="29" t="inlineStr">
        <is>
          <t>CAPA / CRFPA</t>
        </is>
      </c>
      <c r="N31" s="29" t="inlineStr">
        <is>
          <t>Type d'entretien</t>
        </is>
      </c>
      <c r="O31" s="29" t="inlineStr">
        <is>
          <t>Statut entretien</t>
        </is>
      </c>
      <c r="P31" s="29" t="inlineStr">
        <is>
          <t>Avis entretien</t>
        </is>
      </c>
    </row>
    <row r="32">
      <c r="B32" s="80" t="inlineStr">
        <is>
          <t>M.</t>
        </is>
      </c>
      <c r="C32" s="80" t="inlineStr">
        <is>
          <t>Avocat collaborateur</t>
        </is>
      </c>
      <c r="D32" s="80" t="inlineStr">
        <is>
          <t>Candidature spontanée</t>
        </is>
      </c>
      <c r="E32" s="80" t="inlineStr">
        <is>
          <t>1-Reçue</t>
        </is>
      </c>
      <c r="F32" s="81" t="inlineStr">
        <is>
          <t>N</t>
        </is>
      </c>
      <c r="G32" s="80" t="inlineStr">
        <is>
          <t>— à compléter —</t>
        </is>
      </c>
      <c r="H32" s="81" t="n">
        <v>1</v>
      </c>
      <c r="I32" s="80" t="inlineStr">
        <is>
          <t>À statuer</t>
        </is>
      </c>
      <c r="J32" s="80" t="inlineStr">
        <is>
          <t>Profil non adapté au poste</t>
        </is>
      </c>
      <c r="K32" s="80" t="inlineStr">
        <is>
          <t>Accuser réception</t>
        </is>
      </c>
      <c r="L32" s="81" t="inlineStr">
        <is>
          <t>Oui</t>
        </is>
      </c>
      <c r="M32" s="80" t="inlineStr">
        <is>
          <t>Oui</t>
        </is>
      </c>
      <c r="N32" s="80" t="inlineStr">
        <is>
          <t>Au cabinet</t>
        </is>
      </c>
      <c r="O32" s="80" t="inlineStr">
        <is>
          <t>Planifié</t>
        </is>
      </c>
      <c r="P32" s="80" t="inlineStr">
        <is>
          <t>Très favorable</t>
        </is>
      </c>
    </row>
    <row r="33">
      <c r="B33" s="80" t="inlineStr">
        <is>
          <t>Mme</t>
        </is>
      </c>
      <c r="C33" s="80" t="inlineStr">
        <is>
          <t>Élève-avocat (stage PPI)</t>
        </is>
      </c>
      <c r="D33" s="80" t="inlineStr">
        <is>
          <t>Site du cabinet</t>
        </is>
      </c>
      <c r="E33" s="80" t="inlineStr">
        <is>
          <t>2-Accusé de réception</t>
        </is>
      </c>
      <c r="F33" s="81" t="inlineStr">
        <is>
          <t>N</t>
        </is>
      </c>
      <c r="G33" s="80" t="inlineStr">
        <is>
          <t>Associé 1</t>
        </is>
      </c>
      <c r="H33" s="81" t="n">
        <v>2</v>
      </c>
      <c r="I33" s="80" t="inlineStr">
        <is>
          <t>Favorable</t>
        </is>
      </c>
      <c r="J33" s="80" t="inlineStr">
        <is>
          <t>Expérience insuffisante</t>
        </is>
      </c>
      <c r="K33" s="80" t="inlineStr">
        <is>
          <t>Étudier le dossier</t>
        </is>
      </c>
      <c r="L33" s="81" t="inlineStr">
        <is>
          <t>Non</t>
        </is>
      </c>
      <c r="M33" s="80" t="inlineStr">
        <is>
          <t>Non</t>
        </is>
      </c>
      <c r="N33" s="80" t="inlineStr">
        <is>
          <t>Visioconférence</t>
        </is>
      </c>
      <c r="O33" s="80" t="inlineStr">
        <is>
          <t>Réalisé</t>
        </is>
      </c>
      <c r="P33" s="80" t="inlineStr">
        <is>
          <t>Favorable</t>
        </is>
      </c>
    </row>
    <row r="34">
      <c r="C34" s="80" t="inlineStr">
        <is>
          <t>Juriste dommage corporel</t>
        </is>
      </c>
      <c r="D34" s="80" t="inlineStr">
        <is>
          <t>LinkedIn</t>
        </is>
      </c>
      <c r="E34" s="80" t="inlineStr">
        <is>
          <t>3-En cours d'examen</t>
        </is>
      </c>
      <c r="F34" s="81" t="inlineStr">
        <is>
          <t>N</t>
        </is>
      </c>
      <c r="G34" s="80" t="inlineStr">
        <is>
          <t>Associé 2</t>
        </is>
      </c>
      <c r="H34" s="81" t="n">
        <v>3</v>
      </c>
      <c r="I34" s="80" t="inlineStr">
        <is>
          <t>Vivier</t>
        </is>
      </c>
      <c r="J34" s="80" t="inlineStr">
        <is>
          <t>Spécialité différente</t>
        </is>
      </c>
      <c r="K34" s="80" t="inlineStr">
        <is>
          <t>Demander pièces manquantes</t>
        </is>
      </c>
      <c r="M34" s="80" t="inlineStr">
        <is>
          <t>En cours</t>
        </is>
      </c>
      <c r="N34" s="80" t="inlineStr">
        <is>
          <t>Téléphone</t>
        </is>
      </c>
      <c r="O34" s="80" t="inlineStr">
        <is>
          <t>Annulé</t>
        </is>
      </c>
      <c r="P34" s="80" t="inlineStr">
        <is>
          <t>Réservé</t>
        </is>
      </c>
    </row>
    <row r="35">
      <c r="C35" s="80" t="inlineStr">
        <is>
          <t>Stagiaire M1 / M2</t>
        </is>
      </c>
      <c r="D35" s="80" t="inlineStr">
        <is>
          <t>Village de la Justice</t>
        </is>
      </c>
      <c r="E35" s="80" t="inlineStr">
        <is>
          <t>4-Entretien planifié</t>
        </is>
      </c>
      <c r="F35" s="81" t="inlineStr">
        <is>
          <t>N</t>
        </is>
      </c>
      <c r="G35" s="80" t="inlineStr">
        <is>
          <t>Responsable RH</t>
        </is>
      </c>
      <c r="H35" s="81" t="n">
        <v>4</v>
      </c>
      <c r="I35" s="80" t="inlineStr">
        <is>
          <t>Défavorable</t>
        </is>
      </c>
      <c r="J35" s="80" t="inlineStr">
        <is>
          <t>Prétentions salariales</t>
        </is>
      </c>
      <c r="K35" s="80" t="inlineStr">
        <is>
          <t>Planifier un entretien</t>
        </is>
      </c>
      <c r="M35" s="80" t="inlineStr">
        <is>
          <t>Non concerné</t>
        </is>
      </c>
      <c r="O35" s="80" t="inlineStr">
        <is>
          <t>Reporté</t>
        </is>
      </c>
      <c r="P35" s="80" t="inlineStr">
        <is>
          <t>Défavorable</t>
        </is>
      </c>
    </row>
    <row r="36">
      <c r="C36" s="80" t="inlineStr">
        <is>
          <t>Assistant(e) juridique</t>
        </is>
      </c>
      <c r="D36" s="80" t="inlineStr">
        <is>
          <t>Indeed</t>
        </is>
      </c>
      <c r="E36" s="80" t="inlineStr">
        <is>
          <t>5-Entretien réalisé</t>
        </is>
      </c>
      <c r="F36" s="81" t="inlineStr">
        <is>
          <t>N</t>
        </is>
      </c>
      <c r="G36" s="80" t="inlineStr">
        <is>
          <t>Secrétariat</t>
        </is>
      </c>
      <c r="H36" s="81" t="n">
        <v>5</v>
      </c>
      <c r="J36" s="80" t="inlineStr">
        <is>
          <t>Poste déjà pourvu</t>
        </is>
      </c>
      <c r="K36" s="80" t="inlineStr">
        <is>
          <t>Second entretien</t>
        </is>
      </c>
    </row>
    <row r="37">
      <c r="C37" s="80" t="inlineStr">
        <is>
          <t>Secrétaire juridique</t>
        </is>
      </c>
      <c r="D37" s="80" t="inlineStr">
        <is>
          <t>École / Université</t>
        </is>
      </c>
      <c r="E37" s="80" t="inlineStr">
        <is>
          <t>6-Vivier</t>
        </is>
      </c>
      <c r="F37" s="81" t="inlineStr">
        <is>
          <t>N</t>
        </is>
      </c>
      <c r="G37" s="80" t="inlineStr">
        <is>
          <t>Non attribué</t>
        </is>
      </c>
      <c r="J37" s="80" t="inlineStr">
        <is>
          <t>Pas de disponibilité compatible</t>
        </is>
      </c>
      <c r="K37" s="80" t="inlineStr">
        <is>
          <t>Prendre les références</t>
        </is>
      </c>
    </row>
    <row r="38">
      <c r="C38" s="80" t="inlineStr">
        <is>
          <t>Alternant(e)</t>
        </is>
      </c>
      <c r="D38" s="80" t="inlineStr">
        <is>
          <t>Cooptation</t>
        </is>
      </c>
      <c r="E38" s="80" t="inlineStr">
        <is>
          <t>7-Proposition envoyée</t>
        </is>
      </c>
      <c r="F38" s="81" t="inlineStr">
        <is>
          <t>N</t>
        </is>
      </c>
      <c r="J38" s="80" t="inlineStr">
        <is>
          <t>Sans suite du candidat</t>
        </is>
      </c>
      <c r="K38" s="80" t="inlineStr">
        <is>
          <t>Envoyer une proposition</t>
        </is>
      </c>
    </row>
    <row r="39">
      <c r="C39" s="80" t="inlineStr">
        <is>
          <t>Chargé(e) de recouvrement</t>
        </is>
      </c>
      <c r="D39" s="80" t="inlineStr">
        <is>
          <t>Barreau / CNB</t>
        </is>
      </c>
      <c r="E39" s="80" t="inlineStr">
        <is>
          <t>8-Recruté(e)</t>
        </is>
      </c>
      <c r="F39" s="81" t="inlineStr">
        <is>
          <t>O</t>
        </is>
      </c>
      <c r="J39" s="80" t="inlineStr">
        <is>
          <t>Autre</t>
        </is>
      </c>
      <c r="K39" s="80" t="inlineStr">
        <is>
          <t>Envoyer un refus</t>
        </is>
      </c>
    </row>
    <row r="40">
      <c r="C40" s="80" t="inlineStr">
        <is>
          <t>Stage découverte</t>
        </is>
      </c>
      <c r="D40" s="80" t="inlineStr">
        <is>
          <t>Pôle emploi</t>
        </is>
      </c>
      <c r="E40" s="80" t="inlineStr">
        <is>
          <t>9-Refusée</t>
        </is>
      </c>
      <c r="F40" s="81" t="inlineStr">
        <is>
          <t>O</t>
        </is>
      </c>
      <c r="K40" s="80" t="inlineStr">
        <is>
          <t>Relancer le candidat</t>
        </is>
      </c>
    </row>
    <row r="41">
      <c r="C41" s="80" t="inlineStr">
        <is>
          <t>Autre</t>
        </is>
      </c>
      <c r="D41" s="80" t="inlineStr">
        <is>
          <t>Autre</t>
        </is>
      </c>
      <c r="E41" s="80" t="inlineStr">
        <is>
          <t>10-Désistement</t>
        </is>
      </c>
      <c r="F41" s="81" t="inlineStr">
        <is>
          <t>O</t>
        </is>
      </c>
      <c r="K41" s="80" t="inlineStr">
        <is>
          <t>Classer en vivier</t>
        </is>
      </c>
    </row>
  </sheetData>
  <mergeCells count="6">
    <mergeCell ref="B22:D22"/>
    <mergeCell ref="A2:N2"/>
    <mergeCell ref="B4:D4"/>
    <mergeCell ref="B29:N29"/>
    <mergeCell ref="B15:D15"/>
    <mergeCell ref="A1:N1"/>
  </mergeCells>
  <pageMargins left="0.75" right="0.75" top="1" bottom="1" header="0.5" footer="0.5"/>
</worksheet>
</file>

<file path=xl/worksheets/sheet8.xml><?xml version="1.0" encoding="utf-8"?>
<worksheet xmlns="http://schemas.openxmlformats.org/spreadsheetml/2006/main">
  <sheetPr>
    <tabColor rgb="005A6B7B"/>
    <outlinePr summaryBelow="1" summaryRight="1"/>
    <pageSetUpPr fitToPage="1"/>
  </sheetPr>
  <dimension ref="A1:C82"/>
  <sheetViews>
    <sheetView showGridLines="0" workbookViewId="0">
      <selection activeCell="A1" sqref="A1"/>
    </sheetView>
  </sheetViews>
  <sheetFormatPr baseColWidth="8" defaultRowHeight="15"/>
  <cols>
    <col width="2" customWidth="1" min="1" max="1"/>
    <col width="34" customWidth="1" min="2" max="2"/>
    <col width="108" customWidth="1" min="3" max="3"/>
  </cols>
  <sheetData>
    <row r="1" ht="34" customHeight="1">
      <c r="A1" s="1" t="inlineStr">
        <is>
          <t>MODE D'EMPLOI</t>
        </is>
      </c>
    </row>
    <row r="2" ht="18" customHeight="1">
      <c r="A2" s="2" t="inlineStr">
        <is>
          <t>Prise en main, installation des automatisations Outlook et Word, dépannage</t>
        </is>
      </c>
    </row>
    <row r="5" ht="24" customHeight="1">
      <c r="B5" s="14" t="inlineStr">
        <is>
          <t>1.  À QUOI SERT CHAQUE ONGLET</t>
        </is>
      </c>
    </row>
    <row r="6" ht="15" customHeight="1">
      <c r="B6" s="82" t="inlineStr">
        <is>
          <t>Accueil</t>
        </is>
      </c>
      <c r="C6" s="83" t="inlineStr">
        <is>
          <t>Compteurs du jour, boutons d'automatisation, liens vers les autres onglets.</t>
        </is>
      </c>
    </row>
    <row r="7" ht="15" customHeight="1">
      <c r="B7" s="82" t="inlineStr">
        <is>
          <t>Candidatures</t>
        </is>
      </c>
      <c r="C7" s="83" t="inlineStr">
        <is>
          <t>Le cœur de l'outil : une ligne par candidature reçue, de la réception à la décision.</t>
        </is>
      </c>
    </row>
    <row r="8" ht="15" customHeight="1">
      <c r="B8" s="82" t="inlineStr">
        <is>
          <t>Entretiens</t>
        </is>
      </c>
      <c r="C8" s="83" t="inlineStr">
        <is>
          <t>Un entretien par ligne : date, intervenants, note, avis. Rempli par le bouton de planification.</t>
        </is>
      </c>
    </row>
    <row r="9" ht="15" customHeight="1">
      <c r="B9" s="82" t="inlineStr">
        <is>
          <t>Tableau de bord</t>
        </is>
      </c>
      <c r="C9" s="83" t="inlineStr">
        <is>
          <t>Statistiques automatiques : statuts, postes, sources, responsables, délais, flux mensuel.</t>
        </is>
      </c>
    </row>
    <row r="10" ht="15" customHeight="1">
      <c r="B10" s="82" t="inlineStr">
        <is>
          <t>Journal</t>
        </is>
      </c>
      <c r="C10" s="83" t="inlineStr">
        <is>
          <t>Trace horodatée de chaque e-mail envoyé et de chaque document généré.</t>
        </is>
      </c>
    </row>
    <row r="11" ht="15" customHeight="1">
      <c r="B11" s="82" t="inlineStr">
        <is>
          <t>Modèles e-mails</t>
        </is>
      </c>
      <c r="C11" s="83" t="inlineStr">
        <is>
          <t>Les textes envoyés par les boutons. Modifiables librement, sauf la colonne « Clé ».</t>
        </is>
      </c>
    </row>
    <row r="12" ht="15" customHeight="1">
      <c r="B12" s="82" t="inlineStr">
        <is>
          <t>Paramètres</t>
        </is>
      </c>
      <c r="C12" s="83" t="inlineStr">
        <is>
          <t>Coordonnées du cabinet, dossiers de travail, délais, et toutes les listes déroulantes.</t>
        </is>
      </c>
    </row>
    <row r="13" ht="15" customHeight="1">
      <c r="B13" s="82" t="inlineStr">
        <is>
          <t>Notice</t>
        </is>
      </c>
      <c r="C13" s="83" t="inlineStr">
        <is>
          <t>Le présent mode d'emploi.</t>
        </is>
      </c>
    </row>
    <row r="15" ht="24" customHeight="1">
      <c r="B15" s="14" t="inlineStr">
        <is>
          <t>2.  PRISE EN MAIN EN CINQ MINUTES</t>
        </is>
      </c>
    </row>
    <row r="16" ht="27" customHeight="1">
      <c r="B16" s="82" t="inlineStr">
        <is>
          <t>Étape 1</t>
        </is>
      </c>
      <c r="C16" s="83" t="inlineStr">
        <is>
          <t>Onglet Paramètres : complétez les cellules sur fond crème (adresse, téléphone, e-mail de recrutement, signataire).</t>
        </is>
      </c>
    </row>
    <row r="17" ht="27" customHeight="1">
      <c r="B17" s="82" t="inlineStr">
        <is>
          <t>Étape 2</t>
        </is>
      </c>
      <c r="C17" s="83" t="inlineStr">
        <is>
          <t>Toujours dans Paramètres : indiquez les trois dossiers de travail (candidats, modèles Word, dossier Outlook).</t>
        </is>
      </c>
    </row>
    <row r="18" ht="27" customHeight="1">
      <c r="B18" s="82" t="inlineStr">
        <is>
          <t>Étape 3</t>
        </is>
      </c>
      <c r="C18" s="83" t="inlineStr">
        <is>
          <t>Adaptez les listes déroulantes à votre organisation : postes ouverts, responsables, sources de candidature.</t>
        </is>
      </c>
    </row>
    <row r="19" ht="15" customHeight="1">
      <c r="B19" s="82" t="inlineStr">
        <is>
          <t>Étape 4</t>
        </is>
      </c>
      <c r="C19" s="83" t="inlineStr">
        <is>
          <t>Onglet Candidatures : supprimez la ligne EXEMPLE-01, puis saisissez votre première candidature.</t>
        </is>
      </c>
    </row>
    <row r="20" ht="15" customHeight="1">
      <c r="B20" s="82" t="inlineStr">
        <is>
          <t>Étape 5</t>
        </is>
      </c>
      <c r="C20" s="83" t="inlineStr">
        <is>
          <t>Installez le module d'automatisation (section 3) pour activer les boutons Outlook et Word.</t>
        </is>
      </c>
    </row>
    <row r="21" ht="28" customHeight="1">
      <c r="B21" s="84" t="inlineStr">
        <is>
          <t>ℹ   Le classeur fonctionne parfaitement sans macros : vous perdez seulement l'envoi automatique des e-mails et la génération des documents Word.</t>
        </is>
      </c>
    </row>
    <row r="23" ht="24" customHeight="1">
      <c r="B23" s="14" t="inlineStr">
        <is>
          <t>3.  ACTIVER LES AUTOMATISATIONS OUTLOOK ET WORD</t>
        </is>
      </c>
    </row>
    <row r="24" ht="16" customHeight="1">
      <c r="B24" s="84" t="inlineStr">
        <is>
          <t>ℹ   À faire une seule fois, sur chaque poste qui utilisera les boutons. Durée : environ 5 minutes.</t>
        </is>
      </c>
    </row>
    <row r="25" ht="27" customHeight="1">
      <c r="B25" s="82" t="inlineStr">
        <is>
          <t>1.  Enregistrer au bon format</t>
        </is>
      </c>
      <c r="C25" s="83" t="inlineStr">
        <is>
          <t>Fichier ▸ Enregistrer sous ▸ type « Classeur Excel prenant en charge les macros (*.xlsm) ». Indispensable : un fichier .xlsx ne peut pas contenir de macros.</t>
        </is>
      </c>
    </row>
    <row r="26" ht="27" customHeight="1">
      <c r="B26" s="82" t="inlineStr">
        <is>
          <t>2.  Débloquer le fichier</t>
        </is>
      </c>
      <c r="C26" s="83" t="inlineStr">
        <is>
          <t>Fermez Excel. Dans l'Explorateur, clic droit sur le fichier ▸ Propriétés ▸ cochez « Débloquer » ▸ OK. Windows bloque par défaut les macros des fichiers reçus par e-mail ou téléchargés.</t>
        </is>
      </c>
    </row>
    <row r="27" ht="15" customHeight="1">
      <c r="B27" s="82" t="inlineStr">
        <is>
          <t>3.  Ouvrir l'éditeur de macros</t>
        </is>
      </c>
      <c r="C27" s="83" t="inlineStr">
        <is>
          <t>Rouvrez le classeur, puis appuyez sur Alt + F11.</t>
        </is>
      </c>
    </row>
    <row r="28" ht="39" customHeight="1">
      <c r="B28" s="82" t="inlineStr">
        <is>
          <t>4.  Importer le module</t>
        </is>
      </c>
      <c r="C28" s="83" t="inlineStr">
        <is>
          <t>Dans l'éditeur : menu Fichier ▸ Importer un fichier… (raccourci Ctrl + M) ▸ sélectionnez VP_Candidatures.bas ▸ Ouvrir. Un élément « VP_Candidatures » apparaît sous Modules, à gauche, dans l'arborescence du classeur.</t>
        </is>
      </c>
    </row>
    <row r="29" ht="39" customHeight="1">
      <c r="B29" s="82" t="inlineStr">
        <is>
          <t>4 bis.  Si l'import échoue</t>
        </is>
      </c>
      <c r="C29" s="83" t="inlineStr">
        <is>
          <t>Utilisez la variante copier-coller, qui fonctionne dans tous les cas : dans l'éditeur, menu Insertion ▸ Module ; ouvrez VP_Candidatures_a_coller.txt avec le Bloc-notes ; Ctrl + A puis Ctrl + C ; revenez dans la fenêtre blanche de l'éditeur et faites Ctrl + V.</t>
        </is>
      </c>
    </row>
    <row r="30" ht="39" customHeight="1">
      <c r="B30" s="82" t="inlineStr">
        <is>
          <t>5.  Lancer l'installation</t>
        </is>
      </c>
      <c r="C30" s="83" t="inlineStr">
        <is>
          <t>Revenez dans Excel (Alt + F11) puis appuyez sur Alt + F8 : choisissez « Installer » dans la liste des macros et cliquez sur Exécuter. Les boutons apparaissent alors dans l'onglet Accueil et en haut de l'onglet Candidatures.</t>
        </is>
      </c>
    </row>
    <row r="31" ht="40" customHeight="1">
      <c r="B31" s="84" t="inlineStr">
        <is>
          <t>ℹ   Variante depuis l'éditeur : cliquez dans le corps de la procédure Installer, puis appuyez sur F5. Le libellé du menu Exécution varie selon les versions — « Exécuter la macro » ou « Exécuter Sub/UserForm » — mais il s'agit de la même commande, et c'est la position du curseur qui détermine la procédure lancée.</t>
        </is>
      </c>
    </row>
    <row r="32" ht="15" customHeight="1">
      <c r="B32" s="82" t="inlineStr">
        <is>
          <t>6.  Enregistrer</t>
        </is>
      </c>
      <c r="C32" s="83" t="inlineStr">
        <is>
          <t>Revenez dans Excel (Alt + F11) et enregistrez. C'est terminé.</t>
        </is>
      </c>
    </row>
    <row r="33" ht="28" customHeight="1">
      <c r="B33" s="84" t="inlineStr">
        <is>
          <t>ℹ   Si un bandeau jaune « Avertissement de sécurité » s'affiche à l'ouverture, cliquez sur « Activer le contenu ». Le classeur est alors considéré comme approuvé sur ce poste.</t>
        </is>
      </c>
    </row>
    <row r="34" ht="16" customHeight="1">
      <c r="B34" s="84" t="inlineStr">
        <is>
          <t>ℹ   Aucune référence VBA supplémentaire n'est nécessaire : le module dialogue avec Outlook et Word en liaison tardive.</t>
        </is>
      </c>
    </row>
    <row r="36" ht="24" customHeight="1">
      <c r="B36" s="14" t="inlineStr">
        <is>
          <t>4.  CE QUE FAIT CHAQUE BOUTON</t>
        </is>
      </c>
    </row>
    <row r="37" ht="15" customHeight="1">
      <c r="B37" s="82" t="inlineStr">
        <is>
          <t>Nouvelle candidature</t>
        </is>
      </c>
      <c r="C37" s="83" t="inlineStr">
        <is>
          <t>Ajoute une ligne, attribue l'identifiant (CAND-année-numéro) et la date du jour.</t>
        </is>
      </c>
    </row>
    <row r="38" ht="27" customHeight="1">
      <c r="B38" s="82" t="inlineStr">
        <is>
          <t>Importer depuis Outlook</t>
        </is>
      </c>
      <c r="C38" s="83" t="inlineStr">
        <is>
          <t>Parcourt le dossier Outlook indiqué dans Paramètres, crée une ligne par message non lu, enregistre les pièces jointes dans le dossier du candidat et marque le message comme lu.</t>
        </is>
      </c>
    </row>
    <row r="39" ht="27" customHeight="1">
      <c r="B39" s="82" t="inlineStr">
        <is>
          <t>Accusé de réception</t>
        </is>
      </c>
      <c r="C39" s="83" t="inlineStr">
        <is>
          <t>Prépare l'e-mail d'accusé de réception, passe le statut à « 2-Accusé de réception » et met à jour la date de dernier contact.</t>
        </is>
      </c>
    </row>
    <row r="40" ht="15" customHeight="1">
      <c r="B40" s="82" t="inlineStr">
        <is>
          <t>Demander des pièces</t>
        </is>
      </c>
      <c r="C40" s="83" t="inlineStr">
        <is>
          <t>Envoie la demande de pièces complémentaires et programme une relance.</t>
        </is>
      </c>
    </row>
    <row r="41" ht="27" customHeight="1">
      <c r="B41" s="82" t="inlineStr">
        <is>
          <t>Planifier un entretien</t>
        </is>
      </c>
      <c r="C41" s="83" t="inlineStr">
        <is>
          <t>Demande la date, l'heure et les modalités ; crée le rendez-vous Outlook avec invitation au candidat, ajoute la ligne dans l'onglet Entretiens et envoie la convocation.</t>
        </is>
      </c>
    </row>
    <row r="42" ht="15" customHeight="1">
      <c r="B42" s="82" t="inlineStr">
        <is>
          <t>Mettre en vivier</t>
        </is>
      </c>
      <c r="C42" s="83" t="inlineStr">
        <is>
          <t>Envoie le message de mise en vivier et bascule le statut correspondant.</t>
        </is>
      </c>
    </row>
    <row r="43" ht="15" customHeight="1">
      <c r="B43" s="82" t="inlineStr">
        <is>
          <t>Réponse négative</t>
        </is>
      </c>
      <c r="C43" s="83" t="inlineStr">
        <is>
          <t>Envoie la réponse négative après confirmation, enregistre le motif et clôture le dossier.</t>
        </is>
      </c>
    </row>
    <row r="44" ht="15" customHeight="1">
      <c r="B44" s="82" t="inlineStr">
        <is>
          <t>Proposition / suite favorable</t>
        </is>
      </c>
      <c r="C44" s="83" t="inlineStr">
        <is>
          <t>Envoie le message de suite favorable et passe le statut à « 7-Proposition envoyée ».</t>
        </is>
      </c>
    </row>
    <row r="45" ht="15" customHeight="1">
      <c r="B45" s="82" t="inlineStr">
        <is>
          <t>Envoi groupé</t>
        </is>
      </c>
      <c r="C45" s="83" t="inlineStr">
        <is>
          <t>Applique le même modèle d'e-mail à toutes les lignes sélectionnées (utile quand un poste est pourvu).</t>
        </is>
      </c>
    </row>
    <row r="46" ht="15" customHeight="1">
      <c r="B46" s="82" t="inlineStr">
        <is>
          <t>Fiche candidat (Word)</t>
        </is>
      </c>
      <c r="C46" s="83" t="inlineStr">
        <is>
          <t>Génère la fiche de synthèse et la grille d'entretien dans le dossier du candidat.</t>
        </is>
      </c>
    </row>
    <row r="47" ht="15" customHeight="1">
      <c r="B47" s="82" t="inlineStr">
        <is>
          <t>Courrier de convocation</t>
        </is>
      </c>
      <c r="C47" s="83" t="inlineStr">
        <is>
          <t>Génère la convocation en courrier Word, prête à être signée.</t>
        </is>
      </c>
    </row>
    <row r="48" ht="15" customHeight="1">
      <c r="B48" s="82" t="inlineStr">
        <is>
          <t>Lettre de refus</t>
        </is>
      </c>
      <c r="C48" s="83" t="inlineStr">
        <is>
          <t>Génère la lettre de refus sur papier à en-tête.</t>
        </is>
      </c>
    </row>
    <row r="49" ht="15" customHeight="1">
      <c r="B49" s="82" t="inlineStr">
        <is>
          <t>Convention / promesse</t>
        </is>
      </c>
      <c r="C49" s="83" t="inlineStr">
        <is>
          <t>Génère la convention de stage ou la promesse d'embauche à partir du modèle.</t>
        </is>
      </c>
    </row>
    <row r="50" ht="15" customHeight="1">
      <c r="B50" s="82" t="inlineStr">
        <is>
          <t>Dossier du candidat</t>
        </is>
      </c>
      <c r="C50" s="83" t="inlineStr">
        <is>
          <t>Crée le dossier du candidat s'il n'existe pas et l'ouvre dans l'Explorateur.</t>
        </is>
      </c>
    </row>
    <row r="51" ht="15" customHeight="1">
      <c r="B51" s="82" t="inlineStr">
        <is>
          <t>Relances à faire</t>
        </is>
      </c>
      <c r="C51" s="83" t="inlineStr">
        <is>
          <t>Liste les dossiers en retard et crée une tâche Outlook pour chacun.</t>
        </is>
      </c>
    </row>
    <row r="52" ht="15" customHeight="1">
      <c r="B52" s="82" t="inlineStr">
        <is>
          <t>Purge RGPD</t>
        </is>
      </c>
      <c r="C52" s="83" t="inlineStr">
        <is>
          <t>Recense les candidatures dont la durée de conservation est dépassée et propose leur anonymisation.</t>
        </is>
      </c>
    </row>
    <row r="53" ht="15" customHeight="1">
      <c r="B53" s="82" t="inlineStr">
        <is>
          <t>Actualiser les listes</t>
        </is>
      </c>
      <c r="C53" s="83" t="inlineStr">
        <is>
          <t>Étend les menus déroulants après l'ajout de valeurs dans l'onglet Paramètres.</t>
        </is>
      </c>
    </row>
    <row r="54" ht="15" customHeight="1">
      <c r="B54" s="82" t="inlineStr">
        <is>
          <t>Supprimer les exemples</t>
        </is>
      </c>
      <c r="C54" s="83" t="inlineStr">
        <is>
          <t>Supprime les lignes de démonstration (EXEMPLE-…) des onglets Candidatures et Entretiens.</t>
        </is>
      </c>
    </row>
    <row r="56" ht="24" customHeight="1">
      <c r="B56" s="14" t="inlineStr">
        <is>
          <t>5.  LE CIRCUIT TYPE D'UNE CANDIDATURE</t>
        </is>
      </c>
    </row>
    <row r="57" ht="15" customHeight="1">
      <c r="B57" s="82" t="inlineStr">
        <is>
          <t>Réception</t>
        </is>
      </c>
      <c r="C57" s="83" t="inlineStr">
        <is>
          <t>Import Outlook ou saisie manuelle ▸ statut 1-Reçue.</t>
        </is>
      </c>
    </row>
    <row r="58" ht="15" customHeight="1">
      <c r="B58" s="82" t="inlineStr">
        <is>
          <t>Sous 7 jours</t>
        </is>
      </c>
      <c r="C58" s="83" t="inlineStr">
        <is>
          <t>Accusé de réception ▸ statut 2. Au-delà, la colonne Alerte affiche « À traiter ».</t>
        </is>
      </c>
    </row>
    <row r="59" ht="15" customHeight="1">
      <c r="B59" s="82" t="inlineStr">
        <is>
          <t>Examen</t>
        </is>
      </c>
      <c r="C59" s="83" t="inlineStr">
        <is>
          <t>Statut 3-En cours d'examen, attribution d'un responsable et d'une note sur 5.</t>
        </is>
      </c>
    </row>
    <row r="60" ht="15" customHeight="1">
      <c r="B60" s="82" t="inlineStr">
        <is>
          <t>Entretien</t>
        </is>
      </c>
      <c r="C60" s="83" t="inlineStr">
        <is>
          <t>Planification ▸ statut 4, puis compte rendu dans l'onglet Entretiens ▸ statut 5.</t>
        </is>
      </c>
    </row>
    <row r="61" ht="15" customHeight="1">
      <c r="B61" s="82" t="inlineStr">
        <is>
          <t>Décision</t>
        </is>
      </c>
      <c r="C61" s="83" t="inlineStr">
        <is>
          <t>Proposition (7) et recrutement (8), vivier (6), ou réponse négative (9).</t>
        </is>
      </c>
    </row>
    <row r="62" ht="15" customHeight="1">
      <c r="B62" s="82" t="inlineStr">
        <is>
          <t>Après décision</t>
        </is>
      </c>
      <c r="C62" s="83" t="inlineStr">
        <is>
          <t>La ligne passe en gris. La date de purge RGPD est calculée automatiquement.</t>
        </is>
      </c>
    </row>
    <row r="64" ht="24" customHeight="1">
      <c r="B64" s="14" t="inlineStr">
        <is>
          <t>6.  PROTECTION DES DONNÉES (RGPD)</t>
        </is>
      </c>
    </row>
    <row r="65" ht="16" customHeight="1">
      <c r="B65" s="84" t="inlineStr">
        <is>
          <t>ℹ   Un fichier de candidatures est un traitement de données personnelles : il doit figurer au registre du cabinet.</t>
        </is>
      </c>
    </row>
    <row r="66" ht="27" customHeight="1">
      <c r="B66" s="82" t="inlineStr">
        <is>
          <t>Conservation</t>
        </is>
      </c>
      <c r="C66" s="83" t="inlineStr">
        <is>
          <t>Par défaut 2 ans à compter du dernier contact, conformément à la recommandation de la CNIL. Le délai est modifiable dans Paramètres ; la colonne « Purge RGPD le » se recalcule seule.</t>
        </is>
      </c>
    </row>
    <row r="67" ht="15" customHeight="1">
      <c r="B67" s="82" t="inlineStr">
        <is>
          <t>Information</t>
        </is>
      </c>
      <c r="C67" s="83" t="inlineStr">
        <is>
          <t>Les modèles d'e-mails comportent la mention d'information et le rappel des droits du candidat.</t>
        </is>
      </c>
    </row>
    <row r="68" ht="15" customHeight="1">
      <c r="B68" s="82" t="inlineStr">
        <is>
          <t>Vivier</t>
        </is>
      </c>
      <c r="C68" s="83" t="inlineStr">
        <is>
          <t>La conservation au-delà du recrutement suppose l'accord du candidat : colonne « Consentement vivier ».</t>
        </is>
      </c>
    </row>
    <row r="69" ht="27" customHeight="1">
      <c r="B69" s="82" t="inlineStr">
        <is>
          <t>Données sensibles</t>
        </is>
      </c>
      <c r="C69" s="83" t="inlineStr">
        <is>
          <t>Ne saisissez jamais dans les commentaires d'information sur la santé, l'origine, les opinions politiques, religieuses ou syndicales, ni sur la vie privée du candidat.</t>
        </is>
      </c>
    </row>
    <row r="70" ht="15" customHeight="1">
      <c r="B70" s="82" t="inlineStr">
        <is>
          <t>Accès</t>
        </is>
      </c>
      <c r="C70" s="83" t="inlineStr">
        <is>
          <t>Rangez le classeur dans un dossier à accès restreint et sauvegardez-le régulièrement.</t>
        </is>
      </c>
    </row>
    <row r="72" ht="24" customHeight="1">
      <c r="B72" s="14" t="inlineStr">
        <is>
          <t>7.  DÉPANNAGE</t>
        </is>
      </c>
    </row>
    <row r="73" ht="39" customHeight="1">
      <c r="B73" s="82" t="inlineStr">
        <is>
          <t>Je ne trouve pas la commande d'exécution</t>
        </is>
      </c>
      <c r="C73" s="83" t="inlineStr">
        <is>
          <t>Le libellé diffère d'une version à l'autre. Le plus simple est de passer par Excel : Alt + F8, sélectionnez « Installer », puis Exécuter. Si la liste est vide, le module n'a pas été importé dans ce classeur : vérifiez qu'il figure bien sous Modules dans l'arborescence de l'éditeur.</t>
        </is>
      </c>
    </row>
    <row r="74" ht="39" customHeight="1">
      <c r="B74" s="82" t="inlineStr">
        <is>
          <t>L'import du module échoue</t>
        </is>
      </c>
      <c r="C74" s="83" t="inlineStr">
        <is>
          <t>Vérifiez le nom exact du fichier : certains navigateurs le téléchargent en VP_Candidatures.bas.txt. Affichez les extensions dans l'Explorateur et renommez-le si besoin. En cas de doute, utilisez directement la variante copier-coller (étape 4 bis).</t>
        </is>
      </c>
    </row>
    <row r="75" ht="27" customHeight="1">
      <c r="B75" s="82" t="inlineStr">
        <is>
          <t>Le module importé est illisible</t>
        </is>
      </c>
      <c r="C75" s="83" t="inlineStr">
        <is>
          <t>Le fichier a été réenregistré par un éditeur qui a modifié les fins de ligne ou l'encodage. Reprenez le fichier d'origine, ou utilisez la variante copier-coller.</t>
        </is>
      </c>
    </row>
    <row r="76" ht="15" customHeight="1">
      <c r="B76" s="82" t="inlineStr">
        <is>
          <t>Les boutons ne réagissent pas</t>
        </is>
      </c>
      <c r="C76" s="83" t="inlineStr">
        <is>
          <t>Le fichier a été enregistré en .xlsx, ou les macros sont désactivées : reprenez la section 3.</t>
        </is>
      </c>
    </row>
    <row r="77" ht="15" customHeight="1">
      <c r="B77" s="82" t="inlineStr">
        <is>
          <t>« Impossible de lire le fichier »</t>
        </is>
      </c>
      <c r="C77" s="83" t="inlineStr">
        <is>
          <t>Le fichier n'a pas été débloqué : clic droit ▸ Propriétés ▸ Débloquer.</t>
        </is>
      </c>
    </row>
    <row r="78" ht="27" customHeight="1">
      <c r="B78" s="82" t="inlineStr">
        <is>
          <t>Outlook ne s'ouvre pas</t>
        </is>
      </c>
      <c r="C78" s="83" t="inlineStr">
        <is>
          <t>Outlook doit être installé et un profil configuré sur le poste. La version web d'Outlook ne permet pas ce type d'automatisation.</t>
        </is>
      </c>
    </row>
    <row r="79" ht="27" customHeight="1">
      <c r="B79" s="82" t="inlineStr">
        <is>
          <t>L'e-mail part sans signature</t>
        </is>
      </c>
      <c r="C79" s="83" t="inlineStr">
        <is>
          <t>Laissez la cellule « Signature e-mail » vide dans Paramètres : la signature Outlook par défaut est alors conservée.</t>
        </is>
      </c>
    </row>
    <row r="80" ht="15" customHeight="1">
      <c r="B80" s="82" t="inlineStr">
        <is>
          <t>Le document Word est vide</t>
        </is>
      </c>
      <c r="C80" s="83" t="inlineStr">
        <is>
          <t>Vérifiez le chemin du dossier des modèles dans Paramètres et la présence des fichiers .docx.</t>
        </is>
      </c>
    </row>
    <row r="81" ht="27" customHeight="1">
      <c r="B81" s="82" t="inlineStr">
        <is>
          <t>Une valeur est refusée</t>
        </is>
      </c>
      <c r="C81" s="83" t="inlineStr">
        <is>
          <t>Elle ne figure pas dans la liste de l'onglet Paramètres : ajoutez-la, puis cliquez sur « Actualiser les listes ».</t>
        </is>
      </c>
    </row>
    <row r="82" ht="27" customHeight="1">
      <c r="B82" s="82" t="inlineStr">
        <is>
          <t>Le classeur devient lent</t>
        </is>
      </c>
      <c r="C82" s="83" t="inlineStr">
        <is>
          <t>Supprimez les lignes vides sous le tableau et archivez les candidatures closes de plus de deux ans (bouton Purge RGPD).</t>
        </is>
      </c>
    </row>
  </sheetData>
  <mergeCells count="15">
    <mergeCell ref="B21:C21"/>
    <mergeCell ref="B24:C24"/>
    <mergeCell ref="B64:C64"/>
    <mergeCell ref="B15:C15"/>
    <mergeCell ref="B33:C33"/>
    <mergeCell ref="A1:C1"/>
    <mergeCell ref="B72:C72"/>
    <mergeCell ref="B5:C5"/>
    <mergeCell ref="B34:C34"/>
    <mergeCell ref="B23:C23"/>
    <mergeCell ref="B36:C36"/>
    <mergeCell ref="B31:C31"/>
    <mergeCell ref="B56:C56"/>
    <mergeCell ref="B65:C65"/>
    <mergeCell ref="A2:C2"/>
  </mergeCells>
  <pageMargins left="0.75" right="0.75" top="1" bottom="1" header="0.5" footer="0.5"/>
  <pageSetup orientation="portrait"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Cabinet Victimes &amp; Préjudices</dc:creator>
  <dc:title xmlns:dc="http://purl.org/dc/elements/1.1/">Gestion des candidatures — Cabinet Victimes &amp; Préjudices</dc:title>
  <dc:description xmlns:dc="http://purl.org/dc/elements/1.1/">Suivi des candidatures, entretiens et automatisations Outlook / Word. Module VBA associé : VP_Candidatures.bas</dc:description>
  <dcterms:created xmlns:dcterms="http://purl.org/dc/terms/" xmlns:xsi="http://www.w3.org/2001/XMLSchema-instance" xsi:type="dcterms:W3CDTF">2026-09-16T07:00:03Z</dcterms:created>
  <dcterms:modified xmlns:dcterms="http://purl.org/dc/terms/" xmlns:xsi="http://www.w3.org/2001/XMLSchema-instance" xsi:type="dcterms:W3CDTF">2026-09-16T07:00:03Z</dcterms:modified>
</cp:coreProperties>
</file>