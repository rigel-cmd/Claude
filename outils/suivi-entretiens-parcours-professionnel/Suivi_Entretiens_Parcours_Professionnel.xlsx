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Tableau de bord" sheetId="2" state="visible" r:id="rId4"/>
    <sheet name="Suivi EPP" sheetId="3" state="visible" r:id="rId5"/>
    <sheet name="Journal" sheetId="4" state="visible" r:id="rId6"/>
    <sheet name="Paramètres" sheetId="5" state="visible" r:id="rId7"/>
  </sheets>
  <definedNames>
    <definedName function="false" hidden="true" localSheetId="3" name="_xlnm._FilterDatabase" vbProcedure="false">Journal!$A$5:$H$1005</definedName>
    <definedName function="false" hidden="false" localSheetId="2" name="_xlnm.Print_Titles" vbProcedure="false">'Suivi EPP'!$4:$5</definedName>
    <definedName function="false" hidden="true" localSheetId="2" name="_xlnm._FilterDatabase" vbProcedure="false">'Suivi EPP'!$A$5:$AK$505</definedName>
    <definedName function="false" hidden="false" name="AgeFinCarriere" vbProcedure="false">Paramètres!$C$16</definedName>
    <definedName function="false" hidden="false" name="AgeMiCarriere" vbProcedure="false">Paramètres!$C$15</definedName>
    <definedName function="false" hidden="false" name="AnciennePeriodiciteEDL" vbProcedure="false">Paramètres!$C$12</definedName>
    <definedName function="false" hidden="false" name="AnciennePeriodiciteEP" vbProcedure="false">Paramètres!$C$10</definedName>
    <definedName function="false" hidden="false" name="DateRef" vbProcedure="false">Paramètres!$C$5</definedName>
    <definedName function="false" hidden="false" name="DateVigueur" vbProcedure="false">Paramètres!$C$6</definedName>
    <definedName function="false" hidden="false" name="DelaiMiCarriere" vbProcedure="false">Paramètres!$C$14</definedName>
    <definedName function="false" hidden="false" name="DelaiPremierEPP" vbProcedure="false">Paramètres!$C$8</definedName>
    <definedName function="false" hidden="false" name="Effectif" vbProcedure="false">Paramètres!$C$20</definedName>
    <definedName function="false" hidden="false" name="FenetreFinCarriere" vbProcedure="false">Paramètres!$C$17</definedName>
    <definedName function="false" hidden="false" name="FenetreRetour" vbProcedure="false">Paramètres!$C$13</definedName>
    <definedName function="false" hidden="false" name="ListeAbsences" vbProcedure="false">Paramètres!$H$5:$H$13</definedName>
    <definedName function="false" hidden="false" name="ListeMatricules" vbProcedure="false">'Suivi EPP'!$A$6:$A$505</definedName>
    <definedName function="false" hidden="false" name="ListeServices" vbProcedure="false">Paramètres!$G$5:$G$24</definedName>
    <definedName function="false" hidden="false" name="ListeTypes" vbProcedure="false">Paramètres!$I$5:$I$12</definedName>
    <definedName function="false" hidden="false" name="MontantAbondement" vbProcedure="false">Paramètres!$C$22</definedName>
    <definedName function="false" hidden="false" name="PeriodiciteEDL" vbProcedure="false">Paramètres!$C$11</definedName>
    <definedName function="false" hidden="false" name="PeriodiciteEPP" vbProcedure="false">Paramètres!$C$9</definedName>
    <definedName function="false" hidden="false" name="ReglesTransitoires" vbProcedure="false">Paramètres!$C$7</definedName>
    <definedName function="false" hidden="false" name="SeuilAlerteEDL" vbProcedure="false">Paramètres!$C$19</definedName>
    <definedName function="false" hidden="false" name="SeuilAlerteEPP" vbProcedure="false">Paramètres!$C$18</definedName>
    <definedName function="false" hidden="false" name="SeuilEffectif" vbProcedure="false">Paramètres!$C$21</definedName>
    <definedName function="false" hidden="false" name="TypeBilan6" vbProcedure="false">Paramètres!$I$12</definedName>
    <definedName function="false" hidden="false" name="TypeEDL" vbProcedure="false">Paramètres!$I$7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Identifiant unique : il relie le salarié au Journal des entretiens.</t>
        </r>
      </text>
    </comment>
    <comment ref="D5" authorId="0">
      <text>
        <r>
          <rPr>
            <sz val="10"/>
            <rFont val="Arial"/>
            <family val="2"/>
          </rPr>
          <t xml:space="preserve">Liste modifiable dans l'onglet Paramètres.</t>
        </r>
      </text>
    </comment>
    <comment ref="F5" authorId="0">
      <text>
        <r>
          <rPr>
            <sz val="10"/>
            <rFont val="Arial"/>
            <family val="2"/>
          </rPr>
          <t xml:space="preserve">L'EPP est conduit par l'employeur (supérieur hiérarchique ou représentant de la direction), sur le temps de travail.</t>
        </r>
      </text>
    </comment>
    <comment ref="G5" authorId="0">
      <text>
        <r>
          <rPr>
            <sz val="10"/>
            <rFont val="Arial"/>
            <family val="2"/>
          </rPr>
          <t xml:space="preserve">Sert aux alertes mi-carrière et fin de carrière.</t>
        </r>
      </text>
    </comment>
    <comment ref="I5" authorId="0">
      <text>
        <r>
          <rPr>
            <sz val="10"/>
            <rFont val="Arial"/>
            <family val="2"/>
          </rPr>
          <t xml:space="preserve">À renseigner en cas de départ : la ligne passe en « Sorti ».</t>
        </r>
      </text>
    </comment>
    <comment ref="K5" authorId="0">
      <text>
        <r>
          <rPr>
            <sz val="10"/>
            <rFont val="Arial"/>
            <family val="2"/>
          </rPr>
          <t xml:space="preserve">Plus d'un an : le prochain EPP se calcule à partir de la date du précédent entretien professionnel.</t>
        </r>
      </text>
    </comment>
    <comment ref="L5" authorId="0">
      <text>
        <r>
          <rPr>
            <sz val="10"/>
            <rFont val="Arial"/>
            <family val="2"/>
          </rPr>
          <t xml:space="preserve">OBLIGATOIRE pour les salariés ayant plus d'un an d'ancienneté.
Date du dernier entretien professionnel (ancien entretien biennal) ou du dernier EPP : c'est à partir de cette date que court le délai de 4 ans.
Les entretiens consignés dans l'onglet Journal sont repris automatiquement (la date la plus récente est retenue).</t>
        </r>
      </text>
    </comment>
    <comment ref="N5" authorId="0">
      <text>
        <r>
          <rPr>
            <sz val="10"/>
            <rFont val="Arial"/>
            <family val="2"/>
          </rPr>
          <t xml:space="preserve">Date la plus récente entre la saisie (colonne L) et le Journal.</t>
        </r>
      </text>
    </comment>
    <comment ref="O5" authorId="0">
      <text>
        <r>
          <rPr>
            <sz val="10"/>
            <rFont val="Arial"/>
            <family val="2"/>
          </rPr>
          <t xml:space="preserve">Moins d'un an sans entretien : 1er EPP dans les 12 mois suivant l'embauche.
Précédent entretien connu : précédent entretien + 4 ans.
Si l'ancien délai de 2 ans était déjà expiré au 26/10/2025 : échéance = précédent + 2 ans (retard).</t>
        </r>
      </text>
    </comment>
    <comment ref="Q5" authorId="0">
      <text>
        <r>
          <rPr>
            <sz val="10"/>
            <rFont val="Arial"/>
            <family val="2"/>
          </rPr>
          <t xml:space="preserve">Date de l'entretien programmé. Le statut passe à « Planifié » si elle est postérieure à la date de référence et antérieure à l'échéance.</t>
        </r>
      </text>
    </comment>
    <comment ref="U5" authorId="0">
      <text>
        <r>
          <rPr>
            <sz val="10"/>
            <rFont val="Arial"/>
            <family val="2"/>
          </rPr>
          <t xml:space="preserve">Congé de maternité, d'adoption, parental d'éducation, temps partiel parental, proche aidant, sabbatique, mobilité volontaire sécurisée, arrêt longue maladie, mandat syndical.</t>
        </r>
      </text>
    </comment>
    <comment ref="V5" authorId="0">
      <text>
        <r>
          <rPr>
            <sz val="10"/>
            <rFont val="Arial"/>
            <family val="2"/>
          </rPr>
          <t xml:space="preserve">Date de reprise effective ou prévue. L'EPP est proposé à la reprise, sauf si un EPP a eu lieu dans les 12 mois qui la précèdent.</t>
        </r>
      </text>
    </comment>
    <comment ref="X5" authorId="0">
      <text>
        <r>
          <rPr>
            <sz val="10"/>
            <rFont val="Arial"/>
            <family val="2"/>
          </rPr>
          <t xml:space="preserve">Visite médicale de mi-carrière (service de prévention et de santé au travail). Un EPP doit être organisé dans les 2 mois qui suivent.</t>
        </r>
      </text>
    </comment>
    <comment ref="AC5" authorId="0">
      <text>
        <r>
          <rPr>
            <sz val="10"/>
            <rFont val="Arial"/>
            <family val="2"/>
          </rPr>
          <t xml:space="preserve">Le 1er EPP intervenant dans les 2 ans précédant les 60 ans doit aborder le maintien dans l'emploi et les aménagements de fin de carrière (temps partiel, retraite progressive).
« À programmer avant 60 ans » : le prochain EPP tomberait après les 60 ans.</t>
        </r>
      </text>
    </comment>
    <comment ref="AD5" authorId="0">
      <text>
        <r>
          <rPr>
            <sz val="10"/>
            <rFont val="Arial"/>
            <family val="2"/>
          </rPr>
          <t xml:space="preserve">Date du dernier état des lieux récapitulatif (EPP 8 ans) ou du dernier bilan à 6 ans (ancien régime). À défaut, le cycle court depuis l'embauche. Les états des lieux consignés au Journal sont repris automatiquement.</t>
        </r>
      </text>
    </comment>
    <comment ref="AH5" authorId="0">
      <text>
        <r>
          <rPr>
            <sz val="10"/>
            <rFont val="Arial"/>
            <family val="2"/>
          </rPr>
          <t xml:space="preserve">Au moins une formation autre que celles conditionnant l'exercice d'une activité ou d'une fonction (art. L6321-2) depuis le début du cycle.</t>
        </r>
      </text>
    </comment>
    <comment ref="AI5" authorId="0">
      <text>
        <r>
          <rPr>
            <sz val="10"/>
            <rFont val="Arial"/>
            <family val="2"/>
          </rPr>
          <t xml:space="preserve">Oui si tous les EPP dus depuis le début du cycle ont bien eu lieu.</t>
        </r>
      </text>
    </comment>
    <comment ref="AJ5" authorId="0">
      <text>
        <r>
          <rPr>
            <sz val="10"/>
            <rFont val="Arial"/>
            <family val="2"/>
          </rPr>
          <t xml:space="preserve">Entreprises d'au moins 50 salariés : abondement correctif de 3 000 € sur le CPF si, sur le cycle, le salarié n'a pas bénéficié des entretiens prévus ET d'au moins une formation non obligatoire.</t>
        </r>
      </text>
    </comment>
  </commentList>
</comments>
</file>

<file path=xl/sharedStrings.xml><?xml version="1.0" encoding="utf-8"?>
<sst xmlns="http://schemas.openxmlformats.org/spreadsheetml/2006/main" count="384" uniqueCount="317">
  <si>
    <t xml:space="preserve">Outil de suivi des entretiens de parcours professionnel (EPP)</t>
  </si>
  <si>
    <t xml:space="preserve">Article L6315-1 du Code du travail, dans sa rédaction issue de la loi n° 2025-989 du 24 octobre 2025 (JO du 25/10/2025), applicable depuis le 26 octobre 2025.</t>
  </si>
  <si>
    <t xml:space="preserve">1. MODE D'EMPLOI</t>
  </si>
  <si>
    <t xml:space="preserve">① Paramètres – Renseignez l'effectif de l'entreprise et complétez la liste des services. Vérifiez les délais : ils reprennent le Code du travail et peuvent être adaptés si un accord d'entreprise ou de branche prévoit des règles plus favorables.</t>
  </si>
  <si>
    <t xml:space="preserve">② Suivi EPP – Une ligne par salarié ; saisissez uniquement dans les colonnes jaunes. Pour tout salarié ayant plus d'un an d'ancienneté, renseignez la date du précédent entretien professionnel (colonne L : ancien entretien biennal ou EPP) : c'est elle qui fait courir le délai de 4 ans. Sans cette date, l'outil considère qu'aucun entretien n'a eu lieu, affiche un retard et une alerte.</t>
  </si>
  <si>
    <t xml:space="preserve">③ Journal – Consignez chaque nouvel entretien réalisé (matricule, date, type). La date la plus récente entre la colonne L et le Journal est retenue automatiquement : inutile de ressaisir la date dans le Suivi. Un entretien de type « EPP + état des lieux récapitulatif » ou « Bilan à 6 ans » relance aussi le cycle de 8 ans.</t>
  </si>
  <si>
    <t xml:space="preserve">④ Tableau de bord – Vue d'ensemble des retards, contrôles de saisie, cas particuliers, exposition à l'abondement correctif, répartition par service et plan de charge sur 12 mois.</t>
  </si>
  <si>
    <t xml:space="preserve">⑤ Les lignes EX-001 à EX-012 (Suivi) et les lignes EX-… du Journal sont des exemples fictifs illustrant chaque cas : effacez le contenu de leurs cellules jaunes (touche Suppr) sans supprimer les lignes, afin de conserver les formules. L'outil est préformaté pour 500 salariés et 1 000 entretiens.</t>
  </si>
  <si>
    <t xml:space="preserve">La date de référence (Paramètres) est par défaut la date du jour : tous les statuts se mettent à jour à chaque ouverture du fichier.</t>
  </si>
  <si>
    <t xml:space="preserve">2. RÈGLES DE CALCUL APPLIQUÉES</t>
  </si>
  <si>
    <t xml:space="preserve">Situation</t>
  </si>
  <si>
    <t xml:space="preserve">Règle appliquée par l'outil</t>
  </si>
  <si>
    <t xml:space="preserve">Référence</t>
  </si>
  <si>
    <t xml:space="preserve">Salarié de moins d'un an, sans entretien</t>
  </si>
  <si>
    <t xml:space="preserve">1er EPP au plus tard 12 mois après la date d'embauche.</t>
  </si>
  <si>
    <t xml:space="preserve">L6315-1 : EPP « au cours de la première année suivant son embauche »</t>
  </si>
  <si>
    <t xml:space="preserve">Salarié de plus d'un an (ou 1er EPP déjà réalisé)</t>
  </si>
  <si>
    <t xml:space="preserve">Prochain EPP = date du précédent entretien professionnel (ou du dernier EPP) + 4 ans.</t>
  </si>
  <si>
    <t xml:space="preserve">L6315-1 ; le délai de 4 ans court à compter du dernier entretien réalisé</t>
  </si>
  <si>
    <t xml:space="preserve">Précédent entretien dont le délai de 2 ans était déjà expiré au 26/10/2025</t>
  </si>
  <si>
    <t xml:space="preserve">L'échéance reste fixée à précédent entretien + 2 ans : le salarié apparaît en retard et l'EPP est à organiser sans attendre. Règle désactivable dans les Paramètres.</t>
  </si>
  <si>
    <t xml:space="preserve">Règle transitoire (délais non expirés prolongés)</t>
  </si>
  <si>
    <t xml:space="preserve">Salarié de plus d'un an sans date de précédent entretien</t>
  </si>
  <si>
    <t xml:space="preserve">Échéance = embauche + 12 mois (donc dépassée) + alerte « Précédent entretien à renseigner ».</t>
  </si>
  <si>
    <t xml:space="preserve">Contrôle de saisie</t>
  </si>
  <si>
    <t xml:space="preserve">Reprise après une absence</t>
  </si>
  <si>
    <t xml:space="preserve">EPP proposé à la reprise (congé de maternité, d'adoption, parental d'éducation ou temps partiel parental, proche aidant, sabbatique, mobilité volontaire sécurisée, arrêt longue maladie, mandat syndical), sauf si un EPP a eu lieu dans les 12 mois précédant la reprise (« Dispensé »).</t>
  </si>
  <si>
    <t xml:space="preserve">L6315-1</t>
  </si>
  <si>
    <t xml:space="preserve">Visite médicale de mi-carrière</t>
  </si>
  <si>
    <t xml:space="preserve">EPP à organiser dans les 2 mois suivant la visite. Alerte si le salarié a 44 à 46 ans (année civile) sans visite renseignée.</t>
  </si>
  <si>
    <t xml:space="preserve">L6315-1 ; L4624-2-2</t>
  </si>
  <si>
    <t xml:space="preserve">Approche des 60 ans</t>
  </si>
  <si>
    <t xml:space="preserve">Le 1er EPP intervenant dans les 2 ans précédant le 60e anniversaire aborde le maintien dans l'emploi et les aménagements de fin de carrière (temps partiel, retraite progressive). L'outil signale si le prochain EPP tomberait après les 60 ans (« À programmer avant 60 ans »).</t>
  </si>
  <si>
    <t xml:space="preserve">État des lieux récapitulatif</t>
  </si>
  <si>
    <t xml:space="preserve">Tous les 8 ans à compter de l'embauche ou du dernier état des lieux / bilan. Si le bilan à 6 ans était déjà échu au 26/10/2025, l'échéance reste l'ancienne (retard) ; sinon elle est reportée à 8 ans.</t>
  </si>
  <si>
    <t xml:space="preserve">Abondement correctif du CPF</t>
  </si>
  <si>
    <t xml:space="preserve">Entreprises d'au moins 50 salariés : 3 000 € versés sur le CPF si, sur le cycle, le salarié n'a pas bénéficié des entretiens prévus et d'au moins une formation non obligatoire.</t>
  </si>
  <si>
    <t xml:space="preserve">L6323-13 ; R6323-3</t>
  </si>
  <si>
    <t xml:space="preserve">3. STATUTS ET CODES COULEUR</t>
  </si>
  <si>
    <t xml:space="preserve">Statut</t>
  </si>
  <si>
    <t xml:space="preserve">Signification</t>
  </si>
  <si>
    <t xml:space="preserve">Colonnes concernées</t>
  </si>
  <si>
    <t xml:space="preserve">En retard / Non réalisé</t>
  </si>
  <si>
    <t xml:space="preserve">Échéance dépassée : entretien à organiser en priorité.</t>
  </si>
  <si>
    <t xml:space="preserve">Statut EPP, mi-carrière, fin de carrière, état des lieux</t>
  </si>
  <si>
    <t xml:space="preserve">À planifier / À prévoir</t>
  </si>
  <si>
    <t xml:space="preserve">Échéance dans moins de 90 jours (EPP) ou 180 jours (état des lieux).</t>
  </si>
  <si>
    <t xml:space="preserve">Statut EPP, mi-carrière, état des lieux, reprise</t>
  </si>
  <si>
    <t xml:space="preserve">Planifié</t>
  </si>
  <si>
    <t xml:space="preserve">Une date de convocation est fixée avant l'échéance.</t>
  </si>
  <si>
    <t xml:space="preserve">Statut EPP, fin de carrière</t>
  </si>
  <si>
    <t xml:space="preserve">À jour / Réalisé</t>
  </si>
  <si>
    <t xml:space="preserve">Aucune action requise à ce jour.</t>
  </si>
  <si>
    <t xml:space="preserve">Toutes</t>
  </si>
  <si>
    <t xml:space="preserve">Dispensé (EPP récent)</t>
  </si>
  <si>
    <t xml:space="preserve">Reprise d'absence : un EPP a eu lieu dans les 12 mois précédant la reprise.</t>
  </si>
  <si>
    <t xml:space="preserve">EPP de reprise</t>
  </si>
  <si>
    <t xml:space="preserve">Risque abondement</t>
  </si>
  <si>
    <t xml:space="preserve">Ni les entretiens prévus ni une formation non obligatoire sur le cycle (≥ 50 salariés).</t>
  </si>
  <si>
    <t xml:space="preserve">Risque abondement CPF</t>
  </si>
  <si>
    <t xml:space="preserve">Sorti / Non concerné</t>
  </si>
  <si>
    <t xml:space="preserve">Salarié parti, ou obligation non applicable.</t>
  </si>
  <si>
    <t xml:space="preserve">4. POINTS DE VIGILANCE ET HYPOTHÈSES</t>
  </si>
  <si>
    <t xml:space="preserve">• L'EPP porte sur les perspectives d'évolution professionnelle (compétences, qualifications, formation, mobilité, reconversion, CPF, VAE, conseil en évolution professionnelle…) et jamais sur l'évaluation du travail du salarié : il reste distinct de l'entretien annuel d'évaluation. Il se tient sur le temps de travail et donne lieu à un document écrit dont une copie est remise au salarié (colonne « Compte rendu écrit remis ? » du Journal).</t>
  </si>
  <si>
    <t xml:space="preserve">• Accords collectifs : si un accord d'entreprise ou de branche aménage l'EPP, adaptez les paramètres. Les accords antérieurs prévoyant une périodicité supérieure à 4 ans devaient être mis en conformité au plus tard le 1er octobre 2026.</t>
  </si>
  <si>
    <t xml:space="preserve">• Salariés embauchés avant le 26/10/2025 et n'ayant encore eu aucun entretien : par prudence, l'outil applique le délai d'un an de la nouvelle loi.</t>
  </si>
  <si>
    <t xml:space="preserve">• Fenêtre des 58-60 ans : interprétation prudente – si aucun EPP n'est prévu dans la fenêtre, l'outil recommande d'en programmer un.</t>
  </si>
  <si>
    <t xml:space="preserve">• Abondement correctif : le critère retenu (absence cumulée des entretiens prévus et de toute formation non obligatoire) suit la lecture administrative de l'article L6323-13 ; vérifiez-le au regard des textes et précisions ministérielles en vigueur.</t>
  </si>
  <si>
    <t xml:space="preserve">• Cet outil est une aide au pilotage : il ne remplace pas l'analyse juridique de situations particulières (transferts de contrats, suspensions multiples, accords spécifiques). Référez-vous au texte en vigueur sur Légifrance.</t>
  </si>
  <si>
    <t xml:space="preserve">Tableau de bord – Entretiens de parcours professionnel</t>
  </si>
  <si>
    <t xml:space="preserve">Date de référence :</t>
  </si>
  <si>
    <t xml:space="preserve">Effectif déclaré (Paramètres) :</t>
  </si>
  <si>
    <t xml:space="preserve">ENTRETIENS DE PARCOURS PROFESSIONNEL</t>
  </si>
  <si>
    <t xml:space="preserve">RÉPARTITION PAR SERVICE</t>
  </si>
  <si>
    <t xml:space="preserve">Salariés actifs suivis</t>
  </si>
  <si>
    <t xml:space="preserve">Service</t>
  </si>
  <si>
    <t xml:space="preserve">Actifs</t>
  </si>
  <si>
    <t xml:space="preserve">En retard</t>
  </si>
  <si>
    <t xml:space="preserve">À planifier</t>
  </si>
  <si>
    <t xml:space="preserve">Planifiés</t>
  </si>
  <si>
    <t xml:space="preserve">À jour</t>
  </si>
  <si>
    <t xml:space="preserve">Conformité</t>
  </si>
  <si>
    <t xml:space="preserve">   dont ancienneté de moins d'un an</t>
  </si>
  <si>
    <t xml:space="preserve">   dont ancienneté de plus d'un an</t>
  </si>
  <si>
    <t xml:space="preserve">EPP en retard</t>
  </si>
  <si>
    <t xml:space="preserve">EPP planifiés</t>
  </si>
  <si>
    <t xml:space="preserve">EPP à jour</t>
  </si>
  <si>
    <t xml:space="preserve">Taux de conformité (salariés actifs sans retard)</t>
  </si>
  <si>
    <t xml:space="preserve">CONTRÔLES DE SAISIE</t>
  </si>
  <si>
    <t xml:space="preserve">Salariés de plus d'un an sans date de précédent entretien</t>
  </si>
  <si>
    <t xml:space="preserve">Lignes comportant au moins une alerte</t>
  </si>
  <si>
    <t xml:space="preserve">Fiches incomplètes (date d'embauche manquante)</t>
  </si>
  <si>
    <t xml:space="preserve">CAS PARTICULIERS</t>
  </si>
  <si>
    <t xml:space="preserve">Reprise d'absence : EPP à proposer (reprise passée)</t>
  </si>
  <si>
    <t xml:space="preserve">Reprise d'absence : EPP à prévoir à la reprise</t>
  </si>
  <si>
    <t xml:space="preserve">Mi-carrière : EPP post-visite en retard</t>
  </si>
  <si>
    <t xml:space="preserve">Mi-carrière : EPP post-visite à planifier</t>
  </si>
  <si>
    <t xml:space="preserve">Fin de carrière : EPP à programmer avant 60 ans</t>
  </si>
  <si>
    <t xml:space="preserve">Fin de carrière : EPP non réalisé avant 60 ans</t>
  </si>
  <si>
    <t xml:space="preserve">Total</t>
  </si>
  <si>
    <t xml:space="preserve">ÉTAT DES LIEUX RÉCAPITULATIF &amp; ABONDEMENT CPF</t>
  </si>
  <si>
    <t xml:space="preserve">États des lieux en retard</t>
  </si>
  <si>
    <t xml:space="preserve">PLAN DE CHARGE – 12 PROCHAINS MOIS</t>
  </si>
  <si>
    <t xml:space="preserve">Salariés exposés au risque d'abondement correctif</t>
  </si>
  <si>
    <t xml:space="preserve">Mois</t>
  </si>
  <si>
    <t xml:space="preserve">Du</t>
  </si>
  <si>
    <t xml:space="preserve">Au</t>
  </si>
  <si>
    <t xml:space="preserve">EPP à échéance</t>
  </si>
  <si>
    <t xml:space="preserve">États des lieux</t>
  </si>
  <si>
    <t xml:space="preserve">Situations à vérifier (formation non renseignée)</t>
  </si>
  <si>
    <t xml:space="preserve">Retard à résorber</t>
  </si>
  <si>
    <t xml:space="preserve">Exposition financière potentielle</t>
  </si>
  <si>
    <t xml:space="preserve">Total sur 12 mois</t>
  </si>
  <si>
    <t xml:space="preserve">Suivi des entretiens de parcours professionnel (EPP)</t>
  </si>
  <si>
    <t xml:space="preserve">Article L6315-1 du Code du travail – loi n° 2025-989 du 24/10/2025 (en vigueur depuis le 26/10/2025) : 1er EPP dans l'année suivant l'embauche, puis tous les 4 ans à compter du précédent entretien ; état des lieux récapitulatif tous les 8 ans.</t>
  </si>
  <si>
    <t xml:space="preserve">Colonnes jaunes = saisie  ·  Colonnes grises = calcul automatique (ne pas modifier)  ·  Pour tout salarié de plus d'un an, la date du précédent entretien professionnel (colonne L) est indispensable  ·  Lignes EX-… = exemples fictifs à effacer.</t>
  </si>
  <si>
    <t xml:space="preserve">IDENTIFICATION DU SALARIÉ</t>
  </si>
  <si>
    <t xml:space="preserve">ANCIENNETÉ &amp; PRÉCÉDENT ENTRETIEN</t>
  </si>
  <si>
    <t xml:space="preserve">PROCHAIN ENTRETIEN DE PARCOURS PROFESSIONNEL</t>
  </si>
  <si>
    <t xml:space="preserve">REPRISE APRÈS ABSENCE</t>
  </si>
  <si>
    <t xml:space="preserve">MI-CARRIÈRE</t>
  </si>
  <si>
    <t xml:space="preserve">FIN DE CARRIÈRE</t>
  </si>
  <si>
    <t xml:space="preserve">ÉTAT DES LIEUX RÉCAPITULATIF (8 ANS)</t>
  </si>
  <si>
    <t xml:space="preserve">SUIVI</t>
  </si>
  <si>
    <t xml:space="preserve">Matricule</t>
  </si>
  <si>
    <t xml:space="preserve">Nom</t>
  </si>
  <si>
    <t xml:space="preserve">Prénom</t>
  </si>
  <si>
    <t xml:space="preserve">Poste</t>
  </si>
  <si>
    <t xml:space="preserve">Responsable de l'entretien</t>
  </si>
  <si>
    <t xml:space="preserve">Date de naissance</t>
  </si>
  <si>
    <t xml:space="preserve">Date d'embauche</t>
  </si>
  <si>
    <t xml:space="preserve">Date de sortie</t>
  </si>
  <si>
    <t xml:space="preserve">Ancienneté (années)</t>
  </si>
  <si>
    <t xml:space="preserve">Ancienneté</t>
  </si>
  <si>
    <t xml:space="preserve">Date du précédent entretien professionnel (saisie)</t>
  </si>
  <si>
    <t xml:space="preserve">Dernier entretien consigné au Journal</t>
  </si>
  <si>
    <t xml:space="preserve">Dernier entretien retenu</t>
  </si>
  <si>
    <t xml:space="preserve">Règle de calcul appliquée</t>
  </si>
  <si>
    <t xml:space="preserve">Échéance du prochain EPP</t>
  </si>
  <si>
    <t xml:space="preserve">Date prévue (convocation)</t>
  </si>
  <si>
    <t xml:space="preserve">Jours restants</t>
  </si>
  <si>
    <t xml:space="preserve">Statut EPP</t>
  </si>
  <si>
    <t xml:space="preserve">Alertes / contrôles</t>
  </si>
  <si>
    <t xml:space="preserve">Type d'absence</t>
  </si>
  <si>
    <t xml:space="preserve">Date de reprise</t>
  </si>
  <si>
    <t xml:space="preserve">Date de la visite de mi-carrière</t>
  </si>
  <si>
    <t xml:space="preserve">Échéance EPP post-visite</t>
  </si>
  <si>
    <t xml:space="preserve">Statut EPP mi-carrière</t>
  </si>
  <si>
    <t xml:space="preserve">Âge</t>
  </si>
  <si>
    <t xml:space="preserve">Date des 60 ans</t>
  </si>
  <si>
    <t xml:space="preserve">EPP de fin de carrière</t>
  </si>
  <si>
    <t xml:space="preserve">Date du dernier état des lieux / bilan (saisie)</t>
  </si>
  <si>
    <t xml:space="preserve">Début du cycle en cours</t>
  </si>
  <si>
    <t xml:space="preserve">Échéance de l'état des lieux</t>
  </si>
  <si>
    <t xml:space="preserve">Statut état des lieux</t>
  </si>
  <si>
    <t xml:space="preserve">Formation non obligatoire suivie sur le cycle ?</t>
  </si>
  <si>
    <t xml:space="preserve">Tous les EPP dus sur le cycle réalisés ?</t>
  </si>
  <si>
    <t xml:space="preserve">Commentaires</t>
  </si>
  <si>
    <t xml:space="preserve">EX-001</t>
  </si>
  <si>
    <t xml:space="preserve">MARTIN</t>
  </si>
  <si>
    <t xml:space="preserve">Julie</t>
  </si>
  <si>
    <t xml:space="preserve">Commercial</t>
  </si>
  <si>
    <t xml:space="preserve">Chargée d'affaires</t>
  </si>
  <si>
    <t xml:space="preserve">P. Durand</t>
  </si>
  <si>
    <t xml:space="preserve">Moins d'un an : 1er EPP dans l'année suivant l'embauche</t>
  </si>
  <si>
    <t xml:space="preserve">EX-002</t>
  </si>
  <si>
    <t xml:space="preserve">BERNARD</t>
  </si>
  <si>
    <t xml:space="preserve">Thomas</t>
  </si>
  <si>
    <t xml:space="preserve">Production</t>
  </si>
  <si>
    <t xml:space="preserve">Technicien de maintenance</t>
  </si>
  <si>
    <t xml:space="preserve">A. Roux</t>
  </si>
  <si>
    <t xml:space="preserve">Oui</t>
  </si>
  <si>
    <t xml:space="preserve">Visite de mi-carrière récente : EPP sous 2 mois</t>
  </si>
  <si>
    <t xml:space="preserve">EX-003</t>
  </si>
  <si>
    <t xml:space="preserve">PETIT</t>
  </si>
  <si>
    <t xml:space="preserve">Sophie</t>
  </si>
  <si>
    <t xml:space="preserve">Ressources humaines</t>
  </si>
  <si>
    <t xml:space="preserve">Gestionnaire paie</t>
  </si>
  <si>
    <t xml:space="preserve">M. Leroy</t>
  </si>
  <si>
    <t xml:space="preserve">Congé parental d'éducation</t>
  </si>
  <si>
    <t xml:space="preserve">Délai de 2 ans expiré avant la réforme + reprise à venir</t>
  </si>
  <si>
    <t xml:space="preserve">EX-004</t>
  </si>
  <si>
    <t xml:space="preserve">ROBERT</t>
  </si>
  <si>
    <t xml:space="preserve">Karim</t>
  </si>
  <si>
    <t xml:space="preserve">Logistique</t>
  </si>
  <si>
    <t xml:space="preserve">Cariste</t>
  </si>
  <si>
    <t xml:space="preserve">60 ans en mars 2027 : prochain EPP à avancer</t>
  </si>
  <si>
    <t xml:space="preserve">EX-005</t>
  </si>
  <si>
    <t xml:space="preserve">RICHARD</t>
  </si>
  <si>
    <t xml:space="preserve">Camille</t>
  </si>
  <si>
    <t xml:space="preserve">Informatique</t>
  </si>
  <si>
    <t xml:space="preserve">Développeuse</t>
  </si>
  <si>
    <t xml:space="preserve">L. Garnier</t>
  </si>
  <si>
    <t xml:space="preserve">Plus d'un an sans date de précédent entretien</t>
  </si>
  <si>
    <t xml:space="preserve">EX-006</t>
  </si>
  <si>
    <t xml:space="preserve">DURAND</t>
  </si>
  <si>
    <t xml:space="preserve">Nicolas</t>
  </si>
  <si>
    <t xml:space="preserve">Administratif et finance</t>
  </si>
  <si>
    <t xml:space="preserve">Comptable</t>
  </si>
  <si>
    <t xml:space="preserve">Non</t>
  </si>
  <si>
    <t xml:space="preserve">Bilan à 6 ans non réalisé, aucune formation non obligatoire</t>
  </si>
  <si>
    <t xml:space="preserve">EX-007</t>
  </si>
  <si>
    <t xml:space="preserve">MOREAU</t>
  </si>
  <si>
    <t xml:space="preserve">Léa</t>
  </si>
  <si>
    <t xml:space="preserve">Assistante commerciale</t>
  </si>
  <si>
    <t xml:space="preserve">1er EPP convoqué</t>
  </si>
  <si>
    <t xml:space="preserve">EX-008</t>
  </si>
  <si>
    <t xml:space="preserve">LAURENT</t>
  </si>
  <si>
    <t xml:space="preserve">Hugo</t>
  </si>
  <si>
    <t xml:space="preserve">Opérateur de production</t>
  </si>
  <si>
    <t xml:space="preserve">Congé de proche aidant</t>
  </si>
  <si>
    <t xml:space="preserve">Dernier EPP et bilan repris du Journal</t>
  </si>
  <si>
    <t xml:space="preserve">EX-009</t>
  </si>
  <si>
    <t xml:space="preserve">SIMON</t>
  </si>
  <si>
    <t xml:space="preserve">Chloé</t>
  </si>
  <si>
    <t xml:space="preserve">Qualité</t>
  </si>
  <si>
    <t xml:space="preserve">Responsable qualité</t>
  </si>
  <si>
    <t xml:space="preserve">Direction</t>
  </si>
  <si>
    <t xml:space="preserve">Salariée sortie</t>
  </si>
  <si>
    <t xml:space="preserve">EX-010</t>
  </si>
  <si>
    <t xml:space="preserve">MICHEL</t>
  </si>
  <si>
    <t xml:space="preserve">Antoine</t>
  </si>
  <si>
    <t xml:space="preserve">Chef d'équipe</t>
  </si>
  <si>
    <t xml:space="preserve">EPP de fin de carrière réalisé (Journal)</t>
  </si>
  <si>
    <t xml:space="preserve">EX-011</t>
  </si>
  <si>
    <t xml:space="preserve">FOURNIER</t>
  </si>
  <si>
    <t xml:space="preserve">Inès</t>
  </si>
  <si>
    <t xml:space="preserve">Technico-commerciale</t>
  </si>
  <si>
    <t xml:space="preserve">Congé de maternité</t>
  </si>
  <si>
    <t xml:space="preserve">Reprise passée sans EPP</t>
  </si>
  <si>
    <t xml:space="preserve">EX-012</t>
  </si>
  <si>
    <t xml:space="preserve">GIRARD</t>
  </si>
  <si>
    <t xml:space="preserve">Mehdi</t>
  </si>
  <si>
    <t xml:space="preserve">Administrateur systèmes</t>
  </si>
  <si>
    <t xml:space="preserve">45 ans cette année : visite de mi-carrière à organiser</t>
  </si>
  <si>
    <t xml:space="preserve">Journal des entretiens réalisés</t>
  </si>
  <si>
    <t xml:space="preserve">Une ligne par entretien réalisé. Pour chaque matricule, la date la plus récente alimente automatiquement l'onglet « Suivi EPP » (dernier entretien retenu, prochaine échéance, état des lieux).</t>
  </si>
  <si>
    <t xml:space="preserve">Colonnes jaunes = saisie · L'EPP donne lieu à un document écrit dont une copie est remise au salarié · Lignes EX-… = exemples fictifs à effacer.</t>
  </si>
  <si>
    <t xml:space="preserve">ENTRETIENS RÉALISÉS</t>
  </si>
  <si>
    <t xml:space="preserve">Salarié</t>
  </si>
  <si>
    <t xml:space="preserve">Date de l'entretien</t>
  </si>
  <si>
    <t xml:space="preserve">Type d'entretien</t>
  </si>
  <si>
    <t xml:space="preserve">Conduit par</t>
  </si>
  <si>
    <t xml:space="preserve">Compte rendu écrit remis ?</t>
  </si>
  <si>
    <t xml:space="preserve">Actions / formations envisagées</t>
  </si>
  <si>
    <t xml:space="preserve">Observations</t>
  </si>
  <si>
    <t xml:space="preserve">Bilan à 6 ans (ancien régime)</t>
  </si>
  <si>
    <t xml:space="preserve">Bilan des 6 ans</t>
  </si>
  <si>
    <t xml:space="preserve">EPP périodique</t>
  </si>
  <si>
    <t xml:space="preserve">Habilitation électrique B1V</t>
  </si>
  <si>
    <t xml:space="preserve">EPP de fin de carrière (58-60 ans)</t>
  </si>
  <si>
    <t xml:space="preserve">Étude d'une retraite progressive</t>
  </si>
  <si>
    <t xml:space="preserve">Maintien dans l'emploi et temps partiel abordés</t>
  </si>
  <si>
    <t xml:space="preserve">Paramètres de l'outil</t>
  </si>
  <si>
    <t xml:space="preserve">Cellules jaunes modifiables. Les délais reprennent le Code du travail ; adaptez-les si un accord d'entreprise ou de branche prévoit des règles plus favorables.</t>
  </si>
  <si>
    <t xml:space="preserve">Paramètre</t>
  </si>
  <si>
    <t xml:space="preserve">Valeur</t>
  </si>
  <si>
    <t xml:space="preserve">Unité</t>
  </si>
  <si>
    <t xml:space="preserve">Commentaire / base légale</t>
  </si>
  <si>
    <t xml:space="preserve">Services</t>
  </si>
  <si>
    <t xml:space="preserve">Types d'absence (reprise)</t>
  </si>
  <si>
    <t xml:space="preserve">Types d'entretien (Journal)</t>
  </si>
  <si>
    <t xml:space="preserve">Date de référence du suivi</t>
  </si>
  <si>
    <t xml:space="preserve">date</t>
  </si>
  <si>
    <t xml:space="preserve">Par défaut : date du jour (formule =AUJOURDHUI()). Saisir une date fixe pour simuler la situation à une autre date.</t>
  </si>
  <si>
    <t xml:space="preserve">EPP – 1re année</t>
  </si>
  <si>
    <t xml:space="preserve">Entrée en vigueur de l'entretien de parcours professionnel</t>
  </si>
  <si>
    <t xml:space="preserve">Loi n° 2025-989 du 24/10/2025, publiée au JO du 25/10/2025, applicable le lendemain.</t>
  </si>
  <si>
    <t xml:space="preserve">Congé d'adoption</t>
  </si>
  <si>
    <t xml:space="preserve">Appliquer les règles transitoires</t>
  </si>
  <si>
    <t xml:space="preserve">Oui / Non</t>
  </si>
  <si>
    <t xml:space="preserve">Oui : si l'ancien délai (2 ans pour l'entretien, 6 ans pour le bilan) était déjà expiré au 26/10/2025, l'échéance reste l'ancienne (retard à régulariser). Sinon, le nouveau délai court depuis le dernier entretien.</t>
  </si>
  <si>
    <t xml:space="preserve">EPP + état des lieux récapitulatif</t>
  </si>
  <si>
    <t xml:space="preserve">Délai du 1er EPP après l'embauche</t>
  </si>
  <si>
    <t xml:space="preserve">mois</t>
  </si>
  <si>
    <t xml:space="preserve">Art. L6315-1 : EPP « au cours de la première année suivant son embauche ».</t>
  </si>
  <si>
    <t xml:space="preserve">Temps partiel parental (L1225-47)</t>
  </si>
  <si>
    <t xml:space="preserve">EPP de reprise après absence</t>
  </si>
  <si>
    <t xml:space="preserve">Périodicité de l'EPP</t>
  </si>
  <si>
    <t xml:space="preserve">ans</t>
  </si>
  <si>
    <t xml:space="preserve">Art. L6315-1 : tous les quatre ans, à compter du dernier entretien réalisé.</t>
  </si>
  <si>
    <t xml:space="preserve">EPP après visite de mi-carrière</t>
  </si>
  <si>
    <t xml:space="preserve">Ancienne périodicité de l'entretien professionnel</t>
  </si>
  <si>
    <t xml:space="preserve">Régime antérieur au 26/10/2025 – sert uniquement aux règles transitoires.</t>
  </si>
  <si>
    <t xml:space="preserve">Congé sabbatique</t>
  </si>
  <si>
    <t xml:space="preserve">Périodicité de l'état des lieux récapitulatif</t>
  </si>
  <si>
    <t xml:space="preserve">Art. L6315-1 : tous les huit ans (le premier peut intervenir 7 ans après le 1er EPP).</t>
  </si>
  <si>
    <t xml:space="preserve">Mobilité volontaire sécurisée</t>
  </si>
  <si>
    <t xml:space="preserve">Entretien professionnel (ancien régime)</t>
  </si>
  <si>
    <t xml:space="preserve">Ancienne périodicité du bilan récapitulatif</t>
  </si>
  <si>
    <t xml:space="preserve">Régime antérieur – sert uniquement aux règles transitoires.</t>
  </si>
  <si>
    <t xml:space="preserve">Arrêt longue maladie</t>
  </si>
  <si>
    <t xml:space="preserve">Dispense d'EPP au retour d'absence</t>
  </si>
  <si>
    <t xml:space="preserve">Art. L6315-1 : l'EPP de reprise n'est pas dû si un EPP a eu lieu dans les 12 mois précédant la reprise.</t>
  </si>
  <si>
    <t xml:space="preserve">Mandat syndical</t>
  </si>
  <si>
    <t xml:space="preserve">Délai de l'EPP après la visite de mi-carrière</t>
  </si>
  <si>
    <t xml:space="preserve">Art. L6315-1 : EPP organisé dans les 2 mois suivant la visite médicale de mi-carrière (art. L4624-2-2).</t>
  </si>
  <si>
    <t xml:space="preserve">Âge de la visite médicale de mi-carrière</t>
  </si>
  <si>
    <t xml:space="preserve">Art. L4624-2-2 : à défaut d'accord de branche, année civile des 45 ans. Déclenche l'alerte « Visite de mi-carrière à vérifier ».</t>
  </si>
  <si>
    <t xml:space="preserve">Âge de référence – EPP de fin de carrière</t>
  </si>
  <si>
    <t xml:space="preserve">Art. L6315-1 : le 1er EPP intervenant dans les 2 années précédant le 60e anniversaire aborde le maintien dans l'emploi et les aménagements de fin de carrière (temps partiel, retraite progressive).</t>
  </si>
  <si>
    <t xml:space="preserve">Fenêtre avant cet âge</t>
  </si>
  <si>
    <t xml:space="preserve">Début de la fenêtre = 60e anniversaire – 2 ans.</t>
  </si>
  <si>
    <t xml:space="preserve">Seuil d'alerte EPP</t>
  </si>
  <si>
    <t xml:space="preserve">jours</t>
  </si>
  <si>
    <t xml:space="preserve">Un EPP dont l'échéance est à moins de N jours passe au statut « À planifier ».</t>
  </si>
  <si>
    <t xml:space="preserve">Seuil d'alerte état des lieux</t>
  </si>
  <si>
    <t xml:space="preserve">Un état des lieux dont l'échéance est à moins de N jours passe au statut « À prévoir ».</t>
  </si>
  <si>
    <t xml:space="preserve">Effectif de l'entreprise</t>
  </si>
  <si>
    <t xml:space="preserve">salariés</t>
  </si>
  <si>
    <t xml:space="preserve">À RENSEIGNER (60 = valeur d'exemple). Détermine l'exposition à l'abondement correctif du CPF.</t>
  </si>
  <si>
    <t xml:space="preserve">Seuil d'effectif – abondement correctif</t>
  </si>
  <si>
    <t xml:space="preserve">Art. L6323-13 : entreprises d'au moins 50 salariés.</t>
  </si>
  <si>
    <t xml:space="preserve">Montant de l'abondement correctif CPF</t>
  </si>
  <si>
    <t xml:space="preserve">€</t>
  </si>
  <si>
    <t xml:space="preserve">Art. R6323-3 : 3 000 € par salarié concerné.</t>
  </si>
  <si>
    <t xml:space="preserve">Les libellés des types d'entretien « EPP + état des lieux récapitulatif » et « Bilan à 6 ans (ancien régime) » sont utilisés dans les calculs : ne pas les renommer.</t>
  </si>
</sst>
</file>

<file path=xl/styles.xml><?xml version="1.0" encoding="utf-8"?>
<styleSheet xmlns="http://schemas.openxmlformats.org/spreadsheetml/2006/main">
  <numFmts count="9">
    <numFmt numFmtId="164" formatCode="General"/>
    <numFmt numFmtId="165" formatCode="dd/mm/yyyy"/>
    <numFmt numFmtId="166" formatCode="General"/>
    <numFmt numFmtId="167" formatCode="0"/>
    <numFmt numFmtId="168" formatCode="0%"/>
    <numFmt numFmtId="169" formatCode="#,##0&quot; €&quot;"/>
    <numFmt numFmtId="170" formatCode="mmmm\ yyyy"/>
    <numFmt numFmtId="171" formatCode="0.0"/>
    <numFmt numFmtId="172" formatCode="0;[RED]\-0"/>
  </numFmts>
  <fonts count="2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sz val="10"/>
      <color rgb="FF000000"/>
      <name val="Arial"/>
      <family val="0"/>
      <charset val="1"/>
    </font>
    <font>
      <b val="true"/>
      <sz val="10"/>
      <name val="Arial"/>
      <family val="0"/>
      <charset val="1"/>
    </font>
    <font>
      <sz val="10"/>
      <name val="Arial"/>
      <family val="0"/>
      <charset val="1"/>
    </font>
    <font>
      <b val="true"/>
      <sz val="10"/>
      <color rgb="FF9C0006"/>
      <name val="Arial"/>
      <family val="0"/>
      <charset val="1"/>
    </font>
    <font>
      <b val="true"/>
      <sz val="10"/>
      <color rgb="FFC65911"/>
      <name val="Arial"/>
      <family val="0"/>
      <charset val="1"/>
    </font>
    <font>
      <b val="true"/>
      <sz val="10"/>
      <color rgb="FF1F4E79"/>
      <name val="Arial"/>
      <family val="0"/>
      <charset val="1"/>
    </font>
    <font>
      <b val="true"/>
      <sz val="10"/>
      <color rgb="FF006100"/>
      <name val="Arial"/>
      <family val="0"/>
      <charset val="1"/>
    </font>
    <font>
      <b val="true"/>
      <sz val="10"/>
      <color rgb="FF7F7F7F"/>
      <name val="Arial"/>
      <family val="0"/>
      <charset val="1"/>
    </font>
    <font>
      <b val="true"/>
      <sz val="15"/>
      <color rgb="FF1F3864"/>
      <name val="Arial"/>
      <family val="0"/>
      <charset val="1"/>
    </font>
    <font>
      <b val="true"/>
      <sz val="10"/>
      <color rgb="FF1F3864"/>
      <name val="Arial"/>
      <family val="0"/>
      <charset val="1"/>
    </font>
    <font>
      <b val="true"/>
      <sz val="11"/>
      <name val="Arial"/>
      <family val="0"/>
      <charset val="1"/>
    </font>
    <font>
      <i val="true"/>
      <sz val="9"/>
      <color rgb="FFC00000"/>
      <name val="Arial"/>
      <family val="0"/>
      <charset val="1"/>
    </font>
    <font>
      <b val="true"/>
      <sz val="9"/>
      <color rgb="FFC65911"/>
      <name val="Arial"/>
      <family val="0"/>
      <charset val="1"/>
    </font>
    <font>
      <b val="true"/>
      <sz val="10"/>
      <color rgb="FF000000"/>
      <name val="Arial"/>
      <family val="0"/>
      <charset val="1"/>
    </font>
    <font>
      <sz val="10"/>
      <color rgb="FF0000FF"/>
      <name val="Arial"/>
      <family val="0"/>
      <charset val="1"/>
    </font>
    <font>
      <sz val="9"/>
      <color rgb="FFC65911"/>
      <name val="Arial"/>
      <family val="0"/>
      <charset val="1"/>
    </font>
    <font>
      <sz val="10"/>
      <name val="Arial"/>
      <family val="2"/>
    </font>
    <font>
      <b val="true"/>
      <sz val="14"/>
      <color rgb="FF1F3864"/>
      <name val="Arial"/>
      <family val="0"/>
      <charset val="1"/>
    </font>
    <font>
      <b val="true"/>
      <sz val="10"/>
      <color rgb="FF0000FF"/>
      <name val="Arial"/>
      <family val="0"/>
      <charset val="1"/>
    </font>
  </fonts>
  <fills count="13">
    <fill>
      <patternFill patternType="none"/>
    </fill>
    <fill>
      <patternFill patternType="gray125"/>
    </fill>
    <fill>
      <patternFill patternType="solid">
        <fgColor rgb="FF1F3864"/>
        <bgColor rgb="FF1F4E79"/>
      </patternFill>
    </fill>
    <fill>
      <patternFill patternType="solid">
        <fgColor rgb="FFD9D9D9"/>
        <bgColor rgb="FFDDEBF7"/>
      </patternFill>
    </fill>
    <fill>
      <patternFill patternType="solid">
        <fgColor rgb="FFFFC7CE"/>
        <bgColor rgb="FFFCE4D6"/>
      </patternFill>
    </fill>
    <fill>
      <patternFill patternType="solid">
        <fgColor rgb="FFFCE4D6"/>
        <bgColor rgb="FFFFF2CC"/>
      </patternFill>
    </fill>
    <fill>
      <patternFill patternType="solid">
        <fgColor rgb="FFDDEBF7"/>
        <bgColor rgb="FFEDEDED"/>
      </patternFill>
    </fill>
    <fill>
      <patternFill patternType="solid">
        <fgColor rgb="FFC6EFCE"/>
        <bgColor rgb="FFDDEBF7"/>
      </patternFill>
    </fill>
    <fill>
      <patternFill patternType="solid">
        <fgColor rgb="FFEDEDED"/>
        <bgColor rgb="FFF2F2F2"/>
      </patternFill>
    </fill>
    <fill>
      <patternFill patternType="solid">
        <fgColor rgb="FFF2F2F2"/>
        <bgColor rgb="FFEDEDED"/>
      </patternFill>
    </fill>
    <fill>
      <patternFill patternType="solid">
        <fgColor rgb="FF2F5496"/>
        <bgColor rgb="FF1F4E79"/>
      </patternFill>
    </fill>
    <fill>
      <patternFill patternType="solid">
        <fgColor rgb="FFFFE699"/>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14" fillId="8"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center" vertical="bottom" textRotation="0" wrapText="false" indent="0" shrinkToFit="false"/>
      <protection locked="true" hidden="false"/>
    </xf>
    <xf numFmtId="166" fontId="16" fillId="0" borderId="0" xfId="0" applyFont="true" applyBorder="fals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17"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8" fontId="9" fillId="0" borderId="1" xfId="0" applyFont="true" applyBorder="true" applyAlignment="true" applyProtection="false">
      <alignment horizontal="center" vertical="bottom" textRotation="0" wrapText="false" indent="0" shrinkToFit="false"/>
      <protection locked="true" hidden="false"/>
    </xf>
    <xf numFmtId="168" fontId="17" fillId="0" borderId="1" xfId="0" applyFont="true" applyBorder="true" applyAlignment="true" applyProtection="false">
      <alignment horizontal="center" vertical="bottom" textRotation="0" wrapText="false" indent="0" shrinkToFit="false"/>
      <protection locked="true" hidden="false"/>
    </xf>
    <xf numFmtId="164" fontId="8" fillId="9" borderId="1" xfId="0" applyFont="true" applyBorder="true" applyAlignment="false" applyProtection="false">
      <alignment horizontal="general" vertical="bottom" textRotation="0" wrapText="false" indent="0" shrinkToFit="false"/>
      <protection locked="true" hidden="false"/>
    </xf>
    <xf numFmtId="166" fontId="8" fillId="9" borderId="1" xfId="0" applyFont="true" applyBorder="true" applyAlignment="true" applyProtection="false">
      <alignment horizontal="center" vertical="bottom" textRotation="0" wrapText="false" indent="0" shrinkToFit="false"/>
      <protection locked="true" hidden="false"/>
    </xf>
    <xf numFmtId="168" fontId="8" fillId="9"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9" fontId="17" fillId="0" borderId="1" xfId="0" applyFont="true" applyBorder="true" applyAlignment="true" applyProtection="false">
      <alignment horizontal="center" vertical="bottom" textRotation="0" wrapText="false" indent="0" shrinkToFit="false"/>
      <protection locked="true" hidden="false"/>
    </xf>
    <xf numFmtId="170" fontId="9" fillId="0" borderId="1" xfId="0" applyFont="true" applyBorder="true" applyAlignment="true" applyProtection="false">
      <alignment horizontal="left"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6" fillId="10" borderId="0" xfId="0" applyFont="true" applyBorder="true" applyAlignment="true" applyProtection="false">
      <alignment horizontal="left" vertical="center" textRotation="0" wrapText="false" indent="1" shrinkToFit="false"/>
      <protection locked="true" hidden="false"/>
    </xf>
    <xf numFmtId="164" fontId="6" fillId="10" borderId="0" xfId="0" applyFont="true" applyBorder="false" applyAlignment="true" applyProtection="false">
      <alignment horizontal="left" vertical="center" textRotation="0" wrapText="false" indent="1" shrinkToFit="false"/>
      <protection locked="true" hidden="false"/>
    </xf>
    <xf numFmtId="164" fontId="20" fillId="11" borderId="1"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4" fontId="21" fillId="12" borderId="1" xfId="0" applyFont="true" applyBorder="true" applyAlignment="false" applyProtection="false">
      <alignment horizontal="general" vertical="bottom" textRotation="0" wrapText="false" indent="0" shrinkToFit="false"/>
      <protection locked="true" hidden="false"/>
    </xf>
    <xf numFmtId="165" fontId="21" fillId="12" borderId="1" xfId="0" applyFont="true" applyBorder="true" applyAlignment="true" applyProtection="false">
      <alignment horizontal="center" vertical="bottom" textRotation="0" wrapText="false" indent="0" shrinkToFit="false"/>
      <protection locked="true" hidden="false"/>
    </xf>
    <xf numFmtId="171" fontId="9" fillId="9" borderId="1" xfId="0" applyFont="true" applyBorder="true" applyAlignment="true" applyProtection="false">
      <alignment horizontal="center" vertical="bottom" textRotation="0" wrapText="false" indent="0" shrinkToFit="false"/>
      <protection locked="true" hidden="false"/>
    </xf>
    <xf numFmtId="164" fontId="9" fillId="9" borderId="1" xfId="0" applyFont="true" applyBorder="true" applyAlignment="true" applyProtection="false">
      <alignment horizontal="center" vertical="bottom" textRotation="0" wrapText="false" indent="0" shrinkToFit="false"/>
      <protection locked="true" hidden="false"/>
    </xf>
    <xf numFmtId="165" fontId="9" fillId="9" borderId="1" xfId="0" applyFont="true" applyBorder="true" applyAlignment="true" applyProtection="false">
      <alignment horizontal="center" vertical="bottom" textRotation="0" wrapText="false" indent="0" shrinkToFit="false"/>
      <protection locked="true" hidden="false"/>
    </xf>
    <xf numFmtId="164" fontId="9" fillId="9" borderId="1" xfId="0" applyFont="true" applyBorder="true" applyAlignment="false" applyProtection="false">
      <alignment horizontal="general" vertical="bottom" textRotation="0" wrapText="false" indent="0" shrinkToFit="false"/>
      <protection locked="true" hidden="false"/>
    </xf>
    <xf numFmtId="172" fontId="9" fillId="9" borderId="1" xfId="0" applyFont="true" applyBorder="true" applyAlignment="true" applyProtection="false">
      <alignment horizontal="center" vertical="bottom" textRotation="0" wrapText="false" indent="0" shrinkToFit="false"/>
      <protection locked="true" hidden="false"/>
    </xf>
    <xf numFmtId="164" fontId="22" fillId="9" borderId="1" xfId="0" applyFont="true" applyBorder="true" applyAlignment="false" applyProtection="false">
      <alignment horizontal="general" vertical="bottom" textRotation="0" wrapText="false" indent="0" shrinkToFit="false"/>
      <protection locked="true" hidden="false"/>
    </xf>
    <xf numFmtId="167" fontId="9" fillId="9" borderId="1" xfId="0" applyFont="true" applyBorder="true" applyAlignment="true" applyProtection="false">
      <alignment horizontal="center" vertical="bottom" textRotation="0" wrapText="fals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5" fontId="25" fillId="1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25" fillId="12" borderId="1" xfId="0" applyFont="true" applyBorder="true" applyAlignment="true" applyProtection="false">
      <alignment horizontal="center" vertical="center" textRotation="0" wrapText="false" indent="0" shrinkToFit="false"/>
      <protection locked="true" hidden="false"/>
    </xf>
    <xf numFmtId="169" fontId="25" fillId="1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ont>
        <name val="Arial"/>
        <charset val="1"/>
        <family val="0"/>
        <b val="1"/>
        <color rgb="FF9C0006"/>
        <sz val="11"/>
      </font>
      <fill>
        <patternFill>
          <bgColor rgb="FFFFC7CE"/>
        </patternFill>
      </fill>
    </dxf>
    <dxf>
      <font>
        <name val="Arial"/>
        <charset val="1"/>
        <family val="0"/>
        <b val="1"/>
        <color rgb="FFC65911"/>
        <sz val="11"/>
      </font>
      <fill>
        <patternFill>
          <bgColor rgb="FFFCE4D6"/>
        </patternFill>
      </fill>
    </dxf>
    <dxf>
      <font>
        <name val="Arial"/>
        <charset val="1"/>
        <family val="0"/>
        <b val="1"/>
        <color rgb="FF1F4E79"/>
        <sz val="11"/>
      </font>
      <fill>
        <patternFill>
          <bgColor rgb="FFDDEBF7"/>
        </patternFill>
      </fill>
    </dxf>
    <dxf>
      <font>
        <name val="Arial"/>
        <charset val="1"/>
        <family val="0"/>
        <b val="1"/>
        <color rgb="FF006100"/>
        <sz val="11"/>
      </font>
      <fill>
        <patternFill>
          <bgColor rgb="FFC6EFCE"/>
        </patternFill>
      </fill>
    </dxf>
    <dxf>
      <font>
        <name val="Arial"/>
        <charset val="1"/>
        <family val="0"/>
        <b val="1"/>
        <color rgb="FF9C0006"/>
      </font>
    </dxf>
    <dxf>
      <fill>
        <patternFill patternType="solid">
          <fgColor rgb="FFFFE699"/>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A6A6A6"/>
          <bgColor rgb="FF000000"/>
        </patternFill>
      </fill>
    </dxf>
    <dxf>
      <fill>
        <patternFill patternType="solid">
          <fgColor rgb="FFD9D9D9"/>
          <bgColor rgb="FF000000"/>
        </patternFill>
      </fill>
    </dxf>
    <dxf>
      <fill>
        <patternFill patternType="solid">
          <fgColor rgb="FFF2F2F2"/>
          <bgColor rgb="FF000000"/>
        </patternFill>
      </fill>
    </dxf>
    <dxf>
      <fill>
        <patternFill patternType="solid">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1F4E79"/>
          <bgColor rgb="FF000000"/>
        </patternFill>
      </fill>
    </dxf>
    <dxf>
      <fill>
        <patternFill patternType="solid">
          <fgColor rgb="FF7F7F7F"/>
          <bgColor rgb="FF000000"/>
        </patternFill>
      </fill>
    </dxf>
    <dxf>
      <fill>
        <patternFill patternType="solid">
          <fgColor rgb="FF9C0006"/>
          <bgColor rgb="FF000000"/>
        </patternFill>
      </fill>
    </dxf>
    <dxf>
      <fill>
        <patternFill patternType="solid">
          <fgColor rgb="FFC65911"/>
          <bgColor rgb="FF000000"/>
        </patternFill>
      </fill>
    </dxf>
    <dxf>
      <fill>
        <patternFill patternType="solid">
          <fgColor rgb="FFFCE4D6"/>
          <bgColor rgb="FF000000"/>
        </patternFill>
      </fill>
    </dxf>
    <dxf>
      <font>
        <name val="Arial"/>
        <charset val="1"/>
        <family val="0"/>
        <b val="1"/>
        <color rgb="FF9C0006"/>
      </font>
      <fill>
        <patternFill>
          <bgColor rgb="FFFFC7CE"/>
        </patternFill>
      </fill>
    </dxf>
    <dxf>
      <font>
        <name val="Arial"/>
        <charset val="1"/>
        <family val="0"/>
        <b val="1"/>
        <color rgb="FFC65911"/>
      </font>
      <fill>
        <patternFill>
          <bgColor rgb="FFFCE4D6"/>
        </patternFill>
      </fill>
    </dxf>
    <dxf>
      <font>
        <name val="Arial"/>
        <charset val="1"/>
        <family val="0"/>
        <b val="1"/>
        <color rgb="FF1F4E79"/>
      </font>
      <fill>
        <patternFill>
          <bgColor rgb="FFDDEBF7"/>
        </patternFill>
      </fill>
    </dxf>
    <dxf>
      <font>
        <name val="Arial"/>
        <charset val="1"/>
        <family val="0"/>
        <b val="1"/>
        <color rgb="FF006100"/>
      </font>
      <fill>
        <patternFill>
          <bgColor rgb="FFC6EFCE"/>
        </patternFill>
      </fill>
    </dxf>
    <dxf>
      <font>
        <name val="Arial"/>
        <charset val="1"/>
        <family val="0"/>
        <b val="1"/>
        <color rgb="FF7F7F7F"/>
      </font>
      <fill>
        <patternFill>
          <bgColor rgb="FFEDEDED"/>
        </patternFill>
      </fill>
    </dxf>
    <dxf>
      <font>
        <name val="Arial"/>
        <charset val="1"/>
        <family val="0"/>
        <i val="1"/>
        <color rgb="FFA6A6A6"/>
      </font>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EDEDED"/>
      <rgbColor rgb="FFFCE4D6"/>
      <rgbColor rgb="FFCC99FF"/>
      <rgbColor rgb="FFFFC7CE"/>
      <rgbColor rgb="FF3366FF"/>
      <rgbColor rgb="FF33CCCC"/>
      <rgbColor rgb="FF99CC00"/>
      <rgbColor rgb="FFFFCC00"/>
      <rgbColor rgb="FFFF9900"/>
      <rgbColor rgb="FFC65911"/>
      <rgbColor rgb="FF595959"/>
      <rgbColor rgb="FFA6A6A6"/>
      <rgbColor rgb="FF1F3864"/>
      <rgbColor rgb="FF339966"/>
      <rgbColor rgb="FF003300"/>
      <rgbColor rgb="FF333300"/>
      <rgbColor rgb="FF993300"/>
      <rgbColor rgb="FF993366"/>
      <rgbColor rgb="FF2F5496"/>
      <rgbColor rgb="FF1F4E7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72"/>
    <col collapsed="false" customWidth="true" hidden="false" outlineLevel="0" max="4" min="4" style="0" width="34"/>
  </cols>
  <sheetData>
    <row r="1" customFormat="false" ht="19.7" hidden="false" customHeight="false" outlineLevel="0" collapsed="false">
      <c r="B1" s="1" t="s">
        <v>0</v>
      </c>
      <c r="C1" s="1"/>
      <c r="D1" s="1"/>
    </row>
    <row r="2" customFormat="false" ht="15" hidden="false" customHeight="false" outlineLevel="0" collapsed="false">
      <c r="B2" s="2" t="s">
        <v>1</v>
      </c>
      <c r="C2" s="2"/>
      <c r="D2" s="2"/>
    </row>
    <row r="4" customFormat="false" ht="19.5" hidden="false" customHeight="true" outlineLevel="0" collapsed="false">
      <c r="B4" s="3" t="s">
        <v>2</v>
      </c>
      <c r="C4" s="3"/>
      <c r="D4" s="3"/>
    </row>
    <row r="5" customFormat="false" ht="31.5" hidden="false" customHeight="true" outlineLevel="0" collapsed="false">
      <c r="B5" s="4" t="s">
        <v>3</v>
      </c>
      <c r="C5" s="4"/>
      <c r="D5" s="4"/>
    </row>
    <row r="6" customFormat="false" ht="45.75" hidden="false" customHeight="true" outlineLevel="0" collapsed="false">
      <c r="B6" s="4" t="s">
        <v>4</v>
      </c>
      <c r="C6" s="4"/>
      <c r="D6" s="4"/>
    </row>
    <row r="7" customFormat="false" ht="45.75" hidden="false" customHeight="true" outlineLevel="0" collapsed="false">
      <c r="B7" s="4" t="s">
        <v>5</v>
      </c>
      <c r="C7" s="4"/>
      <c r="D7" s="4"/>
    </row>
    <row r="8" customFormat="false" ht="31.5" hidden="false" customHeight="true" outlineLevel="0" collapsed="false">
      <c r="B8" s="4" t="s">
        <v>6</v>
      </c>
      <c r="C8" s="4"/>
      <c r="D8" s="4"/>
    </row>
    <row r="9" customFormat="false" ht="31.5" hidden="false" customHeight="true" outlineLevel="0" collapsed="false">
      <c r="B9" s="4" t="s">
        <v>7</v>
      </c>
      <c r="C9" s="4"/>
      <c r="D9" s="4"/>
    </row>
    <row r="10" customFormat="false" ht="18" hidden="false" customHeight="true" outlineLevel="0" collapsed="false">
      <c r="B10" s="4" t="s">
        <v>8</v>
      </c>
      <c r="C10" s="4"/>
      <c r="D10" s="4"/>
    </row>
    <row r="12" customFormat="false" ht="19.5" hidden="false" customHeight="true" outlineLevel="0" collapsed="false">
      <c r="B12" s="3" t="s">
        <v>9</v>
      </c>
      <c r="C12" s="3"/>
      <c r="D12" s="3"/>
    </row>
    <row r="13" customFormat="false" ht="15" hidden="false" customHeight="false" outlineLevel="0" collapsed="false">
      <c r="B13" s="5" t="s">
        <v>10</v>
      </c>
      <c r="C13" s="5" t="s">
        <v>11</v>
      </c>
      <c r="D13" s="5" t="s">
        <v>12</v>
      </c>
    </row>
    <row r="14" customFormat="false" ht="31.5" hidden="false" customHeight="true" outlineLevel="0" collapsed="false">
      <c r="B14" s="6" t="s">
        <v>13</v>
      </c>
      <c r="C14" s="6" t="s">
        <v>14</v>
      </c>
      <c r="D14" s="6" t="s">
        <v>15</v>
      </c>
    </row>
    <row r="15" customFormat="false" ht="45.75" hidden="false" customHeight="true" outlineLevel="0" collapsed="false">
      <c r="B15" s="6" t="s">
        <v>16</v>
      </c>
      <c r="C15" s="6" t="s">
        <v>17</v>
      </c>
      <c r="D15" s="6" t="s">
        <v>18</v>
      </c>
    </row>
    <row r="16" customFormat="false" ht="45.75" hidden="false" customHeight="true" outlineLevel="0" collapsed="false">
      <c r="B16" s="6" t="s">
        <v>19</v>
      </c>
      <c r="C16" s="6" t="s">
        <v>20</v>
      </c>
      <c r="D16" s="6" t="s">
        <v>21</v>
      </c>
    </row>
    <row r="17" customFormat="false" ht="31.5" hidden="false" customHeight="true" outlineLevel="0" collapsed="false">
      <c r="B17" s="6" t="s">
        <v>22</v>
      </c>
      <c r="C17" s="6" t="s">
        <v>23</v>
      </c>
      <c r="D17" s="6" t="s">
        <v>24</v>
      </c>
    </row>
    <row r="18" customFormat="false" ht="60" hidden="false" customHeight="true" outlineLevel="0" collapsed="false">
      <c r="B18" s="6" t="s">
        <v>25</v>
      </c>
      <c r="C18" s="6" t="s">
        <v>26</v>
      </c>
      <c r="D18" s="6" t="s">
        <v>27</v>
      </c>
    </row>
    <row r="19" customFormat="false" ht="31.5" hidden="false" customHeight="true" outlineLevel="0" collapsed="false">
      <c r="B19" s="6" t="s">
        <v>28</v>
      </c>
      <c r="C19" s="6" t="s">
        <v>29</v>
      </c>
      <c r="D19" s="6" t="s">
        <v>30</v>
      </c>
    </row>
    <row r="20" customFormat="false" ht="60" hidden="false" customHeight="true" outlineLevel="0" collapsed="false">
      <c r="B20" s="6" t="s">
        <v>31</v>
      </c>
      <c r="C20" s="6" t="s">
        <v>32</v>
      </c>
      <c r="D20" s="6" t="s">
        <v>27</v>
      </c>
    </row>
    <row r="21" customFormat="false" ht="45.75" hidden="false" customHeight="true" outlineLevel="0" collapsed="false">
      <c r="B21" s="6" t="s">
        <v>33</v>
      </c>
      <c r="C21" s="6" t="s">
        <v>34</v>
      </c>
      <c r="D21" s="6" t="s">
        <v>27</v>
      </c>
    </row>
    <row r="22" customFormat="false" ht="45.75" hidden="false" customHeight="true" outlineLevel="0" collapsed="false">
      <c r="B22" s="6" t="s">
        <v>35</v>
      </c>
      <c r="C22" s="6" t="s">
        <v>36</v>
      </c>
      <c r="D22" s="6" t="s">
        <v>37</v>
      </c>
    </row>
    <row r="24" customFormat="false" ht="19.5" hidden="false" customHeight="true" outlineLevel="0" collapsed="false">
      <c r="B24" s="3" t="s">
        <v>38</v>
      </c>
      <c r="C24" s="3"/>
      <c r="D24" s="3"/>
    </row>
    <row r="25" customFormat="false" ht="15" hidden="false" customHeight="false" outlineLevel="0" collapsed="false">
      <c r="B25" s="5" t="s">
        <v>39</v>
      </c>
      <c r="C25" s="5" t="s">
        <v>40</v>
      </c>
      <c r="D25" s="5" t="s">
        <v>41</v>
      </c>
    </row>
    <row r="26" customFormat="false" ht="31.5" hidden="false" customHeight="true" outlineLevel="0" collapsed="false">
      <c r="B26" s="7" t="s">
        <v>42</v>
      </c>
      <c r="C26" s="6" t="s">
        <v>43</v>
      </c>
      <c r="D26" s="6" t="s">
        <v>44</v>
      </c>
    </row>
    <row r="27" customFormat="false" ht="31.5" hidden="false" customHeight="true" outlineLevel="0" collapsed="false">
      <c r="B27" s="8" t="s">
        <v>45</v>
      </c>
      <c r="C27" s="6" t="s">
        <v>46</v>
      </c>
      <c r="D27" s="6" t="s">
        <v>47</v>
      </c>
    </row>
    <row r="28" customFormat="false" ht="18" hidden="false" customHeight="true" outlineLevel="0" collapsed="false">
      <c r="B28" s="9" t="s">
        <v>48</v>
      </c>
      <c r="C28" s="6" t="s">
        <v>49</v>
      </c>
      <c r="D28" s="6" t="s">
        <v>50</v>
      </c>
    </row>
    <row r="29" customFormat="false" ht="18" hidden="false" customHeight="true" outlineLevel="0" collapsed="false">
      <c r="B29" s="10" t="s">
        <v>51</v>
      </c>
      <c r="C29" s="6" t="s">
        <v>52</v>
      </c>
      <c r="D29" s="6" t="s">
        <v>53</v>
      </c>
    </row>
    <row r="30" customFormat="false" ht="18" hidden="false" customHeight="true" outlineLevel="0" collapsed="false">
      <c r="B30" s="10" t="s">
        <v>54</v>
      </c>
      <c r="C30" s="6" t="s">
        <v>55</v>
      </c>
      <c r="D30" s="6" t="s">
        <v>56</v>
      </c>
    </row>
    <row r="31" customFormat="false" ht="31.5" hidden="false" customHeight="true" outlineLevel="0" collapsed="false">
      <c r="B31" s="7" t="s">
        <v>57</v>
      </c>
      <c r="C31" s="6" t="s">
        <v>58</v>
      </c>
      <c r="D31" s="6" t="s">
        <v>59</v>
      </c>
    </row>
    <row r="32" customFormat="false" ht="18" hidden="false" customHeight="true" outlineLevel="0" collapsed="false">
      <c r="B32" s="11" t="s">
        <v>60</v>
      </c>
      <c r="C32" s="6" t="s">
        <v>61</v>
      </c>
      <c r="D32" s="6" t="s">
        <v>53</v>
      </c>
    </row>
    <row r="34" customFormat="false" ht="19.5" hidden="false" customHeight="true" outlineLevel="0" collapsed="false">
      <c r="B34" s="3" t="s">
        <v>62</v>
      </c>
      <c r="C34" s="3"/>
      <c r="D34" s="3"/>
    </row>
    <row r="35" customFormat="false" ht="45.75" hidden="false" customHeight="true" outlineLevel="0" collapsed="false">
      <c r="B35" s="4" t="s">
        <v>63</v>
      </c>
      <c r="C35" s="4"/>
      <c r="D35" s="4"/>
    </row>
    <row r="36" customFormat="false" ht="31.5" hidden="false" customHeight="true" outlineLevel="0" collapsed="false">
      <c r="B36" s="4" t="s">
        <v>64</v>
      </c>
      <c r="C36" s="4"/>
      <c r="D36" s="4"/>
    </row>
    <row r="37" customFormat="false" ht="18" hidden="false" customHeight="true" outlineLevel="0" collapsed="false">
      <c r="B37" s="4" t="s">
        <v>65</v>
      </c>
      <c r="C37" s="4"/>
      <c r="D37" s="4"/>
    </row>
    <row r="38" customFormat="false" ht="18" hidden="false" customHeight="true" outlineLevel="0" collapsed="false">
      <c r="B38" s="4" t="s">
        <v>66</v>
      </c>
      <c r="C38" s="4"/>
      <c r="D38" s="4"/>
    </row>
    <row r="39" customFormat="false" ht="31.5" hidden="false" customHeight="true" outlineLevel="0" collapsed="false">
      <c r="B39" s="4" t="s">
        <v>67</v>
      </c>
      <c r="C39" s="4"/>
      <c r="D39" s="4"/>
    </row>
    <row r="40" customFormat="false" ht="31.5" hidden="false" customHeight="true" outlineLevel="0" collapsed="false">
      <c r="B40" s="4" t="s">
        <v>68</v>
      </c>
      <c r="C40" s="4"/>
      <c r="D40" s="4"/>
    </row>
  </sheetData>
  <mergeCells count="18">
    <mergeCell ref="B1:D1"/>
    <mergeCell ref="B2:D2"/>
    <mergeCell ref="B4:D4"/>
    <mergeCell ref="B5:D5"/>
    <mergeCell ref="B6:D6"/>
    <mergeCell ref="B7:D7"/>
    <mergeCell ref="B8:D8"/>
    <mergeCell ref="B9:D9"/>
    <mergeCell ref="B10:D10"/>
    <mergeCell ref="B12:D12"/>
    <mergeCell ref="B24:D24"/>
    <mergeCell ref="B34:D34"/>
    <mergeCell ref="B35:D35"/>
    <mergeCell ref="B36:D36"/>
    <mergeCell ref="B37:D37"/>
    <mergeCell ref="B38:D38"/>
    <mergeCell ref="B39:D39"/>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14"/>
    <col collapsed="false" customWidth="true" hidden="false" outlineLevel="0" max="4" min="4" style="0" width="3"/>
    <col collapsed="false" customWidth="true" hidden="false" outlineLevel="0" max="5" min="5" style="0" width="26"/>
    <col collapsed="false" customWidth="true" hidden="false" outlineLevel="0" max="7" min="6" style="0" width="12"/>
    <col collapsed="false" customWidth="true" hidden="false" outlineLevel="0" max="9" min="8" style="0" width="14"/>
    <col collapsed="false" customWidth="true" hidden="false" outlineLevel="0" max="10" min="10" style="0" width="16"/>
    <col collapsed="false" customWidth="true" hidden="false" outlineLevel="0" max="11" min="11" style="0" width="12"/>
  </cols>
  <sheetData>
    <row r="1" customFormat="false" ht="18.55" hidden="false" customHeight="false" outlineLevel="0" collapsed="false">
      <c r="B1" s="12" t="s">
        <v>69</v>
      </c>
    </row>
    <row r="2" customFormat="false" ht="15" hidden="false" customHeight="false" outlineLevel="0" collapsed="false">
      <c r="B2" s="13" t="s">
        <v>70</v>
      </c>
      <c r="C2" s="14" t="n">
        <f aca="false">DateRef</f>
        <v>46288</v>
      </c>
    </row>
    <row r="3" customFormat="false" ht="15" hidden="false" customHeight="false" outlineLevel="0" collapsed="false">
      <c r="B3" s="13" t="s">
        <v>71</v>
      </c>
      <c r="C3" s="15" t="n">
        <f aca="false">Effectif</f>
        <v>60</v>
      </c>
    </row>
    <row r="5" customFormat="false" ht="15" hidden="false" customHeight="false" outlineLevel="0" collapsed="false">
      <c r="B5" s="3" t="s">
        <v>72</v>
      </c>
      <c r="C5" s="3"/>
      <c r="E5" s="3" t="s">
        <v>73</v>
      </c>
      <c r="F5" s="3"/>
      <c r="G5" s="3"/>
      <c r="H5" s="3"/>
      <c r="I5" s="3"/>
      <c r="J5" s="3"/>
      <c r="K5" s="3"/>
    </row>
    <row r="6" customFormat="false" ht="15" hidden="false" customHeight="false" outlineLevel="0" collapsed="false">
      <c r="B6" s="16" t="s">
        <v>74</v>
      </c>
      <c r="C6" s="17" t="n">
        <f aca="false">COUNTIF('Suivi EPP'!$S$6:$S$505,"En retard")+COUNTIF('Suivi EPP'!$S$6:$S$505,"À planifier")+COUNTIF('Suivi EPP'!$S$6:$S$505,"Planifié")+COUNTIF('Suivi EPP'!$S$6:$S$505,"À jour")+COUNTIF('Suivi EPP'!$S$6:$S$505,"À compléter")</f>
        <v>11</v>
      </c>
      <c r="E6" s="18" t="s">
        <v>75</v>
      </c>
      <c r="F6" s="18" t="s">
        <v>76</v>
      </c>
      <c r="G6" s="18" t="s">
        <v>77</v>
      </c>
      <c r="H6" s="18" t="s">
        <v>78</v>
      </c>
      <c r="I6" s="18" t="s">
        <v>79</v>
      </c>
      <c r="J6" s="18" t="s">
        <v>80</v>
      </c>
      <c r="K6" s="18" t="s">
        <v>81</v>
      </c>
    </row>
    <row r="7" customFormat="false" ht="15" hidden="false" customHeight="false" outlineLevel="0" collapsed="false">
      <c r="B7" s="16" t="s">
        <v>82</v>
      </c>
      <c r="C7" s="17" t="n">
        <f aca="false">COUNTIFS('Suivi EPP'!$K$6:$K$505,"Moins d'un an",'Suivi EPP'!$S$6:$S$505,"&lt;&gt;Sorti")</f>
        <v>2</v>
      </c>
      <c r="E7" s="16" t="str">
        <f aca="false">IF(Paramètres!G5="","",Paramètres!G5)</f>
        <v>Direction</v>
      </c>
      <c r="F7" s="19" t="n">
        <f aca="false">IF($E7="","",COUNTIFS('Suivi EPP'!$D$6:$D$505,$E7)-COUNTIFS('Suivi EPP'!$D$6:$D$505,$E7,'Suivi EPP'!$S$6:$S$505,"Sorti"))</f>
        <v>0</v>
      </c>
      <c r="G7" s="19" t="n">
        <f aca="false">IF($E7="","",COUNTIFS('Suivi EPP'!$D$6:$D$505,$E7,'Suivi EPP'!$S$6:$S$505,"En retard"))</f>
        <v>0</v>
      </c>
      <c r="H7" s="19" t="n">
        <f aca="false">IF($E7="","",COUNTIFS('Suivi EPP'!$D$6:$D$505,$E7,'Suivi EPP'!$S$6:$S$505,"À planifier"))</f>
        <v>0</v>
      </c>
      <c r="I7" s="19" t="n">
        <f aca="false">IF($E7="","",COUNTIFS('Suivi EPP'!$D$6:$D$505,$E7,'Suivi EPP'!$S$6:$S$505,"Planifié"))</f>
        <v>0</v>
      </c>
      <c r="J7" s="19" t="n">
        <f aca="false">IF($E7="","",COUNTIFS('Suivi EPP'!$D$6:$D$505,$E7,'Suivi EPP'!$S$6:$S$505,"À jour"))</f>
        <v>0</v>
      </c>
      <c r="K7" s="20" t="str">
        <f aca="false">IF(OR($E7="",N($F7)=0),"",1-$G7/$F7)</f>
        <v/>
      </c>
    </row>
    <row r="8" customFormat="false" ht="15" hidden="false" customHeight="false" outlineLevel="0" collapsed="false">
      <c r="B8" s="16" t="s">
        <v>83</v>
      </c>
      <c r="C8" s="17" t="n">
        <f aca="false">COUNTIFS('Suivi EPP'!$K$6:$K$505,"Plus d'un an",'Suivi EPP'!$S$6:$S$505,"&lt;&gt;Sorti")</f>
        <v>9</v>
      </c>
      <c r="E8" s="16" t="str">
        <f aca="false">IF(Paramètres!G6="","",Paramètres!G6)</f>
        <v>Ressources humaines</v>
      </c>
      <c r="F8" s="19" t="n">
        <f aca="false">IF($E8="","",COUNTIFS('Suivi EPP'!$D$6:$D$505,$E8)-COUNTIFS('Suivi EPP'!$D$6:$D$505,$E8,'Suivi EPP'!$S$6:$S$505,"Sorti"))</f>
        <v>1</v>
      </c>
      <c r="G8" s="19" t="n">
        <f aca="false">IF($E8="","",COUNTIFS('Suivi EPP'!$D$6:$D$505,$E8,'Suivi EPP'!$S$6:$S$505,"En retard"))</f>
        <v>1</v>
      </c>
      <c r="H8" s="19" t="n">
        <f aca="false">IF($E8="","",COUNTIFS('Suivi EPP'!$D$6:$D$505,$E8,'Suivi EPP'!$S$6:$S$505,"À planifier"))</f>
        <v>0</v>
      </c>
      <c r="I8" s="19" t="n">
        <f aca="false">IF($E8="","",COUNTIFS('Suivi EPP'!$D$6:$D$505,$E8,'Suivi EPP'!$S$6:$S$505,"Planifié"))</f>
        <v>0</v>
      </c>
      <c r="J8" s="19" t="n">
        <f aca="false">IF($E8="","",COUNTIFS('Suivi EPP'!$D$6:$D$505,$E8,'Suivi EPP'!$S$6:$S$505,"À jour"))</f>
        <v>0</v>
      </c>
      <c r="K8" s="20" t="n">
        <f aca="false">IF(OR($E8="",N($F8)=0),"",1-$G8/$F8)</f>
        <v>0</v>
      </c>
    </row>
    <row r="9" customFormat="false" ht="15" hidden="false" customHeight="false" outlineLevel="0" collapsed="false">
      <c r="B9" s="16" t="s">
        <v>84</v>
      </c>
      <c r="C9" s="17" t="n">
        <f aca="false">COUNTIF('Suivi EPP'!$S$6:$S$505,"En retard")</f>
        <v>2</v>
      </c>
      <c r="E9" s="16" t="str">
        <f aca="false">IF(Paramètres!G7="","",Paramètres!G7)</f>
        <v>Administratif et finance</v>
      </c>
      <c r="F9" s="19" t="n">
        <f aca="false">IF($E9="","",COUNTIFS('Suivi EPP'!$D$6:$D$505,$E9)-COUNTIFS('Suivi EPP'!$D$6:$D$505,$E9,'Suivi EPP'!$S$6:$S$505,"Sorti"))</f>
        <v>1</v>
      </c>
      <c r="G9" s="19" t="n">
        <f aca="false">IF($E9="","",COUNTIFS('Suivi EPP'!$D$6:$D$505,$E9,'Suivi EPP'!$S$6:$S$505,"En retard"))</f>
        <v>0</v>
      </c>
      <c r="H9" s="19" t="n">
        <f aca="false">IF($E9="","",COUNTIFS('Suivi EPP'!$D$6:$D$505,$E9,'Suivi EPP'!$S$6:$S$505,"À planifier"))</f>
        <v>0</v>
      </c>
      <c r="I9" s="19" t="n">
        <f aca="false">IF($E9="","",COUNTIFS('Suivi EPP'!$D$6:$D$505,$E9,'Suivi EPP'!$S$6:$S$505,"Planifié"))</f>
        <v>0</v>
      </c>
      <c r="J9" s="19" t="n">
        <f aca="false">IF($E9="","",COUNTIFS('Suivi EPP'!$D$6:$D$505,$E9,'Suivi EPP'!$S$6:$S$505,"À jour"))</f>
        <v>1</v>
      </c>
      <c r="K9" s="20" t="n">
        <f aca="false">IF(OR($E9="",N($F9)=0),"",1-$G9/$F9)</f>
        <v>1</v>
      </c>
    </row>
    <row r="10" customFormat="false" ht="15" hidden="false" customHeight="false" outlineLevel="0" collapsed="false">
      <c r="B10" s="16" t="str">
        <f aca="false">"EPP à planifier (échéance ≤ "&amp;SeuilAlerteEPP&amp;" jours)"</f>
        <v>EPP à planifier (échéance ≤ 90 jours)</v>
      </c>
      <c r="C10" s="17" t="n">
        <f aca="false">COUNTIF('Suivi EPP'!$S$6:$S$505,"À planifier")</f>
        <v>0</v>
      </c>
      <c r="E10" s="16" t="str">
        <f aca="false">IF(Paramètres!G8="","",Paramètres!G8)</f>
        <v>Commercial</v>
      </c>
      <c r="F10" s="19" t="n">
        <f aca="false">IF($E10="","",COUNTIFS('Suivi EPP'!$D$6:$D$505,$E10)-COUNTIFS('Suivi EPP'!$D$6:$D$505,$E10,'Suivi EPP'!$S$6:$S$505,"Sorti"))</f>
        <v>3</v>
      </c>
      <c r="G10" s="19" t="n">
        <f aca="false">IF($E10="","",COUNTIFS('Suivi EPP'!$D$6:$D$505,$E10,'Suivi EPP'!$S$6:$S$505,"En retard"))</f>
        <v>0</v>
      </c>
      <c r="H10" s="19" t="n">
        <f aca="false">IF($E10="","",COUNTIFS('Suivi EPP'!$D$6:$D$505,$E10,'Suivi EPP'!$S$6:$S$505,"À planifier"))</f>
        <v>0</v>
      </c>
      <c r="I10" s="19" t="n">
        <f aca="false">IF($E10="","",COUNTIFS('Suivi EPP'!$D$6:$D$505,$E10,'Suivi EPP'!$S$6:$S$505,"Planifié"))</f>
        <v>1</v>
      </c>
      <c r="J10" s="19" t="n">
        <f aca="false">IF($E10="","",COUNTIFS('Suivi EPP'!$D$6:$D$505,$E10,'Suivi EPP'!$S$6:$S$505,"À jour"))</f>
        <v>2</v>
      </c>
      <c r="K10" s="20" t="n">
        <f aca="false">IF(OR($E10="",N($F10)=0),"",1-$G10/$F10)</f>
        <v>1</v>
      </c>
    </row>
    <row r="11" customFormat="false" ht="15" hidden="false" customHeight="false" outlineLevel="0" collapsed="false">
      <c r="B11" s="16" t="s">
        <v>85</v>
      </c>
      <c r="C11" s="17" t="n">
        <f aca="false">COUNTIF('Suivi EPP'!$S$6:$S$505,"Planifié")</f>
        <v>1</v>
      </c>
      <c r="E11" s="16" t="str">
        <f aca="false">IF(Paramètres!G9="","",Paramètres!G9)</f>
        <v>Production</v>
      </c>
      <c r="F11" s="19" t="n">
        <f aca="false">IF($E11="","",COUNTIFS('Suivi EPP'!$D$6:$D$505,$E11)-COUNTIFS('Suivi EPP'!$D$6:$D$505,$E11,'Suivi EPP'!$S$6:$S$505,"Sorti"))</f>
        <v>2</v>
      </c>
      <c r="G11" s="19" t="n">
        <f aca="false">IF($E11="","",COUNTIFS('Suivi EPP'!$D$6:$D$505,$E11,'Suivi EPP'!$S$6:$S$505,"En retard"))</f>
        <v>0</v>
      </c>
      <c r="H11" s="19" t="n">
        <f aca="false">IF($E11="","",COUNTIFS('Suivi EPP'!$D$6:$D$505,$E11,'Suivi EPP'!$S$6:$S$505,"À planifier"))</f>
        <v>0</v>
      </c>
      <c r="I11" s="19" t="n">
        <f aca="false">IF($E11="","",COUNTIFS('Suivi EPP'!$D$6:$D$505,$E11,'Suivi EPP'!$S$6:$S$505,"Planifié"))</f>
        <v>0</v>
      </c>
      <c r="J11" s="19" t="n">
        <f aca="false">IF($E11="","",COUNTIFS('Suivi EPP'!$D$6:$D$505,$E11,'Suivi EPP'!$S$6:$S$505,"À jour"))</f>
        <v>2</v>
      </c>
      <c r="K11" s="20" t="n">
        <f aca="false">IF(OR($E11="",N($F11)=0),"",1-$G11/$F11)</f>
        <v>1</v>
      </c>
    </row>
    <row r="12" customFormat="false" ht="15" hidden="false" customHeight="false" outlineLevel="0" collapsed="false">
      <c r="B12" s="16" t="s">
        <v>86</v>
      </c>
      <c r="C12" s="17" t="n">
        <f aca="false">COUNTIF('Suivi EPP'!$S$6:$S$505,"À jour")</f>
        <v>8</v>
      </c>
      <c r="E12" s="16" t="str">
        <f aca="false">IF(Paramètres!G10="","",Paramètres!G10)</f>
        <v>Logistique</v>
      </c>
      <c r="F12" s="19" t="n">
        <f aca="false">IF($E12="","",COUNTIFS('Suivi EPP'!$D$6:$D$505,$E12)-COUNTIFS('Suivi EPP'!$D$6:$D$505,$E12,'Suivi EPP'!$S$6:$S$505,"Sorti"))</f>
        <v>2</v>
      </c>
      <c r="G12" s="19" t="n">
        <f aca="false">IF($E12="","",COUNTIFS('Suivi EPP'!$D$6:$D$505,$E12,'Suivi EPP'!$S$6:$S$505,"En retard"))</f>
        <v>0</v>
      </c>
      <c r="H12" s="19" t="n">
        <f aca="false">IF($E12="","",COUNTIFS('Suivi EPP'!$D$6:$D$505,$E12,'Suivi EPP'!$S$6:$S$505,"À planifier"))</f>
        <v>0</v>
      </c>
      <c r="I12" s="19" t="n">
        <f aca="false">IF($E12="","",COUNTIFS('Suivi EPP'!$D$6:$D$505,$E12,'Suivi EPP'!$S$6:$S$505,"Planifié"))</f>
        <v>0</v>
      </c>
      <c r="J12" s="19" t="n">
        <f aca="false">IF($E12="","",COUNTIFS('Suivi EPP'!$D$6:$D$505,$E12,'Suivi EPP'!$S$6:$S$505,"À jour"))</f>
        <v>2</v>
      </c>
      <c r="K12" s="20" t="n">
        <f aca="false">IF(OR($E12="",N($F12)=0),"",1-$G12/$F12)</f>
        <v>1</v>
      </c>
    </row>
    <row r="13" customFormat="false" ht="15" hidden="false" customHeight="false" outlineLevel="0" collapsed="false">
      <c r="B13" s="16" t="s">
        <v>87</v>
      </c>
      <c r="C13" s="21" t="n">
        <f aca="false">IF(C6=0,"",1-C9/C6)</f>
        <v>0.818181818181818</v>
      </c>
      <c r="E13" s="16" t="str">
        <f aca="false">IF(Paramètres!G11="","",Paramètres!G11)</f>
        <v>Informatique</v>
      </c>
      <c r="F13" s="19" t="n">
        <f aca="false">IF($E13="","",COUNTIFS('Suivi EPP'!$D$6:$D$505,$E13)-COUNTIFS('Suivi EPP'!$D$6:$D$505,$E13,'Suivi EPP'!$S$6:$S$505,"Sorti"))</f>
        <v>2</v>
      </c>
      <c r="G13" s="19" t="n">
        <f aca="false">IF($E13="","",COUNTIFS('Suivi EPP'!$D$6:$D$505,$E13,'Suivi EPP'!$S$6:$S$505,"En retard"))</f>
        <v>1</v>
      </c>
      <c r="H13" s="19" t="n">
        <f aca="false">IF($E13="","",COUNTIFS('Suivi EPP'!$D$6:$D$505,$E13,'Suivi EPP'!$S$6:$S$505,"À planifier"))</f>
        <v>0</v>
      </c>
      <c r="I13" s="19" t="n">
        <f aca="false">IF($E13="","",COUNTIFS('Suivi EPP'!$D$6:$D$505,$E13,'Suivi EPP'!$S$6:$S$505,"Planifié"))</f>
        <v>0</v>
      </c>
      <c r="J13" s="19" t="n">
        <f aca="false">IF($E13="","",COUNTIFS('Suivi EPP'!$D$6:$D$505,$E13,'Suivi EPP'!$S$6:$S$505,"À jour"))</f>
        <v>1</v>
      </c>
      <c r="K13" s="20" t="n">
        <f aca="false">IF(OR($E13="",N($F13)=0),"",1-$G13/$F13)</f>
        <v>0.5</v>
      </c>
    </row>
    <row r="14" customFormat="false" ht="15" hidden="false" customHeight="false" outlineLevel="0" collapsed="false">
      <c r="E14" s="16" t="str">
        <f aca="false">IF(Paramètres!G12="","",Paramètres!G12)</f>
        <v>Qualité</v>
      </c>
      <c r="F14" s="19" t="n">
        <f aca="false">IF($E14="","",COUNTIFS('Suivi EPP'!$D$6:$D$505,$E14)-COUNTIFS('Suivi EPP'!$D$6:$D$505,$E14,'Suivi EPP'!$S$6:$S$505,"Sorti"))</f>
        <v>0</v>
      </c>
      <c r="G14" s="19" t="n">
        <f aca="false">IF($E14="","",COUNTIFS('Suivi EPP'!$D$6:$D$505,$E14,'Suivi EPP'!$S$6:$S$505,"En retard"))</f>
        <v>0</v>
      </c>
      <c r="H14" s="19" t="n">
        <f aca="false">IF($E14="","",COUNTIFS('Suivi EPP'!$D$6:$D$505,$E14,'Suivi EPP'!$S$6:$S$505,"À planifier"))</f>
        <v>0</v>
      </c>
      <c r="I14" s="19" t="n">
        <f aca="false">IF($E14="","",COUNTIFS('Suivi EPP'!$D$6:$D$505,$E14,'Suivi EPP'!$S$6:$S$505,"Planifié"))</f>
        <v>0</v>
      </c>
      <c r="J14" s="19" t="n">
        <f aca="false">IF($E14="","",COUNTIFS('Suivi EPP'!$D$6:$D$505,$E14,'Suivi EPP'!$S$6:$S$505,"À jour"))</f>
        <v>0</v>
      </c>
      <c r="K14" s="20" t="str">
        <f aca="false">IF(OR($E14="",N($F14)=0),"",1-$G14/$F14)</f>
        <v/>
      </c>
    </row>
    <row r="15" customFormat="false" ht="15" hidden="false" customHeight="false" outlineLevel="0" collapsed="false">
      <c r="B15" s="3" t="s">
        <v>88</v>
      </c>
      <c r="C15" s="3"/>
      <c r="E15" s="16" t="str">
        <f aca="false">IF(Paramètres!G13="","",Paramètres!G13)</f>
        <v/>
      </c>
      <c r="F15" s="19" t="str">
        <f aca="false">IF($E15="","",COUNTIFS('Suivi EPP'!$D$6:$D$505,$E15)-COUNTIFS('Suivi EPP'!$D$6:$D$505,$E15,'Suivi EPP'!$S$6:$S$505,"Sorti"))</f>
        <v/>
      </c>
      <c r="G15" s="19" t="str">
        <f aca="false">IF($E15="","",COUNTIFS('Suivi EPP'!$D$6:$D$505,$E15,'Suivi EPP'!$S$6:$S$505,"En retard"))</f>
        <v/>
      </c>
      <c r="H15" s="19" t="str">
        <f aca="false">IF($E15="","",COUNTIFS('Suivi EPP'!$D$6:$D$505,$E15,'Suivi EPP'!$S$6:$S$505,"À planifier"))</f>
        <v/>
      </c>
      <c r="I15" s="19" t="str">
        <f aca="false">IF($E15="","",COUNTIFS('Suivi EPP'!$D$6:$D$505,$E15,'Suivi EPP'!$S$6:$S$505,"Planifié"))</f>
        <v/>
      </c>
      <c r="J15" s="19" t="str">
        <f aca="false">IF($E15="","",COUNTIFS('Suivi EPP'!$D$6:$D$505,$E15,'Suivi EPP'!$S$6:$S$505,"À jour"))</f>
        <v/>
      </c>
      <c r="K15" s="20" t="str">
        <f aca="false">IF(OR($E15="",N($F15)=0),"",1-$G15/$F15)</f>
        <v/>
      </c>
    </row>
    <row r="16" customFormat="false" ht="15" hidden="false" customHeight="false" outlineLevel="0" collapsed="false">
      <c r="B16" s="16" t="s">
        <v>89</v>
      </c>
      <c r="C16" s="17" t="n">
        <f aca="false">COUNTIFS('Suivi EPP'!$K$6:$K$505,"Plus d'un an",'Suivi EPP'!$N$6:$N$505,"",'Suivi EPP'!$S$6:$S$505,"&lt;&gt;Sorti")</f>
        <v>1</v>
      </c>
      <c r="E16" s="16" t="str">
        <f aca="false">IF(Paramètres!G14="","",Paramètres!G14)</f>
        <v/>
      </c>
      <c r="F16" s="19" t="str">
        <f aca="false">IF($E16="","",COUNTIFS('Suivi EPP'!$D$6:$D$505,$E16)-COUNTIFS('Suivi EPP'!$D$6:$D$505,$E16,'Suivi EPP'!$S$6:$S$505,"Sorti"))</f>
        <v/>
      </c>
      <c r="G16" s="19" t="str">
        <f aca="false">IF($E16="","",COUNTIFS('Suivi EPP'!$D$6:$D$505,$E16,'Suivi EPP'!$S$6:$S$505,"En retard"))</f>
        <v/>
      </c>
      <c r="H16" s="19" t="str">
        <f aca="false">IF($E16="","",COUNTIFS('Suivi EPP'!$D$6:$D$505,$E16,'Suivi EPP'!$S$6:$S$505,"À planifier"))</f>
        <v/>
      </c>
      <c r="I16" s="19" t="str">
        <f aca="false">IF($E16="","",COUNTIFS('Suivi EPP'!$D$6:$D$505,$E16,'Suivi EPP'!$S$6:$S$505,"Planifié"))</f>
        <v/>
      </c>
      <c r="J16" s="19" t="str">
        <f aca="false">IF($E16="","",COUNTIFS('Suivi EPP'!$D$6:$D$505,$E16,'Suivi EPP'!$S$6:$S$505,"À jour"))</f>
        <v/>
      </c>
      <c r="K16" s="20" t="str">
        <f aca="false">IF(OR($E16="",N($F16)=0),"",1-$G16/$F16)</f>
        <v/>
      </c>
    </row>
    <row r="17" customFormat="false" ht="15" hidden="false" customHeight="false" outlineLevel="0" collapsed="false">
      <c r="B17" s="16" t="s">
        <v>90</v>
      </c>
      <c r="C17" s="17" t="n">
        <f aca="false">SUMPRODUCT((LEN('Suivi EPP'!$T$6:$T$505)&gt;0)*1)</f>
        <v>3</v>
      </c>
      <c r="E17" s="16" t="str">
        <f aca="false">IF(Paramètres!G15="","",Paramètres!G15)</f>
        <v/>
      </c>
      <c r="F17" s="19" t="str">
        <f aca="false">IF($E17="","",COUNTIFS('Suivi EPP'!$D$6:$D$505,$E17)-COUNTIFS('Suivi EPP'!$D$6:$D$505,$E17,'Suivi EPP'!$S$6:$S$505,"Sorti"))</f>
        <v/>
      </c>
      <c r="G17" s="19" t="str">
        <f aca="false">IF($E17="","",COUNTIFS('Suivi EPP'!$D$6:$D$505,$E17,'Suivi EPP'!$S$6:$S$505,"En retard"))</f>
        <v/>
      </c>
      <c r="H17" s="19" t="str">
        <f aca="false">IF($E17="","",COUNTIFS('Suivi EPP'!$D$6:$D$505,$E17,'Suivi EPP'!$S$6:$S$505,"À planifier"))</f>
        <v/>
      </c>
      <c r="I17" s="19" t="str">
        <f aca="false">IF($E17="","",COUNTIFS('Suivi EPP'!$D$6:$D$505,$E17,'Suivi EPP'!$S$6:$S$505,"Planifié"))</f>
        <v/>
      </c>
      <c r="J17" s="19" t="str">
        <f aca="false">IF($E17="","",COUNTIFS('Suivi EPP'!$D$6:$D$505,$E17,'Suivi EPP'!$S$6:$S$505,"À jour"))</f>
        <v/>
      </c>
      <c r="K17" s="20" t="str">
        <f aca="false">IF(OR($E17="",N($F17)=0),"",1-$G17/$F17)</f>
        <v/>
      </c>
    </row>
    <row r="18" customFormat="false" ht="15" hidden="false" customHeight="false" outlineLevel="0" collapsed="false">
      <c r="B18" s="16" t="s">
        <v>91</v>
      </c>
      <c r="C18" s="17" t="n">
        <f aca="false">COUNTIF('Suivi EPP'!$S$6:$S$505,"À compléter")</f>
        <v>0</v>
      </c>
      <c r="E18" s="16" t="str">
        <f aca="false">IF(Paramètres!G16="","",Paramètres!G16)</f>
        <v/>
      </c>
      <c r="F18" s="19" t="str">
        <f aca="false">IF($E18="","",COUNTIFS('Suivi EPP'!$D$6:$D$505,$E18)-COUNTIFS('Suivi EPP'!$D$6:$D$505,$E18,'Suivi EPP'!$S$6:$S$505,"Sorti"))</f>
        <v/>
      </c>
      <c r="G18" s="19" t="str">
        <f aca="false">IF($E18="","",COUNTIFS('Suivi EPP'!$D$6:$D$505,$E18,'Suivi EPP'!$S$6:$S$505,"En retard"))</f>
        <v/>
      </c>
      <c r="H18" s="19" t="str">
        <f aca="false">IF($E18="","",COUNTIFS('Suivi EPP'!$D$6:$D$505,$E18,'Suivi EPP'!$S$6:$S$505,"À planifier"))</f>
        <v/>
      </c>
      <c r="I18" s="19" t="str">
        <f aca="false">IF($E18="","",COUNTIFS('Suivi EPP'!$D$6:$D$505,$E18,'Suivi EPP'!$S$6:$S$505,"Planifié"))</f>
        <v/>
      </c>
      <c r="J18" s="19" t="str">
        <f aca="false">IF($E18="","",COUNTIFS('Suivi EPP'!$D$6:$D$505,$E18,'Suivi EPP'!$S$6:$S$505,"À jour"))</f>
        <v/>
      </c>
      <c r="K18" s="20" t="str">
        <f aca="false">IF(OR($E18="",N($F18)=0),"",1-$G18/$F18)</f>
        <v/>
      </c>
    </row>
    <row r="19" customFormat="false" ht="15" hidden="false" customHeight="false" outlineLevel="0" collapsed="false">
      <c r="E19" s="16" t="str">
        <f aca="false">IF(Paramètres!G17="","",Paramètres!G17)</f>
        <v/>
      </c>
      <c r="F19" s="19" t="str">
        <f aca="false">IF($E19="","",COUNTIFS('Suivi EPP'!$D$6:$D$505,$E19)-COUNTIFS('Suivi EPP'!$D$6:$D$505,$E19,'Suivi EPP'!$S$6:$S$505,"Sorti"))</f>
        <v/>
      </c>
      <c r="G19" s="19" t="str">
        <f aca="false">IF($E19="","",COUNTIFS('Suivi EPP'!$D$6:$D$505,$E19,'Suivi EPP'!$S$6:$S$505,"En retard"))</f>
        <v/>
      </c>
      <c r="H19" s="19" t="str">
        <f aca="false">IF($E19="","",COUNTIFS('Suivi EPP'!$D$6:$D$505,$E19,'Suivi EPP'!$S$6:$S$505,"À planifier"))</f>
        <v/>
      </c>
      <c r="I19" s="19" t="str">
        <f aca="false">IF($E19="","",COUNTIFS('Suivi EPP'!$D$6:$D$505,$E19,'Suivi EPP'!$S$6:$S$505,"Planifié"))</f>
        <v/>
      </c>
      <c r="J19" s="19" t="str">
        <f aca="false">IF($E19="","",COUNTIFS('Suivi EPP'!$D$6:$D$505,$E19,'Suivi EPP'!$S$6:$S$505,"À jour"))</f>
        <v/>
      </c>
      <c r="K19" s="20" t="str">
        <f aca="false">IF(OR($E19="",N($F19)=0),"",1-$G19/$F19)</f>
        <v/>
      </c>
    </row>
    <row r="20" customFormat="false" ht="15" hidden="false" customHeight="false" outlineLevel="0" collapsed="false">
      <c r="B20" s="3" t="s">
        <v>92</v>
      </c>
      <c r="C20" s="3"/>
      <c r="E20" s="16" t="str">
        <f aca="false">IF(Paramètres!G18="","",Paramètres!G18)</f>
        <v/>
      </c>
      <c r="F20" s="19" t="str">
        <f aca="false">IF($E20="","",COUNTIFS('Suivi EPP'!$D$6:$D$505,$E20)-COUNTIFS('Suivi EPP'!$D$6:$D$505,$E20,'Suivi EPP'!$S$6:$S$505,"Sorti"))</f>
        <v/>
      </c>
      <c r="G20" s="19" t="str">
        <f aca="false">IF($E20="","",COUNTIFS('Suivi EPP'!$D$6:$D$505,$E20,'Suivi EPP'!$S$6:$S$505,"En retard"))</f>
        <v/>
      </c>
      <c r="H20" s="19" t="str">
        <f aca="false">IF($E20="","",COUNTIFS('Suivi EPP'!$D$6:$D$505,$E20,'Suivi EPP'!$S$6:$S$505,"À planifier"))</f>
        <v/>
      </c>
      <c r="I20" s="19" t="str">
        <f aca="false">IF($E20="","",COUNTIFS('Suivi EPP'!$D$6:$D$505,$E20,'Suivi EPP'!$S$6:$S$505,"Planifié"))</f>
        <v/>
      </c>
      <c r="J20" s="19" t="str">
        <f aca="false">IF($E20="","",COUNTIFS('Suivi EPP'!$D$6:$D$505,$E20,'Suivi EPP'!$S$6:$S$505,"À jour"))</f>
        <v/>
      </c>
      <c r="K20" s="20" t="str">
        <f aca="false">IF(OR($E20="",N($F20)=0),"",1-$G20/$F20)</f>
        <v/>
      </c>
    </row>
    <row r="21" customFormat="false" ht="15" hidden="false" customHeight="false" outlineLevel="0" collapsed="false">
      <c r="B21" s="16" t="s">
        <v>93</v>
      </c>
      <c r="C21" s="17" t="n">
        <f aca="false">COUNTIF('Suivi EPP'!$W$6:$W$505,"À proposer (reprise passée)")</f>
        <v>1</v>
      </c>
      <c r="E21" s="16" t="str">
        <f aca="false">IF(Paramètres!G19="","",Paramètres!G19)</f>
        <v/>
      </c>
      <c r="F21" s="19" t="str">
        <f aca="false">IF($E21="","",COUNTIFS('Suivi EPP'!$D$6:$D$505,$E21)-COUNTIFS('Suivi EPP'!$D$6:$D$505,$E21,'Suivi EPP'!$S$6:$S$505,"Sorti"))</f>
        <v/>
      </c>
      <c r="G21" s="19" t="str">
        <f aca="false">IF($E21="","",COUNTIFS('Suivi EPP'!$D$6:$D$505,$E21,'Suivi EPP'!$S$6:$S$505,"En retard"))</f>
        <v/>
      </c>
      <c r="H21" s="19" t="str">
        <f aca="false">IF($E21="","",COUNTIFS('Suivi EPP'!$D$6:$D$505,$E21,'Suivi EPP'!$S$6:$S$505,"À planifier"))</f>
        <v/>
      </c>
      <c r="I21" s="19" t="str">
        <f aca="false">IF($E21="","",COUNTIFS('Suivi EPP'!$D$6:$D$505,$E21,'Suivi EPP'!$S$6:$S$505,"Planifié"))</f>
        <v/>
      </c>
      <c r="J21" s="19" t="str">
        <f aca="false">IF($E21="","",COUNTIFS('Suivi EPP'!$D$6:$D$505,$E21,'Suivi EPP'!$S$6:$S$505,"À jour"))</f>
        <v/>
      </c>
      <c r="K21" s="20" t="str">
        <f aca="false">IF(OR($E21="",N($F21)=0),"",1-$G21/$F21)</f>
        <v/>
      </c>
    </row>
    <row r="22" customFormat="false" ht="15" hidden="false" customHeight="false" outlineLevel="0" collapsed="false">
      <c r="B22" s="16" t="s">
        <v>94</v>
      </c>
      <c r="C22" s="17" t="n">
        <f aca="false">COUNTIF('Suivi EPP'!$W$6:$W$505,"À prévoir à la reprise")</f>
        <v>1</v>
      </c>
      <c r="E22" s="16" t="str">
        <f aca="false">IF(Paramètres!G20="","",Paramètres!G20)</f>
        <v/>
      </c>
      <c r="F22" s="19" t="str">
        <f aca="false">IF($E22="","",COUNTIFS('Suivi EPP'!$D$6:$D$505,$E22)-COUNTIFS('Suivi EPP'!$D$6:$D$505,$E22,'Suivi EPP'!$S$6:$S$505,"Sorti"))</f>
        <v/>
      </c>
      <c r="G22" s="19" t="str">
        <f aca="false">IF($E22="","",COUNTIFS('Suivi EPP'!$D$6:$D$505,$E22,'Suivi EPP'!$S$6:$S$505,"En retard"))</f>
        <v/>
      </c>
      <c r="H22" s="19" t="str">
        <f aca="false">IF($E22="","",COUNTIFS('Suivi EPP'!$D$6:$D$505,$E22,'Suivi EPP'!$S$6:$S$505,"À planifier"))</f>
        <v/>
      </c>
      <c r="I22" s="19" t="str">
        <f aca="false">IF($E22="","",COUNTIFS('Suivi EPP'!$D$6:$D$505,$E22,'Suivi EPP'!$S$6:$S$505,"Planifié"))</f>
        <v/>
      </c>
      <c r="J22" s="19" t="str">
        <f aca="false">IF($E22="","",COUNTIFS('Suivi EPP'!$D$6:$D$505,$E22,'Suivi EPP'!$S$6:$S$505,"À jour"))</f>
        <v/>
      </c>
      <c r="K22" s="20" t="str">
        <f aca="false">IF(OR($E22="",N($F22)=0),"",1-$G22/$F22)</f>
        <v/>
      </c>
    </row>
    <row r="23" customFormat="false" ht="15" hidden="false" customHeight="false" outlineLevel="0" collapsed="false">
      <c r="B23" s="16" t="s">
        <v>95</v>
      </c>
      <c r="C23" s="17" t="n">
        <f aca="false">COUNTIF('Suivi EPP'!$Z$6:$Z$505,"En retard")</f>
        <v>0</v>
      </c>
      <c r="E23" s="16" t="str">
        <f aca="false">IF(Paramètres!G21="","",Paramètres!G21)</f>
        <v/>
      </c>
      <c r="F23" s="19" t="str">
        <f aca="false">IF($E23="","",COUNTIFS('Suivi EPP'!$D$6:$D$505,$E23)-COUNTIFS('Suivi EPP'!$D$6:$D$505,$E23,'Suivi EPP'!$S$6:$S$505,"Sorti"))</f>
        <v/>
      </c>
      <c r="G23" s="19" t="str">
        <f aca="false">IF($E23="","",COUNTIFS('Suivi EPP'!$D$6:$D$505,$E23,'Suivi EPP'!$S$6:$S$505,"En retard"))</f>
        <v/>
      </c>
      <c r="H23" s="19" t="str">
        <f aca="false">IF($E23="","",COUNTIFS('Suivi EPP'!$D$6:$D$505,$E23,'Suivi EPP'!$S$6:$S$505,"À planifier"))</f>
        <v/>
      </c>
      <c r="I23" s="19" t="str">
        <f aca="false">IF($E23="","",COUNTIFS('Suivi EPP'!$D$6:$D$505,$E23,'Suivi EPP'!$S$6:$S$505,"Planifié"))</f>
        <v/>
      </c>
      <c r="J23" s="19" t="str">
        <f aca="false">IF($E23="","",COUNTIFS('Suivi EPP'!$D$6:$D$505,$E23,'Suivi EPP'!$S$6:$S$505,"À jour"))</f>
        <v/>
      </c>
      <c r="K23" s="20" t="str">
        <f aca="false">IF(OR($E23="",N($F23)=0),"",1-$G23/$F23)</f>
        <v/>
      </c>
    </row>
    <row r="24" customFormat="false" ht="15" hidden="false" customHeight="false" outlineLevel="0" collapsed="false">
      <c r="B24" s="16" t="s">
        <v>96</v>
      </c>
      <c r="C24" s="17" t="n">
        <f aca="false">COUNTIF('Suivi EPP'!$Z$6:$Z$505,"À planifier")</f>
        <v>1</v>
      </c>
      <c r="E24" s="16" t="str">
        <f aca="false">IF(Paramètres!G22="","",Paramètres!G22)</f>
        <v/>
      </c>
      <c r="F24" s="19" t="str">
        <f aca="false">IF($E24="","",COUNTIFS('Suivi EPP'!$D$6:$D$505,$E24)-COUNTIFS('Suivi EPP'!$D$6:$D$505,$E24,'Suivi EPP'!$S$6:$S$505,"Sorti"))</f>
        <v/>
      </c>
      <c r="G24" s="19" t="str">
        <f aca="false">IF($E24="","",COUNTIFS('Suivi EPP'!$D$6:$D$505,$E24,'Suivi EPP'!$S$6:$S$505,"En retard"))</f>
        <v/>
      </c>
      <c r="H24" s="19" t="str">
        <f aca="false">IF($E24="","",COUNTIFS('Suivi EPP'!$D$6:$D$505,$E24,'Suivi EPP'!$S$6:$S$505,"À planifier"))</f>
        <v/>
      </c>
      <c r="I24" s="19" t="str">
        <f aca="false">IF($E24="","",COUNTIFS('Suivi EPP'!$D$6:$D$505,$E24,'Suivi EPP'!$S$6:$S$505,"Planifié"))</f>
        <v/>
      </c>
      <c r="J24" s="19" t="str">
        <f aca="false">IF($E24="","",COUNTIFS('Suivi EPP'!$D$6:$D$505,$E24,'Suivi EPP'!$S$6:$S$505,"À jour"))</f>
        <v/>
      </c>
      <c r="K24" s="20" t="str">
        <f aca="false">IF(OR($E24="",N($F24)=0),"",1-$G24/$F24)</f>
        <v/>
      </c>
    </row>
    <row r="25" customFormat="false" ht="15" hidden="false" customHeight="false" outlineLevel="0" collapsed="false">
      <c r="B25" s="16" t="s">
        <v>97</v>
      </c>
      <c r="C25" s="17" t="n">
        <f aca="false">COUNTIF('Suivi EPP'!$AC$6:$AC$505,"À programmer avant 60 ans")</f>
        <v>1</v>
      </c>
      <c r="E25" s="16" t="str">
        <f aca="false">IF(Paramètres!G23="","",Paramètres!G23)</f>
        <v/>
      </c>
      <c r="F25" s="19" t="str">
        <f aca="false">IF($E25="","",COUNTIFS('Suivi EPP'!$D$6:$D$505,$E25)-COUNTIFS('Suivi EPP'!$D$6:$D$505,$E25,'Suivi EPP'!$S$6:$S$505,"Sorti"))</f>
        <v/>
      </c>
      <c r="G25" s="19" t="str">
        <f aca="false">IF($E25="","",COUNTIFS('Suivi EPP'!$D$6:$D$505,$E25,'Suivi EPP'!$S$6:$S$505,"En retard"))</f>
        <v/>
      </c>
      <c r="H25" s="19" t="str">
        <f aca="false">IF($E25="","",COUNTIFS('Suivi EPP'!$D$6:$D$505,$E25,'Suivi EPP'!$S$6:$S$505,"À planifier"))</f>
        <v/>
      </c>
      <c r="I25" s="19" t="str">
        <f aca="false">IF($E25="","",COUNTIFS('Suivi EPP'!$D$6:$D$505,$E25,'Suivi EPP'!$S$6:$S$505,"Planifié"))</f>
        <v/>
      </c>
      <c r="J25" s="19" t="str">
        <f aca="false">IF($E25="","",COUNTIFS('Suivi EPP'!$D$6:$D$505,$E25,'Suivi EPP'!$S$6:$S$505,"À jour"))</f>
        <v/>
      </c>
      <c r="K25" s="20" t="str">
        <f aca="false">IF(OR($E25="",N($F25)=0),"",1-$G25/$F25)</f>
        <v/>
      </c>
    </row>
    <row r="26" customFormat="false" ht="15" hidden="false" customHeight="false" outlineLevel="0" collapsed="false">
      <c r="B26" s="16" t="s">
        <v>98</v>
      </c>
      <c r="C26" s="17" t="n">
        <f aca="false">COUNTIF('Suivi EPP'!$AC$6:$AC$505,"Non réalisé")</f>
        <v>0</v>
      </c>
      <c r="E26" s="16" t="str">
        <f aca="false">IF(Paramètres!G24="","",Paramètres!G24)</f>
        <v/>
      </c>
      <c r="F26" s="19" t="str">
        <f aca="false">IF($E26="","",COUNTIFS('Suivi EPP'!$D$6:$D$505,$E26)-COUNTIFS('Suivi EPP'!$D$6:$D$505,$E26,'Suivi EPP'!$S$6:$S$505,"Sorti"))</f>
        <v/>
      </c>
      <c r="G26" s="19" t="str">
        <f aca="false">IF($E26="","",COUNTIFS('Suivi EPP'!$D$6:$D$505,$E26,'Suivi EPP'!$S$6:$S$505,"En retard"))</f>
        <v/>
      </c>
      <c r="H26" s="19" t="str">
        <f aca="false">IF($E26="","",COUNTIFS('Suivi EPP'!$D$6:$D$505,$E26,'Suivi EPP'!$S$6:$S$505,"À planifier"))</f>
        <v/>
      </c>
      <c r="I26" s="19" t="str">
        <f aca="false">IF($E26="","",COUNTIFS('Suivi EPP'!$D$6:$D$505,$E26,'Suivi EPP'!$S$6:$S$505,"Planifié"))</f>
        <v/>
      </c>
      <c r="J26" s="19" t="str">
        <f aca="false">IF($E26="","",COUNTIFS('Suivi EPP'!$D$6:$D$505,$E26,'Suivi EPP'!$S$6:$S$505,"À jour"))</f>
        <v/>
      </c>
      <c r="K26" s="20" t="str">
        <f aca="false">IF(OR($E26="",N($F26)=0),"",1-$G26/$F26)</f>
        <v/>
      </c>
    </row>
    <row r="27" customFormat="false" ht="15" hidden="false" customHeight="false" outlineLevel="0" collapsed="false">
      <c r="E27" s="22" t="s">
        <v>99</v>
      </c>
      <c r="F27" s="23" t="n">
        <f aca="false">SUM(F7:F26)</f>
        <v>11</v>
      </c>
      <c r="G27" s="23" t="n">
        <f aca="false">SUM(G7:G26)</f>
        <v>2</v>
      </c>
      <c r="H27" s="23" t="n">
        <f aca="false">SUM(H7:H26)</f>
        <v>0</v>
      </c>
      <c r="I27" s="23" t="n">
        <f aca="false">SUM(I7:I26)</f>
        <v>1</v>
      </c>
      <c r="J27" s="23" t="n">
        <f aca="false">SUM(J7:J26)</f>
        <v>8</v>
      </c>
      <c r="K27" s="24" t="n">
        <f aca="false">IF(F27=0,"",1-G27/F27)</f>
        <v>0.818181818181818</v>
      </c>
    </row>
    <row r="28" customFormat="false" ht="15" hidden="false" customHeight="false" outlineLevel="0" collapsed="false">
      <c r="B28" s="3" t="s">
        <v>100</v>
      </c>
      <c r="C28" s="3"/>
      <c r="E28" s="25" t="str">
        <f aca="false">IF(F27&lt;&gt;C6,"Écart avec le total : "&amp;(C6-F27)&amp;" salarié(s) sans service reconnu","")</f>
        <v/>
      </c>
    </row>
    <row r="29" customFormat="false" ht="15" hidden="false" customHeight="false" outlineLevel="0" collapsed="false">
      <c r="B29" s="16" t="s">
        <v>101</v>
      </c>
      <c r="C29" s="17" t="n">
        <f aca="false">COUNTIF('Suivi EPP'!$AG$6:$AG$505,"En retard")</f>
        <v>2</v>
      </c>
    </row>
    <row r="30" customFormat="false" ht="15" hidden="false" customHeight="false" outlineLevel="0" collapsed="false">
      <c r="B30" s="16" t="str">
        <f aca="false">"États des lieux à prévoir (≤ "&amp;SeuilAlerteEDL&amp;" jours)"</f>
        <v>États des lieux à prévoir (≤ 180 jours)</v>
      </c>
      <c r="C30" s="17" t="n">
        <f aca="false">COUNTIF('Suivi EPP'!$AG$6:$AG$505,"À prévoir")</f>
        <v>0</v>
      </c>
      <c r="E30" s="3" t="s">
        <v>102</v>
      </c>
      <c r="F30" s="3"/>
      <c r="G30" s="3"/>
      <c r="H30" s="3"/>
      <c r="I30" s="3"/>
      <c r="J30" s="3"/>
    </row>
    <row r="31" customFormat="false" ht="15" hidden="false" customHeight="false" outlineLevel="0" collapsed="false">
      <c r="B31" s="16" t="s">
        <v>103</v>
      </c>
      <c r="C31" s="17" t="n">
        <f aca="false">COUNTIF('Suivi EPP'!$AJ$6:$AJ$505,"Risque abondement")</f>
        <v>1</v>
      </c>
      <c r="E31" s="18" t="s">
        <v>104</v>
      </c>
      <c r="F31" s="18" t="s">
        <v>105</v>
      </c>
      <c r="G31" s="18" t="s">
        <v>106</v>
      </c>
      <c r="H31" s="18" t="s">
        <v>107</v>
      </c>
      <c r="I31" s="18" t="s">
        <v>85</v>
      </c>
      <c r="J31" s="18" t="s">
        <v>108</v>
      </c>
    </row>
    <row r="32" customFormat="false" ht="15" hidden="false" customHeight="false" outlineLevel="0" collapsed="false">
      <c r="B32" s="16" t="s">
        <v>109</v>
      </c>
      <c r="C32" s="17" t="n">
        <f aca="false">COUNTIF('Suivi EPP'!$AJ$6:$AJ$505,"À vérifier (formation ?)")</f>
        <v>1</v>
      </c>
      <c r="E32" s="26" t="s">
        <v>110</v>
      </c>
      <c r="F32" s="26"/>
      <c r="G32" s="26"/>
      <c r="H32" s="26" t="n">
        <f aca="false">COUNTIF('Suivi EPP'!$S$6:$S$505,"En retard")</f>
        <v>2</v>
      </c>
      <c r="I32" s="26"/>
      <c r="J32" s="26" t="n">
        <f aca="false">COUNTIF('Suivi EPP'!$AG$6:$AG$505,"En retard")</f>
        <v>2</v>
      </c>
    </row>
    <row r="33" customFormat="false" ht="15" hidden="false" customHeight="false" outlineLevel="0" collapsed="false">
      <c r="B33" s="16" t="s">
        <v>111</v>
      </c>
      <c r="C33" s="27" t="n">
        <f aca="false">IF(Effectif&lt;SeuilEffectif,0,C31*MontantAbondement)</f>
        <v>3000</v>
      </c>
      <c r="E33" s="28" t="n">
        <f aca="false">F33</f>
        <v>46288</v>
      </c>
      <c r="F33" s="29" t="n">
        <f aca="false">DateRef</f>
        <v>46288</v>
      </c>
      <c r="G33" s="29" t="n">
        <f aca="false">EOMONTH(DateRef,0)</f>
        <v>46295</v>
      </c>
      <c r="H33" s="19" t="n">
        <f aca="false">COUNTIFS('Suivi EPP'!$P$6:$P$505,"&gt;="&amp;$F33,'Suivi EPP'!$P$6:$P$505,"&lt;="&amp;$G33,'Suivi EPP'!$S$6:$S$505,"&lt;&gt;Sorti")</f>
        <v>0</v>
      </c>
      <c r="I33" s="19" t="n">
        <f aca="false">COUNTIFS('Suivi EPP'!$Q$6:$Q$505,"&gt;="&amp;$F33,'Suivi EPP'!$Q$6:$Q$505,"&lt;="&amp;$G33,'Suivi EPP'!$S$6:$S$505,"&lt;&gt;Sorti")</f>
        <v>0</v>
      </c>
      <c r="J33" s="19" t="n">
        <f aca="false">COUNTIFS('Suivi EPP'!$AF$6:$AF$505,"&gt;="&amp;$F33,'Suivi EPP'!$AF$6:$AF$505,"&lt;="&amp;$G33,'Suivi EPP'!$S$6:$S$505,"&lt;&gt;Sorti")</f>
        <v>0</v>
      </c>
    </row>
    <row r="34" customFormat="false" ht="15" hidden="false" customHeight="false" outlineLevel="0" collapsed="false">
      <c r="E34" s="28" t="n">
        <f aca="false">F34</f>
        <v>46296</v>
      </c>
      <c r="F34" s="29" t="n">
        <f aca="false">EOMONTH(DateRef,0)+1</f>
        <v>46296</v>
      </c>
      <c r="G34" s="29" t="n">
        <f aca="false">EOMONTH(DateRef,1)</f>
        <v>46326</v>
      </c>
      <c r="H34" s="19" t="n">
        <f aca="false">COUNTIFS('Suivi EPP'!$P$6:$P$505,"&gt;="&amp;$F34,'Suivi EPP'!$P$6:$P$505,"&lt;="&amp;$G34,'Suivi EPP'!$S$6:$S$505,"&lt;&gt;Sorti")</f>
        <v>0</v>
      </c>
      <c r="I34" s="19" t="n">
        <f aca="false">COUNTIFS('Suivi EPP'!$Q$6:$Q$505,"&gt;="&amp;$F34,'Suivi EPP'!$Q$6:$Q$505,"&lt;="&amp;$G34,'Suivi EPP'!$S$6:$S$505,"&lt;&gt;Sorti")</f>
        <v>1</v>
      </c>
      <c r="J34" s="19" t="n">
        <f aca="false">COUNTIFS('Suivi EPP'!$AF$6:$AF$505,"&gt;="&amp;$F34,'Suivi EPP'!$AF$6:$AF$505,"&lt;="&amp;$G34,'Suivi EPP'!$S$6:$S$505,"&lt;&gt;Sorti")</f>
        <v>0</v>
      </c>
    </row>
    <row r="35" customFormat="false" ht="15" hidden="false" customHeight="false" outlineLevel="0" collapsed="false">
      <c r="E35" s="28" t="n">
        <f aca="false">F35</f>
        <v>46327</v>
      </c>
      <c r="F35" s="29" t="n">
        <f aca="false">EOMONTH(DateRef,1)+1</f>
        <v>46327</v>
      </c>
      <c r="G35" s="29" t="n">
        <f aca="false">EOMONTH(DateRef,2)</f>
        <v>46356</v>
      </c>
      <c r="H35" s="19" t="n">
        <f aca="false">COUNTIFS('Suivi EPP'!$P$6:$P$505,"&gt;="&amp;$F35,'Suivi EPP'!$P$6:$P$505,"&lt;="&amp;$G35,'Suivi EPP'!$S$6:$S$505,"&lt;&gt;Sorti")</f>
        <v>1</v>
      </c>
      <c r="I35" s="19" t="n">
        <f aca="false">COUNTIFS('Suivi EPP'!$Q$6:$Q$505,"&gt;="&amp;$F35,'Suivi EPP'!$Q$6:$Q$505,"&lt;="&amp;$G35,'Suivi EPP'!$S$6:$S$505,"&lt;&gt;Sorti")</f>
        <v>0</v>
      </c>
      <c r="J35" s="19" t="n">
        <f aca="false">COUNTIFS('Suivi EPP'!$AF$6:$AF$505,"&gt;="&amp;$F35,'Suivi EPP'!$AF$6:$AF$505,"&lt;="&amp;$G35,'Suivi EPP'!$S$6:$S$505,"&lt;&gt;Sorti")</f>
        <v>0</v>
      </c>
    </row>
    <row r="36" customFormat="false" ht="15" hidden="false" customHeight="false" outlineLevel="0" collapsed="false">
      <c r="E36" s="28" t="n">
        <f aca="false">F36</f>
        <v>46357</v>
      </c>
      <c r="F36" s="29" t="n">
        <f aca="false">EOMONTH(DateRef,2)+1</f>
        <v>46357</v>
      </c>
      <c r="G36" s="29" t="n">
        <f aca="false">EOMONTH(DateRef,3)</f>
        <v>46387</v>
      </c>
      <c r="H36" s="19" t="n">
        <f aca="false">COUNTIFS('Suivi EPP'!$P$6:$P$505,"&gt;="&amp;$F36,'Suivi EPP'!$P$6:$P$505,"&lt;="&amp;$G36,'Suivi EPP'!$S$6:$S$505,"&lt;&gt;Sorti")</f>
        <v>0</v>
      </c>
      <c r="I36" s="19" t="n">
        <f aca="false">COUNTIFS('Suivi EPP'!$Q$6:$Q$505,"&gt;="&amp;$F36,'Suivi EPP'!$Q$6:$Q$505,"&lt;="&amp;$G36,'Suivi EPP'!$S$6:$S$505,"&lt;&gt;Sorti")</f>
        <v>0</v>
      </c>
      <c r="J36" s="19" t="n">
        <f aca="false">COUNTIFS('Suivi EPP'!$AF$6:$AF$505,"&gt;="&amp;$F36,'Suivi EPP'!$AF$6:$AF$505,"&lt;="&amp;$G36,'Suivi EPP'!$S$6:$S$505,"&lt;&gt;Sorti")</f>
        <v>0</v>
      </c>
    </row>
    <row r="37" customFormat="false" ht="15" hidden="false" customHeight="false" outlineLevel="0" collapsed="false">
      <c r="E37" s="28" t="n">
        <f aca="false">F37</f>
        <v>46388</v>
      </c>
      <c r="F37" s="29" t="n">
        <f aca="false">EOMONTH(DateRef,3)+1</f>
        <v>46388</v>
      </c>
      <c r="G37" s="29" t="n">
        <f aca="false">EOMONTH(DateRef,4)</f>
        <v>46418</v>
      </c>
      <c r="H37" s="19" t="n">
        <f aca="false">COUNTIFS('Suivi EPP'!$P$6:$P$505,"&gt;="&amp;$F37,'Suivi EPP'!$P$6:$P$505,"&lt;="&amp;$G37,'Suivi EPP'!$S$6:$S$505,"&lt;&gt;Sorti")</f>
        <v>0</v>
      </c>
      <c r="I37" s="19" t="n">
        <f aca="false">COUNTIFS('Suivi EPP'!$Q$6:$Q$505,"&gt;="&amp;$F37,'Suivi EPP'!$Q$6:$Q$505,"&lt;="&amp;$G37,'Suivi EPP'!$S$6:$S$505,"&lt;&gt;Sorti")</f>
        <v>0</v>
      </c>
      <c r="J37" s="19" t="n">
        <f aca="false">COUNTIFS('Suivi EPP'!$AF$6:$AF$505,"&gt;="&amp;$F37,'Suivi EPP'!$AF$6:$AF$505,"&lt;="&amp;$G37,'Suivi EPP'!$S$6:$S$505,"&lt;&gt;Sorti")</f>
        <v>0</v>
      </c>
    </row>
    <row r="38" customFormat="false" ht="15" hidden="false" customHeight="false" outlineLevel="0" collapsed="false">
      <c r="E38" s="28" t="n">
        <f aca="false">F38</f>
        <v>46419</v>
      </c>
      <c r="F38" s="29" t="n">
        <f aca="false">EOMONTH(DateRef,4)+1</f>
        <v>46419</v>
      </c>
      <c r="G38" s="29" t="n">
        <f aca="false">EOMONTH(DateRef,5)</f>
        <v>46446</v>
      </c>
      <c r="H38" s="19" t="n">
        <f aca="false">COUNTIFS('Suivi EPP'!$P$6:$P$505,"&gt;="&amp;$F38,'Suivi EPP'!$P$6:$P$505,"&lt;="&amp;$G38,'Suivi EPP'!$S$6:$S$505,"&lt;&gt;Sorti")</f>
        <v>1</v>
      </c>
      <c r="I38" s="19" t="n">
        <f aca="false">COUNTIFS('Suivi EPP'!$Q$6:$Q$505,"&gt;="&amp;$F38,'Suivi EPP'!$Q$6:$Q$505,"&lt;="&amp;$G38,'Suivi EPP'!$S$6:$S$505,"&lt;&gt;Sorti")</f>
        <v>0</v>
      </c>
      <c r="J38" s="19" t="n">
        <f aca="false">COUNTIFS('Suivi EPP'!$AF$6:$AF$505,"&gt;="&amp;$F38,'Suivi EPP'!$AF$6:$AF$505,"&lt;="&amp;$G38,'Suivi EPP'!$S$6:$S$505,"&lt;&gt;Sorti")</f>
        <v>0</v>
      </c>
    </row>
    <row r="39" customFormat="false" ht="15" hidden="false" customHeight="false" outlineLevel="0" collapsed="false">
      <c r="E39" s="28" t="n">
        <f aca="false">F39</f>
        <v>46447</v>
      </c>
      <c r="F39" s="29" t="n">
        <f aca="false">EOMONTH(DateRef,5)+1</f>
        <v>46447</v>
      </c>
      <c r="G39" s="29" t="n">
        <f aca="false">EOMONTH(DateRef,6)</f>
        <v>46477</v>
      </c>
      <c r="H39" s="19" t="n">
        <f aca="false">COUNTIFS('Suivi EPP'!$P$6:$P$505,"&gt;="&amp;$F39,'Suivi EPP'!$P$6:$P$505,"&lt;="&amp;$G39,'Suivi EPP'!$S$6:$S$505,"&lt;&gt;Sorti")</f>
        <v>0</v>
      </c>
      <c r="I39" s="19" t="n">
        <f aca="false">COUNTIFS('Suivi EPP'!$Q$6:$Q$505,"&gt;="&amp;$F39,'Suivi EPP'!$Q$6:$Q$505,"&lt;="&amp;$G39,'Suivi EPP'!$S$6:$S$505,"&lt;&gt;Sorti")</f>
        <v>0</v>
      </c>
      <c r="J39" s="19" t="n">
        <f aca="false">COUNTIFS('Suivi EPP'!$AF$6:$AF$505,"&gt;="&amp;$F39,'Suivi EPP'!$AF$6:$AF$505,"&lt;="&amp;$G39,'Suivi EPP'!$S$6:$S$505,"&lt;&gt;Sorti")</f>
        <v>0</v>
      </c>
    </row>
    <row r="40" customFormat="false" ht="15" hidden="false" customHeight="false" outlineLevel="0" collapsed="false">
      <c r="E40" s="28" t="n">
        <f aca="false">F40</f>
        <v>46478</v>
      </c>
      <c r="F40" s="29" t="n">
        <f aca="false">EOMONTH(DateRef,6)+1</f>
        <v>46478</v>
      </c>
      <c r="G40" s="29" t="n">
        <f aca="false">EOMONTH(DateRef,7)</f>
        <v>46507</v>
      </c>
      <c r="H40" s="19" t="n">
        <f aca="false">COUNTIFS('Suivi EPP'!$P$6:$P$505,"&gt;="&amp;$F40,'Suivi EPP'!$P$6:$P$505,"&lt;="&amp;$G40,'Suivi EPP'!$S$6:$S$505,"&lt;&gt;Sorti")</f>
        <v>0</v>
      </c>
      <c r="I40" s="19" t="n">
        <f aca="false">COUNTIFS('Suivi EPP'!$Q$6:$Q$505,"&gt;="&amp;$F40,'Suivi EPP'!$Q$6:$Q$505,"&lt;="&amp;$G40,'Suivi EPP'!$S$6:$S$505,"&lt;&gt;Sorti")</f>
        <v>0</v>
      </c>
      <c r="J40" s="19" t="n">
        <f aca="false">COUNTIFS('Suivi EPP'!$AF$6:$AF$505,"&gt;="&amp;$F40,'Suivi EPP'!$AF$6:$AF$505,"&lt;="&amp;$G40,'Suivi EPP'!$S$6:$S$505,"&lt;&gt;Sorti")</f>
        <v>0</v>
      </c>
    </row>
    <row r="41" customFormat="false" ht="15" hidden="false" customHeight="false" outlineLevel="0" collapsed="false">
      <c r="E41" s="28" t="n">
        <f aca="false">F41</f>
        <v>46508</v>
      </c>
      <c r="F41" s="29" t="n">
        <f aca="false">EOMONTH(DateRef,7)+1</f>
        <v>46508</v>
      </c>
      <c r="G41" s="29" t="n">
        <f aca="false">EOMONTH(DateRef,8)</f>
        <v>46538</v>
      </c>
      <c r="H41" s="19" t="n">
        <f aca="false">COUNTIFS('Suivi EPP'!$P$6:$P$505,"&gt;="&amp;$F41,'Suivi EPP'!$P$6:$P$505,"&lt;="&amp;$G41,'Suivi EPP'!$S$6:$S$505,"&lt;&gt;Sorti")</f>
        <v>0</v>
      </c>
      <c r="I41" s="19" t="n">
        <f aca="false">COUNTIFS('Suivi EPP'!$Q$6:$Q$505,"&gt;="&amp;$F41,'Suivi EPP'!$Q$6:$Q$505,"&lt;="&amp;$G41,'Suivi EPP'!$S$6:$S$505,"&lt;&gt;Sorti")</f>
        <v>0</v>
      </c>
      <c r="J41" s="19" t="n">
        <f aca="false">COUNTIFS('Suivi EPP'!$AF$6:$AF$505,"&gt;="&amp;$F41,'Suivi EPP'!$AF$6:$AF$505,"&lt;="&amp;$G41,'Suivi EPP'!$S$6:$S$505,"&lt;&gt;Sorti")</f>
        <v>0</v>
      </c>
    </row>
    <row r="42" customFormat="false" ht="15" hidden="false" customHeight="false" outlineLevel="0" collapsed="false">
      <c r="E42" s="28" t="n">
        <f aca="false">F42</f>
        <v>46539</v>
      </c>
      <c r="F42" s="29" t="n">
        <f aca="false">EOMONTH(DateRef,8)+1</f>
        <v>46539</v>
      </c>
      <c r="G42" s="29" t="n">
        <f aca="false">EOMONTH(DateRef,9)</f>
        <v>46568</v>
      </c>
      <c r="H42" s="19" t="n">
        <f aca="false">COUNTIFS('Suivi EPP'!$P$6:$P$505,"&gt;="&amp;$F42,'Suivi EPP'!$P$6:$P$505,"&lt;="&amp;$G42,'Suivi EPP'!$S$6:$S$505,"&lt;&gt;Sorti")</f>
        <v>0</v>
      </c>
      <c r="I42" s="19" t="n">
        <f aca="false">COUNTIFS('Suivi EPP'!$Q$6:$Q$505,"&gt;="&amp;$F42,'Suivi EPP'!$Q$6:$Q$505,"&lt;="&amp;$G42,'Suivi EPP'!$S$6:$S$505,"&lt;&gt;Sorti")</f>
        <v>0</v>
      </c>
      <c r="J42" s="19" t="n">
        <f aca="false">COUNTIFS('Suivi EPP'!$AF$6:$AF$505,"&gt;="&amp;$F42,'Suivi EPP'!$AF$6:$AF$505,"&lt;="&amp;$G42,'Suivi EPP'!$S$6:$S$505,"&lt;&gt;Sorti")</f>
        <v>0</v>
      </c>
    </row>
    <row r="43" customFormat="false" ht="15" hidden="false" customHeight="false" outlineLevel="0" collapsed="false">
      <c r="E43" s="28" t="n">
        <f aca="false">F43</f>
        <v>46569</v>
      </c>
      <c r="F43" s="29" t="n">
        <f aca="false">EOMONTH(DateRef,9)+1</f>
        <v>46569</v>
      </c>
      <c r="G43" s="29" t="n">
        <f aca="false">EOMONTH(DateRef,10)</f>
        <v>46599</v>
      </c>
      <c r="H43" s="19" t="n">
        <f aca="false">COUNTIFS('Suivi EPP'!$P$6:$P$505,"&gt;="&amp;$F43,'Suivi EPP'!$P$6:$P$505,"&lt;="&amp;$G43,'Suivi EPP'!$S$6:$S$505,"&lt;&gt;Sorti")</f>
        <v>0</v>
      </c>
      <c r="I43" s="19" t="n">
        <f aca="false">COUNTIFS('Suivi EPP'!$Q$6:$Q$505,"&gt;="&amp;$F43,'Suivi EPP'!$Q$6:$Q$505,"&lt;="&amp;$G43,'Suivi EPP'!$S$6:$S$505,"&lt;&gt;Sorti")</f>
        <v>0</v>
      </c>
      <c r="J43" s="19" t="n">
        <f aca="false">COUNTIFS('Suivi EPP'!$AF$6:$AF$505,"&gt;="&amp;$F43,'Suivi EPP'!$AF$6:$AF$505,"&lt;="&amp;$G43,'Suivi EPP'!$S$6:$S$505,"&lt;&gt;Sorti")</f>
        <v>0</v>
      </c>
    </row>
    <row r="44" customFormat="false" ht="15" hidden="false" customHeight="false" outlineLevel="0" collapsed="false">
      <c r="E44" s="28" t="n">
        <f aca="false">F44</f>
        <v>46600</v>
      </c>
      <c r="F44" s="29" t="n">
        <f aca="false">EOMONTH(DateRef,10)+1</f>
        <v>46600</v>
      </c>
      <c r="G44" s="29" t="n">
        <f aca="false">EOMONTH(DateRef,11)</f>
        <v>46630</v>
      </c>
      <c r="H44" s="19" t="n">
        <f aca="false">COUNTIFS('Suivi EPP'!$P$6:$P$505,"&gt;="&amp;$F44,'Suivi EPP'!$P$6:$P$505,"&lt;="&amp;$G44,'Suivi EPP'!$S$6:$S$505,"&lt;&gt;Sorti")</f>
        <v>0</v>
      </c>
      <c r="I44" s="19" t="n">
        <f aca="false">COUNTIFS('Suivi EPP'!$Q$6:$Q$505,"&gt;="&amp;$F44,'Suivi EPP'!$Q$6:$Q$505,"&lt;="&amp;$G44,'Suivi EPP'!$S$6:$S$505,"&lt;&gt;Sorti")</f>
        <v>0</v>
      </c>
      <c r="J44" s="19" t="n">
        <f aca="false">COUNTIFS('Suivi EPP'!$AF$6:$AF$505,"&gt;="&amp;$F44,'Suivi EPP'!$AF$6:$AF$505,"&lt;="&amp;$G44,'Suivi EPP'!$S$6:$S$505,"&lt;&gt;Sorti")</f>
        <v>0</v>
      </c>
    </row>
    <row r="45" customFormat="false" ht="15" hidden="false" customHeight="false" outlineLevel="0" collapsed="false">
      <c r="E45" s="23" t="s">
        <v>112</v>
      </c>
      <c r="F45" s="23"/>
      <c r="G45" s="23"/>
      <c r="H45" s="23" t="n">
        <f aca="false">SUM(H33:H44)</f>
        <v>2</v>
      </c>
      <c r="I45" s="23" t="n">
        <f aca="false">SUM(I33:I44)</f>
        <v>1</v>
      </c>
      <c r="J45" s="23" t="n">
        <f aca="false">SUM(J33:J44)</f>
        <v>0</v>
      </c>
    </row>
  </sheetData>
  <mergeCells count="6">
    <mergeCell ref="B5:C5"/>
    <mergeCell ref="E5:K5"/>
    <mergeCell ref="B15:C15"/>
    <mergeCell ref="B20:C20"/>
    <mergeCell ref="B28:C28"/>
    <mergeCell ref="E30:J30"/>
  </mergeCells>
  <conditionalFormatting sqref="C9">
    <cfRule type="expression" priority="2" aboveAverage="0" equalAverage="0" bottom="0" percent="0" rank="0" text="" dxfId="0">
      <formula>C9&gt;0</formula>
    </cfRule>
  </conditionalFormatting>
  <conditionalFormatting sqref="C10">
    <cfRule type="expression" priority="3" aboveAverage="0" equalAverage="0" bottom="0" percent="0" rank="0" text="" dxfId="1">
      <formula>C10&gt;0</formula>
    </cfRule>
  </conditionalFormatting>
  <conditionalFormatting sqref="C11">
    <cfRule type="expression" priority="4" aboveAverage="0" equalAverage="0" bottom="0" percent="0" rank="0" text="" dxfId="2">
      <formula>C11&gt;0</formula>
    </cfRule>
  </conditionalFormatting>
  <conditionalFormatting sqref="C12">
    <cfRule type="expression" priority="5" aboveAverage="0" equalAverage="0" bottom="0" percent="0" rank="0" text="" dxfId="3">
      <formula>C12&gt;0</formula>
    </cfRule>
  </conditionalFormatting>
  <conditionalFormatting sqref="C16">
    <cfRule type="expression" priority="6" aboveAverage="0" equalAverage="0" bottom="0" percent="0" rank="0" text="" dxfId="0">
      <formula>C16&gt;0</formula>
    </cfRule>
  </conditionalFormatting>
  <conditionalFormatting sqref="C17">
    <cfRule type="expression" priority="7" aboveAverage="0" equalAverage="0" bottom="0" percent="0" rank="0" text="" dxfId="1">
      <formula>C17&gt;0</formula>
    </cfRule>
  </conditionalFormatting>
  <conditionalFormatting sqref="C18">
    <cfRule type="expression" priority="8" aboveAverage="0" equalAverage="0" bottom="0" percent="0" rank="0" text="" dxfId="1">
      <formula>C18&gt;0</formula>
    </cfRule>
  </conditionalFormatting>
  <conditionalFormatting sqref="C21">
    <cfRule type="expression" priority="9" aboveAverage="0" equalAverage="0" bottom="0" percent="0" rank="0" text="" dxfId="0">
      <formula>C21&gt;0</formula>
    </cfRule>
  </conditionalFormatting>
  <conditionalFormatting sqref="C22">
    <cfRule type="expression" priority="10" aboveAverage="0" equalAverage="0" bottom="0" percent="0" rank="0" text="" dxfId="1">
      <formula>C22&gt;0</formula>
    </cfRule>
  </conditionalFormatting>
  <conditionalFormatting sqref="C23">
    <cfRule type="expression" priority="11" aboveAverage="0" equalAverage="0" bottom="0" percent="0" rank="0" text="" dxfId="0">
      <formula>C23&gt;0</formula>
    </cfRule>
  </conditionalFormatting>
  <conditionalFormatting sqref="C24">
    <cfRule type="expression" priority="12" aboveAverage="0" equalAverage="0" bottom="0" percent="0" rank="0" text="" dxfId="1">
      <formula>C24&gt;0</formula>
    </cfRule>
  </conditionalFormatting>
  <conditionalFormatting sqref="C25">
    <cfRule type="expression" priority="13" aboveAverage="0" equalAverage="0" bottom="0" percent="0" rank="0" text="" dxfId="1">
      <formula>C25&gt;0</formula>
    </cfRule>
  </conditionalFormatting>
  <conditionalFormatting sqref="C26">
    <cfRule type="expression" priority="14" aboveAverage="0" equalAverage="0" bottom="0" percent="0" rank="0" text="" dxfId="0">
      <formula>C26&gt;0</formula>
    </cfRule>
  </conditionalFormatting>
  <conditionalFormatting sqref="C29">
    <cfRule type="expression" priority="15" aboveAverage="0" equalAverage="0" bottom="0" percent="0" rank="0" text="" dxfId="0">
      <formula>C29&gt;0</formula>
    </cfRule>
  </conditionalFormatting>
  <conditionalFormatting sqref="C30">
    <cfRule type="expression" priority="16" aboveAverage="0" equalAverage="0" bottom="0" percent="0" rank="0" text="" dxfId="1">
      <formula>C30&gt;0</formula>
    </cfRule>
  </conditionalFormatting>
  <conditionalFormatting sqref="C31">
    <cfRule type="expression" priority="17" aboveAverage="0" equalAverage="0" bottom="0" percent="0" rank="0" text="" dxfId="0">
      <formula>C31&gt;0</formula>
    </cfRule>
  </conditionalFormatting>
  <conditionalFormatting sqref="C32">
    <cfRule type="expression" priority="18" aboveAverage="0" equalAverage="0" bottom="0" percent="0" rank="0" text="" dxfId="1">
      <formula>C32&gt;0</formula>
    </cfRule>
  </conditionalFormatting>
  <conditionalFormatting sqref="C33">
    <cfRule type="expression" priority="19" aboveAverage="0" equalAverage="0" bottom="0" percent="0" rank="0" text="" dxfId="0">
      <formula>C33&gt;0</formula>
    </cfRule>
  </conditionalFormatting>
  <conditionalFormatting sqref="G7:G27">
    <cfRule type="expression" priority="20" aboveAverage="0" equalAverage="0" bottom="0" percent="0" rank="0" text="" dxfId="4">
      <formula>N(G7)&gt;0</formula>
    </cfRule>
  </conditionalFormatting>
  <conditionalFormatting sqref="H33:H44">
    <cfRule type="dataBar" priority="21">
      <dataBar showValue="1" minLength="10" maxLength="90">
        <cfvo type="num" val="0"/>
        <cfvo type="max" val="0"/>
        <color rgb="FF5B9BD5"/>
      </dataBar>
      <extLst>
        <ext xmlns:x14="http://schemas.microsoft.com/office/spreadsheetml/2009/9/main" uri="{B025F937-C7B1-47D3-B67F-A62EFF666E3E}">
          <x14:id>{4D5948DF-F4EA-4897-B06E-C8AF7CE5A5B6}</x14:id>
        </ext>
      </extLst>
    </cfRule>
  </conditionalFormatting>
  <conditionalFormatting sqref="J33:J44">
    <cfRule type="dataBar" priority="22">
      <dataBar showValue="1" minLength="10" maxLength="90">
        <cfvo type="num" val="0"/>
        <cfvo type="max" val="0"/>
        <color rgb="FFA9D08E"/>
      </dataBar>
      <extLst>
        <ext xmlns:x14="http://schemas.microsoft.com/office/spreadsheetml/2009/9/main" uri="{B025F937-C7B1-47D3-B67F-A62EFF666E3E}">
          <x14:id>{E8B0A7AA-4947-46AE-A7CC-17E021B069D3}</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D5948DF-F4EA-4897-B06E-C8AF7CE5A5B6}">
            <x14:dataBar minLength="10" maxLength="90" axisPosition="none" gradient="true">
              <x14:cfvo type="num">
                <xm:f>0</xm:f>
              </x14:cfvo>
              <x14:cfvo type="max"/>
              <x14:negativeFillColor rgb="FF5B9BD5"/>
              <x14:axisColor rgb="FF000000"/>
            </x14:dataBar>
          </x14:cfRule>
          <xm:sqref>H33:H44</xm:sqref>
        </x14:conditionalFormatting>
        <x14:conditionalFormatting xmlns:xm="http://schemas.microsoft.com/office/excel/2006/main">
          <x14:cfRule type="dataBar" id="{E8B0A7AA-4947-46AE-A7CC-17E021B069D3}">
            <x14:dataBar minLength="10" maxLength="90" axisPosition="none" gradient="true">
              <x14:cfvo type="num">
                <xm:f>0</xm:f>
              </x14:cfvo>
              <x14:cfvo type="max"/>
              <x14:negativeFillColor rgb="FFA9D08E"/>
              <x14:axisColor rgb="FF000000"/>
            </x14:dataBar>
          </x14:cfRule>
          <xm:sqref>J33:J44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5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14"/>
    <col collapsed="false" customWidth="true" hidden="false" outlineLevel="0" max="4" min="4" style="0" width="20"/>
    <col collapsed="false" customWidth="true" hidden="false" outlineLevel="0" max="5" min="5" style="0" width="24"/>
    <col collapsed="false" customWidth="true" hidden="false" outlineLevel="0" max="6" min="6" style="0" width="20"/>
    <col collapsed="false" customWidth="true" hidden="false" outlineLevel="0" max="9" min="7" style="0" width="12"/>
    <col collapsed="false" customWidth="true" hidden="false" outlineLevel="0" max="10" min="10" style="0" width="11"/>
    <col collapsed="false" customWidth="true" hidden="false" outlineLevel="0" max="11" min="11" style="0" width="14"/>
    <col collapsed="false" customWidth="true" hidden="false" outlineLevel="0" max="12" min="12" style="0" width="16"/>
    <col collapsed="false" customWidth="true" hidden="false" outlineLevel="0" max="13" min="13" style="0" width="15"/>
    <col collapsed="false" customWidth="true" hidden="false" outlineLevel="0" max="14" min="14" style="0" width="14"/>
    <col collapsed="false" customWidth="true" hidden="false" outlineLevel="0" max="15" min="15" style="0" width="26"/>
    <col collapsed="false" customWidth="true" hidden="false" outlineLevel="0" max="17" min="16" style="0" width="14"/>
    <col collapsed="false" customWidth="true" hidden="false" outlineLevel="0" max="18" min="18" style="0" width="10"/>
    <col collapsed="false" customWidth="true" hidden="false" outlineLevel="0" max="19" min="19" style="0" width="14"/>
    <col collapsed="false" customWidth="true" hidden="false" outlineLevel="0" max="20" min="20" style="0" width="48"/>
    <col collapsed="false" customWidth="true" hidden="false" outlineLevel="0" max="21" min="21" style="0" width="28"/>
    <col collapsed="false" customWidth="true" hidden="false" outlineLevel="0" max="22" min="22" style="0" width="12"/>
    <col collapsed="false" customWidth="true" hidden="false" outlineLevel="0" max="23" min="23" style="0" width="26"/>
    <col collapsed="false" customWidth="true" hidden="false" outlineLevel="0" max="25" min="24" style="0" width="14"/>
    <col collapsed="false" customWidth="true" hidden="false" outlineLevel="0" max="26" min="26" style="0" width="16"/>
    <col collapsed="false" customWidth="true" hidden="false" outlineLevel="0" max="27" min="27" style="0" width="7"/>
    <col collapsed="false" customWidth="true" hidden="false" outlineLevel="0" max="28" min="28" style="0" width="12"/>
    <col collapsed="false" customWidth="true" hidden="false" outlineLevel="0" max="29" min="29" style="0" width="28"/>
    <col collapsed="false" customWidth="true" hidden="false" outlineLevel="0" max="30" min="30" style="0" width="16"/>
    <col collapsed="false" customWidth="true" hidden="false" outlineLevel="0" max="31" min="31" style="0" width="13"/>
    <col collapsed="false" customWidth="true" hidden="false" outlineLevel="0" max="32" min="32" style="0" width="14"/>
    <col collapsed="false" customWidth="true" hidden="false" outlineLevel="0" max="35" min="33" style="0" width="16"/>
    <col collapsed="false" customWidth="true" hidden="false" outlineLevel="0" max="36" min="36" style="0" width="24"/>
    <col collapsed="false" customWidth="true" hidden="false" outlineLevel="0" max="37" min="37" style="0" width="30"/>
  </cols>
  <sheetData>
    <row r="1" customFormat="false" ht="18.55" hidden="false" customHeight="false" outlineLevel="0" collapsed="false">
      <c r="A1" s="30" t="s">
        <v>113</v>
      </c>
      <c r="B1" s="30"/>
      <c r="C1" s="30"/>
      <c r="D1" s="30"/>
      <c r="E1" s="30"/>
      <c r="F1" s="30"/>
      <c r="G1" s="30"/>
      <c r="H1" s="30"/>
      <c r="I1" s="30"/>
      <c r="J1" s="30"/>
      <c r="K1" s="30"/>
      <c r="L1" s="30"/>
      <c r="M1" s="30"/>
      <c r="N1" s="30"/>
      <c r="O1" s="30"/>
    </row>
    <row r="2" customFormat="false" ht="15" hidden="false" customHeight="false" outlineLevel="0" collapsed="false">
      <c r="A2" s="31" t="s">
        <v>70</v>
      </c>
      <c r="B2" s="31"/>
      <c r="C2" s="32" t="n">
        <f aca="false">DateRef</f>
        <v>46288</v>
      </c>
      <c r="D2" s="33" t="s">
        <v>114</v>
      </c>
    </row>
    <row r="3" customFormat="false" ht="15" hidden="false" customHeight="false" outlineLevel="0" collapsed="false">
      <c r="A3" s="34" t="s">
        <v>115</v>
      </c>
    </row>
    <row r="4" customFormat="false" ht="19.5" hidden="false" customHeight="true" outlineLevel="0" collapsed="false">
      <c r="A4" s="3" t="s">
        <v>116</v>
      </c>
      <c r="B4" s="3"/>
      <c r="C4" s="3"/>
      <c r="D4" s="3"/>
      <c r="E4" s="3"/>
      <c r="F4" s="3"/>
      <c r="G4" s="3"/>
      <c r="H4" s="3"/>
      <c r="I4" s="3"/>
      <c r="J4" s="35" t="s">
        <v>117</v>
      </c>
      <c r="K4" s="35"/>
      <c r="L4" s="35"/>
      <c r="M4" s="35"/>
      <c r="N4" s="35"/>
      <c r="O4" s="3" t="s">
        <v>118</v>
      </c>
      <c r="P4" s="3"/>
      <c r="Q4" s="3"/>
      <c r="R4" s="3"/>
      <c r="S4" s="3"/>
      <c r="T4" s="3"/>
      <c r="U4" s="35" t="s">
        <v>119</v>
      </c>
      <c r="V4" s="35"/>
      <c r="W4" s="35"/>
      <c r="X4" s="3" t="s">
        <v>120</v>
      </c>
      <c r="Y4" s="3"/>
      <c r="Z4" s="3"/>
      <c r="AA4" s="35" t="s">
        <v>121</v>
      </c>
      <c r="AB4" s="35"/>
      <c r="AC4" s="35"/>
      <c r="AD4" s="3" t="s">
        <v>122</v>
      </c>
      <c r="AE4" s="3"/>
      <c r="AF4" s="3"/>
      <c r="AG4" s="3"/>
      <c r="AH4" s="3"/>
      <c r="AI4" s="3"/>
      <c r="AJ4" s="3"/>
      <c r="AK4" s="36" t="s">
        <v>123</v>
      </c>
    </row>
    <row r="5" customFormat="false" ht="54" hidden="false" customHeight="true" outlineLevel="0" collapsed="false">
      <c r="A5" s="37" t="s">
        <v>124</v>
      </c>
      <c r="B5" s="37" t="s">
        <v>125</v>
      </c>
      <c r="C5" s="37" t="s">
        <v>126</v>
      </c>
      <c r="D5" s="37" t="s">
        <v>75</v>
      </c>
      <c r="E5" s="37" t="s">
        <v>127</v>
      </c>
      <c r="F5" s="37" t="s">
        <v>128</v>
      </c>
      <c r="G5" s="37" t="s">
        <v>129</v>
      </c>
      <c r="H5" s="37" t="s">
        <v>130</v>
      </c>
      <c r="I5" s="37" t="s">
        <v>131</v>
      </c>
      <c r="J5" s="38" t="s">
        <v>132</v>
      </c>
      <c r="K5" s="38" t="s">
        <v>133</v>
      </c>
      <c r="L5" s="37" t="s">
        <v>134</v>
      </c>
      <c r="M5" s="38" t="s">
        <v>135</v>
      </c>
      <c r="N5" s="38" t="s">
        <v>136</v>
      </c>
      <c r="O5" s="38" t="s">
        <v>137</v>
      </c>
      <c r="P5" s="38" t="s">
        <v>138</v>
      </c>
      <c r="Q5" s="37" t="s">
        <v>139</v>
      </c>
      <c r="R5" s="38" t="s">
        <v>140</v>
      </c>
      <c r="S5" s="38" t="s">
        <v>141</v>
      </c>
      <c r="T5" s="38" t="s">
        <v>142</v>
      </c>
      <c r="U5" s="37" t="s">
        <v>143</v>
      </c>
      <c r="V5" s="37" t="s">
        <v>144</v>
      </c>
      <c r="W5" s="38" t="s">
        <v>56</v>
      </c>
      <c r="X5" s="37" t="s">
        <v>145</v>
      </c>
      <c r="Y5" s="38" t="s">
        <v>146</v>
      </c>
      <c r="Z5" s="38" t="s">
        <v>147</v>
      </c>
      <c r="AA5" s="38" t="s">
        <v>148</v>
      </c>
      <c r="AB5" s="38" t="s">
        <v>149</v>
      </c>
      <c r="AC5" s="38" t="s">
        <v>150</v>
      </c>
      <c r="AD5" s="37" t="s">
        <v>151</v>
      </c>
      <c r="AE5" s="38" t="s">
        <v>152</v>
      </c>
      <c r="AF5" s="38" t="s">
        <v>153</v>
      </c>
      <c r="AG5" s="38" t="s">
        <v>154</v>
      </c>
      <c r="AH5" s="37" t="s">
        <v>155</v>
      </c>
      <c r="AI5" s="37" t="s">
        <v>156</v>
      </c>
      <c r="AJ5" s="38" t="s">
        <v>59</v>
      </c>
      <c r="AK5" s="37" t="s">
        <v>157</v>
      </c>
    </row>
    <row r="6" customFormat="false" ht="15" hidden="false" customHeight="false" outlineLevel="0" collapsed="false">
      <c r="A6" s="39" t="s">
        <v>158</v>
      </c>
      <c r="B6" s="39" t="s">
        <v>159</v>
      </c>
      <c r="C6" s="39" t="s">
        <v>160</v>
      </c>
      <c r="D6" s="39" t="s">
        <v>161</v>
      </c>
      <c r="E6" s="39" t="s">
        <v>162</v>
      </c>
      <c r="F6" s="39" t="s">
        <v>163</v>
      </c>
      <c r="G6" s="40" t="n">
        <v>32245</v>
      </c>
      <c r="H6" s="40" t="n">
        <v>46055</v>
      </c>
      <c r="I6" s="40"/>
      <c r="J6" s="41" t="n">
        <f aca="false">IF(OR($B6="",$H6=""),"",IF($H6&gt;DateRef,0,YEARFRAC($H6,DateRef,1)))</f>
        <v>0.638356164383562</v>
      </c>
      <c r="K6" s="42" t="str">
        <f aca="false">IF(OR($B6="",$H6=""),"",IF(EDATE($H6,12)&lt;=DateRef,"Plus d'un an","Moins d'un an"))</f>
        <v>Moins d'un an</v>
      </c>
      <c r="L6" s="40"/>
      <c r="M6" s="43" t="str">
        <f aca="false">IF(OR($B6="",$A6=""),"",IF(SUMPRODUCT(MAX((Journal!$A$6:$A$1005=$A6)*Journal!$C$6:$C$1005))=0,"",SUMPRODUCT(MAX((Journal!$A$6:$A$1005=$A6)*Journal!$C$6:$C$1005))))</f>
        <v/>
      </c>
      <c r="N6" s="43" t="str">
        <f aca="false">IF($B6="","",IF(MAX($L6,$M6)=0,"",MAX($L6,$M6)))</f>
        <v/>
      </c>
      <c r="O6" s="44" t="str">
        <f aca="false">IF(OR($B6="",$H6=""),"",IF($N6="",IF(EDATE($H6,DelaiPremierEPP)&gt;DateRef,"1er EPP (1re année)","Aucun entretien renseigné"),IF(AND(ReglesTransitoires="Oui",EDATE($N6,AnciennePeriodiciteEP*12)&lt;DateVigueur),"Retard antérieur à la réforme","Périodicité "&amp;PeriodiciteEPP&amp;" ans")))</f>
        <v>1er EPP (1re année)</v>
      </c>
      <c r="P6" s="43" t="n">
        <f aca="false">IF(OR($B6="",$H6=""),"",IF($N6="",EDATE($H6,DelaiPremierEPP),IF(AND(ReglesTransitoires="Oui",EDATE($N6,AnciennePeriodiciteEP*12)&lt;DateVigueur),EDATE($N6,AnciennePeriodiciteEP*12),EDATE($N6,PeriodiciteEPP*12))))</f>
        <v>46420</v>
      </c>
      <c r="Q6" s="40"/>
      <c r="R6" s="45" t="n">
        <f aca="false">IF(OR($P6="",AND($I6&lt;&gt;"",$I6&lt;=DateRef)),"",$P6-DateRef)</f>
        <v>132</v>
      </c>
      <c r="S6" s="42" t="str">
        <f aca="false">IF($B6="","",IF(AND($I6&lt;&gt;"",$I6&lt;=DateRef),"Sorti",IF($H6="","À compléter",IF(AND($Q6&lt;&gt;"",$Q6&gt;=DateRef,$Q6&lt;=$P6),"Planifié",IF($R6&lt;0,"En retard",IF($R6&lt;=SeuilAlerteEPP,"À planifier","À jour"))))))</f>
        <v>À jour</v>
      </c>
      <c r="T6" s="46" t="str">
        <f aca="false">IF(OR($B6="",$S6="Sorti"),"",MID(IF($H6=""," | Date d'embauche manquante","")&amp;IF(AND($K6="Plus d'un an",$N6="")," | Précédent entretien à renseigner (ancienneté &gt; 1 an)","")&amp;IF($O6="Retard antérieur à la réforme"," | Ancien délai de 2 ans expiré avant la réforme","")&amp;IF(AND($N6&lt;&gt;"",$H6&lt;&gt;"",$N6&lt;$H6)," | Entretien antérieur à l'embauche ?","")&amp;IF(AND($N6&lt;&gt;"",$N6&gt;DateRef)," | Entretien daté dans le futur ?","")&amp;IF(AND($Q6&lt;&gt;"",$P6&lt;&gt;"",$Q6&gt;$P6)," | Date prévue après l'échéance","")&amp;IF(AND($Q6&lt;&gt;"",$Q6&lt;DateRef,OR($N6="",$N6&lt;$Q6))," | Entretien prévu passé : le consigner au Journal","")&amp;IF(AND($G6&lt;&gt;"",$X6="",YEAR(DateRef)-YEAR($G6)&gt;=AgeMiCarriere-1,YEAR(DateRef)-YEAR($G6)&lt;=AgeMiCarriere+1)," | Visite de mi-carrière à vérifier",""),4,1000))</f>
        <v/>
      </c>
      <c r="U6" s="39"/>
      <c r="V6" s="40"/>
      <c r="W6" s="42" t="str">
        <f aca="false">IF(OR($B6="",$V6=""),"",IF(AND($I6&lt;&gt;"",$I6&lt;=DateRef),"",IF(AND($N6&lt;&gt;"",$N6&gt;=$V6),"Réalisé",IF(AND($N6&lt;&gt;"",$N6&gt;=EDATE($V6,-FenetreRetour)),"Dispensé (EPP récent)",IF($V6&gt;DateRef,"À prévoir à la reprise","À proposer (reprise passée)")))))</f>
        <v/>
      </c>
      <c r="X6" s="40"/>
      <c r="Y6" s="43" t="str">
        <f aca="false">IF(OR($B6="",$X6=""),"",EDATE($X6,DelaiMiCarriere))</f>
        <v/>
      </c>
      <c r="Z6" s="42" t="str">
        <f aca="false">IF(OR($B6="",$X6=""),"",IF(AND($I6&lt;&gt;"",$I6&lt;=DateRef),"",IF(AND($N6&lt;&gt;"",$N6&gt;=$X6),"Réalisé",IF($Y6&lt;DateRef,"En retard","À planifier"))))</f>
        <v/>
      </c>
      <c r="AA6" s="47" t="n">
        <f aca="false">IF(OR($B6="",$G6=""),"",IF($G6&gt;DateRef,"",DATEDIF($G6,DateRef,"y")))</f>
        <v>38</v>
      </c>
      <c r="AB6" s="43" t="n">
        <f aca="false">IF(OR($B6="",$G6=""),"",EDATE($G6,AgeFinCarriere*12))</f>
        <v>54160</v>
      </c>
      <c r="AC6" s="42" t="str">
        <f aca="false">IF(OR($B6="",$G6="",$H6=""),"",IF(AND($I6&lt;&gt;"",$I6&lt;=DateRef),"",IF($AB6&lt;DateVigueur,"Non concerné",IF(AND($N6&lt;&gt;"",$N6&gt;=MAX(EDATE($AB6,-FenetreFinCarriere*12),DateVigueur),$N6&lt;=$AB6),"Réalisé",IF(DateRef&gt;$AB6,"Non réalisé",IF(AND($Q6&lt;&gt;"",$Q6&gt;=EDATE($AB6,-FenetreFinCarriere*12),$Q6&lt;=$AB6),"Planifié dans la fenêtre",IF(AND(MAX($P6,DateRef)&gt;=EDATE($AB6,-FenetreFinCarriere*12),MAX($P6,DateRef)&lt;=$AB6),"Prochain EPP dans la fenêtre",IF(MAX($P6,DateRef)&gt;$AB6,"À programmer avant 60 ans",""))))))))</f>
        <v/>
      </c>
      <c r="AD6" s="40"/>
      <c r="AE6" s="43" t="n">
        <f aca="false">IF(OR($B6="",$H6="",AND($I6&lt;&gt;"",$I6&lt;=DateRef)),"",MAX($H6,$AD6,IF($A6="",0,SUMPRODUCT(MAX((Journal!$A$6:$A$1005=$A6)*((Journal!$D$6:$D$1005=TypeEDL)+(Journal!$D$6:$D$1005=TypeBilan6))*Journal!$C$6:$C$1005)))))</f>
        <v>46055</v>
      </c>
      <c r="AF6" s="43" t="n">
        <f aca="false">IF($AE6="","",IF(AND(ReglesTransitoires="Oui",EDATE($AE6,AnciennePeriodiciteEDL*12)&lt;DateVigueur),EDATE($AE6,AnciennePeriodiciteEDL*12),EDATE($AE6,PeriodiciteEDL*12)))</f>
        <v>48977</v>
      </c>
      <c r="AG6" s="42" t="str">
        <f aca="false">IF($AF6="","",IF(AND($I6&lt;&gt;"",$I6&lt;=DateRef),"",IF($AF6&lt;DateRef,"En retard",IF($AF6-DateRef&lt;=SeuilAlerteEDL,"À prévoir","À jour"))))</f>
        <v>À jour</v>
      </c>
      <c r="AH6" s="39"/>
      <c r="AI6" s="39"/>
      <c r="AJ6" s="42" t="str">
        <f aca="false">IF(OR($B6="",$H6=""),"",IF(AND($I6&lt;&gt;"",$I6&lt;=DateRef),"",IF(Effectif&lt;SeuilEffectif,"Non concerné (&lt; "&amp;SeuilEffectif&amp;" salariés)",IF($AH6="Oui","Pas de risque",IF(AND(OR($AI6="Non",$S6="En retard"),$AH6="Non"),"Risque abondement",IF(OR($AI6="Non",$S6="En retard"),"À vérifier (formation ?)",IF($AI6="Oui","Pas de risque","À compléter")))))))</f>
        <v>À compléter</v>
      </c>
      <c r="AK6" s="39" t="s">
        <v>164</v>
      </c>
    </row>
    <row r="7" customFormat="false" ht="15" hidden="false" customHeight="false" outlineLevel="0" collapsed="false">
      <c r="A7" s="39" t="s">
        <v>165</v>
      </c>
      <c r="B7" s="39" t="s">
        <v>166</v>
      </c>
      <c r="C7" s="39" t="s">
        <v>167</v>
      </c>
      <c r="D7" s="39" t="s">
        <v>168</v>
      </c>
      <c r="E7" s="39" t="s">
        <v>169</v>
      </c>
      <c r="F7" s="39" t="s">
        <v>170</v>
      </c>
      <c r="G7" s="40" t="n">
        <v>29834</v>
      </c>
      <c r="H7" s="40" t="n">
        <v>42170</v>
      </c>
      <c r="I7" s="40"/>
      <c r="J7" s="41" t="n">
        <f aca="false">IF(OR($B7="",$H7=""),"",IF($H7&gt;DateRef,0,YEARFRAC($H7,DateRef,1)))</f>
        <v>11.27446954141</v>
      </c>
      <c r="K7" s="42" t="str">
        <f aca="false">IF(OR($B7="",$H7=""),"",IF(EDATE($H7,12)&lt;=DateRef,"Plus d'un an","Moins d'un an"))</f>
        <v>Plus d'un an</v>
      </c>
      <c r="L7" s="40" t="n">
        <v>45726</v>
      </c>
      <c r="M7" s="43" t="str">
        <f aca="false">IF(OR($B7="",$A7=""),"",IF(SUMPRODUCT(MAX((Journal!$A$6:$A$1005=$A7)*Journal!$C$6:$C$1005))=0,"",SUMPRODUCT(MAX((Journal!$A$6:$A$1005=$A7)*Journal!$C$6:$C$1005))))</f>
        <v/>
      </c>
      <c r="N7" s="43" t="n">
        <f aca="false">IF($B7="","",IF(MAX($L7,$M7)=0,"",MAX($L7,$M7)))</f>
        <v>45726</v>
      </c>
      <c r="O7" s="44" t="str">
        <f aca="false">IF(OR($B7="",$H7=""),"",IF($N7="",IF(EDATE($H7,DelaiPremierEPP)&gt;DateRef,"1er EPP (1re année)","Aucun entretien renseigné"),IF(AND(ReglesTransitoires="Oui",EDATE($N7,AnciennePeriodiciteEP*12)&lt;DateVigueur),"Retard antérieur à la réforme","Périodicité "&amp;PeriodiciteEPP&amp;" ans")))</f>
        <v>Périodicité 4 ans</v>
      </c>
      <c r="P7" s="43" t="n">
        <f aca="false">IF(OR($B7="",$H7=""),"",IF($N7="",EDATE($H7,DelaiPremierEPP),IF(AND(ReglesTransitoires="Oui",EDATE($N7,AnciennePeriodiciteEP*12)&lt;DateVigueur),EDATE($N7,AnciennePeriodiciteEP*12),EDATE($N7,PeriodiciteEPP*12))))</f>
        <v>47187</v>
      </c>
      <c r="Q7" s="40"/>
      <c r="R7" s="45" t="n">
        <f aca="false">IF(OR($P7="",AND($I7&lt;&gt;"",$I7&lt;=DateRef)),"",$P7-DateRef)</f>
        <v>899</v>
      </c>
      <c r="S7" s="42" t="str">
        <f aca="false">IF($B7="","",IF(AND($I7&lt;&gt;"",$I7&lt;=DateRef),"Sorti",IF($H7="","À compléter",IF(AND($Q7&lt;&gt;"",$Q7&gt;=DateRef,$Q7&lt;=$P7),"Planifié",IF($R7&lt;0,"En retard",IF($R7&lt;=SeuilAlerteEPP,"À planifier","À jour"))))))</f>
        <v>À jour</v>
      </c>
      <c r="T7" s="46" t="str">
        <f aca="false">IF(OR($B7="",$S7="Sorti"),"",MID(IF($H7=""," | Date d'embauche manquante","")&amp;IF(AND($K7="Plus d'un an",$N7="")," | Précédent entretien à renseigner (ancienneté &gt; 1 an)","")&amp;IF($O7="Retard antérieur à la réforme"," | Ancien délai de 2 ans expiré avant la réforme","")&amp;IF(AND($N7&lt;&gt;"",$H7&lt;&gt;"",$N7&lt;$H7)," | Entretien antérieur à l'embauche ?","")&amp;IF(AND($N7&lt;&gt;"",$N7&gt;DateRef)," | Entretien daté dans le futur ?","")&amp;IF(AND($Q7&lt;&gt;"",$P7&lt;&gt;"",$Q7&gt;$P7)," | Date prévue après l'échéance","")&amp;IF(AND($Q7&lt;&gt;"",$Q7&lt;DateRef,OR($N7="",$N7&lt;$Q7))," | Entretien prévu passé : le consigner au Journal","")&amp;IF(AND($G7&lt;&gt;"",$X7="",YEAR(DateRef)-YEAR($G7)&gt;=AgeMiCarriere-1,YEAR(DateRef)-YEAR($G7)&lt;=AgeMiCarriere+1)," | Visite de mi-carrière à vérifier",""),4,1000))</f>
        <v/>
      </c>
      <c r="U7" s="39"/>
      <c r="V7" s="40"/>
      <c r="W7" s="42" t="str">
        <f aca="false">IF(OR($B7="",$V7=""),"",IF(AND($I7&lt;&gt;"",$I7&lt;=DateRef),"",IF(AND($N7&lt;&gt;"",$N7&gt;=$V7),"Réalisé",IF(AND($N7&lt;&gt;"",$N7&gt;=EDATE($V7,-FenetreRetour)),"Dispensé (EPP récent)",IF($V7&gt;DateRef,"À prévoir à la reprise","À proposer (reprise passée)")))))</f>
        <v/>
      </c>
      <c r="X7" s="40" t="n">
        <v>46267</v>
      </c>
      <c r="Y7" s="43" t="n">
        <f aca="false">IF(OR($B7="",$X7=""),"",EDATE($X7,DelaiMiCarriere))</f>
        <v>46328</v>
      </c>
      <c r="Z7" s="42" t="str">
        <f aca="false">IF(OR($B7="",$X7=""),"",IF(AND($I7&lt;&gt;"",$I7&lt;=DateRef),"",IF(AND($N7&lt;&gt;"",$N7&gt;=$X7),"Réalisé",IF($Y7&lt;DateRef,"En retard","À planifier"))))</f>
        <v>À planifier</v>
      </c>
      <c r="AA7" s="47" t="n">
        <f aca="false">IF(OR($B7="",$G7=""),"",IF($G7&gt;DateRef,"",DATEDIF($G7,DateRef,"y")))</f>
        <v>45</v>
      </c>
      <c r="AB7" s="43" t="n">
        <f aca="false">IF(OR($B7="",$G7=""),"",EDATE($G7,AgeFinCarriere*12))</f>
        <v>51749</v>
      </c>
      <c r="AC7" s="42" t="str">
        <f aca="false">IF(OR($B7="",$G7="",$H7=""),"",IF(AND($I7&lt;&gt;"",$I7&lt;=DateRef),"",IF($AB7&lt;DateVigueur,"Non concerné",IF(AND($N7&lt;&gt;"",$N7&gt;=MAX(EDATE($AB7,-FenetreFinCarriere*12),DateVigueur),$N7&lt;=$AB7),"Réalisé",IF(DateRef&gt;$AB7,"Non réalisé",IF(AND($Q7&lt;&gt;"",$Q7&gt;=EDATE($AB7,-FenetreFinCarriere*12),$Q7&lt;=$AB7),"Planifié dans la fenêtre",IF(AND(MAX($P7,DateRef)&gt;=EDATE($AB7,-FenetreFinCarriere*12),MAX($P7,DateRef)&lt;=$AB7),"Prochain EPP dans la fenêtre",IF(MAX($P7,DateRef)&gt;$AB7,"À programmer avant 60 ans",""))))))))</f>
        <v/>
      </c>
      <c r="AD7" s="40" t="n">
        <v>44367</v>
      </c>
      <c r="AE7" s="43" t="n">
        <f aca="false">IF(OR($B7="",$H7="",AND($I7&lt;&gt;"",$I7&lt;=DateRef)),"",MAX($H7,$AD7,IF($A7="",0,SUMPRODUCT(MAX((Journal!$A$6:$A$1005=$A7)*((Journal!$D$6:$D$1005=TypeEDL)+(Journal!$D$6:$D$1005=TypeBilan6))*Journal!$C$6:$C$1005)))))</f>
        <v>44367</v>
      </c>
      <c r="AF7" s="43" t="n">
        <f aca="false">IF($AE7="","",IF(AND(ReglesTransitoires="Oui",EDATE($AE7,AnciennePeriodiciteEDL*12)&lt;DateVigueur),EDATE($AE7,AnciennePeriodiciteEDL*12),EDATE($AE7,PeriodiciteEDL*12)))</f>
        <v>47289</v>
      </c>
      <c r="AG7" s="42" t="str">
        <f aca="false">IF($AF7="","",IF(AND($I7&lt;&gt;"",$I7&lt;=DateRef),"",IF($AF7&lt;DateRef,"En retard",IF($AF7-DateRef&lt;=SeuilAlerteEDL,"À prévoir","À jour"))))</f>
        <v>À jour</v>
      </c>
      <c r="AH7" s="39" t="s">
        <v>171</v>
      </c>
      <c r="AI7" s="39" t="s">
        <v>171</v>
      </c>
      <c r="AJ7" s="42" t="str">
        <f aca="false">IF(OR($B7="",$H7=""),"",IF(AND($I7&lt;&gt;"",$I7&lt;=DateRef),"",IF(Effectif&lt;SeuilEffectif,"Non concerné (&lt; "&amp;SeuilEffectif&amp;" salariés)",IF($AH7="Oui","Pas de risque",IF(AND(OR($AI7="Non",$S7="En retard"),$AH7="Non"),"Risque abondement",IF(OR($AI7="Non",$S7="En retard"),"À vérifier (formation ?)",IF($AI7="Oui","Pas de risque","À compléter")))))))</f>
        <v>Pas de risque</v>
      </c>
      <c r="AK7" s="39" t="s">
        <v>172</v>
      </c>
    </row>
    <row r="8" customFormat="false" ht="15" hidden="false" customHeight="false" outlineLevel="0" collapsed="false">
      <c r="A8" s="39" t="s">
        <v>173</v>
      </c>
      <c r="B8" s="39" t="s">
        <v>174</v>
      </c>
      <c r="C8" s="39" t="s">
        <v>175</v>
      </c>
      <c r="D8" s="39" t="s">
        <v>176</v>
      </c>
      <c r="E8" s="39" t="s">
        <v>177</v>
      </c>
      <c r="F8" s="39" t="s">
        <v>178</v>
      </c>
      <c r="G8" s="40" t="n">
        <v>33199</v>
      </c>
      <c r="H8" s="40" t="n">
        <v>43709</v>
      </c>
      <c r="I8" s="40"/>
      <c r="J8" s="41" t="n">
        <f aca="false">IF(OR($B8="",$H8=""),"",IF($H8&gt;DateRef,0,YEARFRAC($H8,DateRef,1)))</f>
        <v>7.06091718001369</v>
      </c>
      <c r="K8" s="42" t="str">
        <f aca="false">IF(OR($B8="",$H8=""),"",IF(EDATE($H8,12)&lt;=DateRef,"Plus d'un an","Moins d'un an"))</f>
        <v>Plus d'un an</v>
      </c>
      <c r="L8" s="40" t="n">
        <v>45066</v>
      </c>
      <c r="M8" s="43" t="str">
        <f aca="false">IF(OR($B8="",$A8=""),"",IF(SUMPRODUCT(MAX((Journal!$A$6:$A$1005=$A8)*Journal!$C$6:$C$1005))=0,"",SUMPRODUCT(MAX((Journal!$A$6:$A$1005=$A8)*Journal!$C$6:$C$1005))))</f>
        <v/>
      </c>
      <c r="N8" s="43" t="n">
        <f aca="false">IF($B8="","",IF(MAX($L8,$M8)=0,"",MAX($L8,$M8)))</f>
        <v>45066</v>
      </c>
      <c r="O8" s="44" t="str">
        <f aca="false">IF(OR($B8="",$H8=""),"",IF($N8="",IF(EDATE($H8,DelaiPremierEPP)&gt;DateRef,"1er EPP (1re année)","Aucun entretien renseigné"),IF(AND(ReglesTransitoires="Oui",EDATE($N8,AnciennePeriodiciteEP*12)&lt;DateVigueur),"Retard antérieur à la réforme","Périodicité "&amp;PeriodiciteEPP&amp;" ans")))</f>
        <v>Retard antérieur à la réforme</v>
      </c>
      <c r="P8" s="43" t="n">
        <f aca="false">IF(OR($B8="",$H8=""),"",IF($N8="",EDATE($H8,DelaiPremierEPP),IF(AND(ReglesTransitoires="Oui",EDATE($N8,AnciennePeriodiciteEP*12)&lt;DateVigueur),EDATE($N8,AnciennePeriodiciteEP*12),EDATE($N8,PeriodiciteEPP*12))))</f>
        <v>45797</v>
      </c>
      <c r="Q8" s="40"/>
      <c r="R8" s="45" t="n">
        <f aca="false">IF(OR($P8="",AND($I8&lt;&gt;"",$I8&lt;=DateRef)),"",$P8-DateRef)</f>
        <v>-491</v>
      </c>
      <c r="S8" s="42" t="str">
        <f aca="false">IF($B8="","",IF(AND($I8&lt;&gt;"",$I8&lt;=DateRef),"Sorti",IF($H8="","À compléter",IF(AND($Q8&lt;&gt;"",$Q8&gt;=DateRef,$Q8&lt;=$P8),"Planifié",IF($R8&lt;0,"En retard",IF($R8&lt;=SeuilAlerteEPP,"À planifier","À jour"))))))</f>
        <v>En retard</v>
      </c>
      <c r="T8" s="46" t="str">
        <f aca="false">IF(OR($B8="",$S8="Sorti"),"",MID(IF($H8=""," | Date d'embauche manquante","")&amp;IF(AND($K8="Plus d'un an",$N8="")," | Précédent entretien à renseigner (ancienneté &gt; 1 an)","")&amp;IF($O8="Retard antérieur à la réforme"," | Ancien délai de 2 ans expiré avant la réforme","")&amp;IF(AND($N8&lt;&gt;"",$H8&lt;&gt;"",$N8&lt;$H8)," | Entretien antérieur à l'embauche ?","")&amp;IF(AND($N8&lt;&gt;"",$N8&gt;DateRef)," | Entretien daté dans le futur ?","")&amp;IF(AND($Q8&lt;&gt;"",$P8&lt;&gt;"",$Q8&gt;$P8)," | Date prévue après l'échéance","")&amp;IF(AND($Q8&lt;&gt;"",$Q8&lt;DateRef,OR($N8="",$N8&lt;$Q8))," | Entretien prévu passé : le consigner au Journal","")&amp;IF(AND($G8&lt;&gt;"",$X8="",YEAR(DateRef)-YEAR($G8)&gt;=AgeMiCarriere-1,YEAR(DateRef)-YEAR($G8)&lt;=AgeMiCarriere+1)," | Visite de mi-carrière à vérifier",""),4,1000))</f>
        <v>Ancien délai de 2 ans expiré avant la réforme</v>
      </c>
      <c r="U8" s="39" t="s">
        <v>179</v>
      </c>
      <c r="V8" s="40" t="n">
        <v>46300</v>
      </c>
      <c r="W8" s="42" t="str">
        <f aca="false">IF(OR($B8="",$V8=""),"",IF(AND($I8&lt;&gt;"",$I8&lt;=DateRef),"",IF(AND($N8&lt;&gt;"",$N8&gt;=$V8),"Réalisé",IF(AND($N8&lt;&gt;"",$N8&gt;=EDATE($V8,-FenetreRetour)),"Dispensé (EPP récent)",IF($V8&gt;DateRef,"À prévoir à la reprise","À proposer (reprise passée)")))))</f>
        <v>À prévoir à la reprise</v>
      </c>
      <c r="X8" s="40"/>
      <c r="Y8" s="43" t="str">
        <f aca="false">IF(OR($B8="",$X8=""),"",EDATE($X8,DelaiMiCarriere))</f>
        <v/>
      </c>
      <c r="Z8" s="42" t="str">
        <f aca="false">IF(OR($B8="",$X8=""),"",IF(AND($I8&lt;&gt;"",$I8&lt;=DateRef),"",IF(AND($N8&lt;&gt;"",$N8&gt;=$X8),"Réalisé",IF($Y8&lt;DateRef,"En retard","À planifier"))))</f>
        <v/>
      </c>
      <c r="AA8" s="47" t="n">
        <f aca="false">IF(OR($B8="",$G8=""),"",IF($G8&gt;DateRef,"",DATEDIF($G8,DateRef,"y")))</f>
        <v>35</v>
      </c>
      <c r="AB8" s="43" t="n">
        <f aca="false">IF(OR($B8="",$G8=""),"",EDATE($G8,AgeFinCarriere*12))</f>
        <v>55114</v>
      </c>
      <c r="AC8" s="42" t="str">
        <f aca="false">IF(OR($B8="",$G8="",$H8=""),"",IF(AND($I8&lt;&gt;"",$I8&lt;=DateRef),"",IF($AB8&lt;DateVigueur,"Non concerné",IF(AND($N8&lt;&gt;"",$N8&gt;=MAX(EDATE($AB8,-FenetreFinCarriere*12),DateVigueur),$N8&lt;=$AB8),"Réalisé",IF(DateRef&gt;$AB8,"Non réalisé",IF(AND($Q8&lt;&gt;"",$Q8&gt;=EDATE($AB8,-FenetreFinCarriere*12),$Q8&lt;=$AB8),"Planifié dans la fenêtre",IF(AND(MAX($P8,DateRef)&gt;=EDATE($AB8,-FenetreFinCarriere*12),MAX($P8,DateRef)&lt;=$AB8),"Prochain EPP dans la fenêtre",IF(MAX($P8,DateRef)&gt;$AB8,"À programmer avant 60 ans",""))))))))</f>
        <v/>
      </c>
      <c r="AD8" s="40"/>
      <c r="AE8" s="43" t="n">
        <f aca="false">IF(OR($B8="",$H8="",AND($I8&lt;&gt;"",$I8&lt;=DateRef)),"",MAX($H8,$AD8,IF($A8="",0,SUMPRODUCT(MAX((Journal!$A$6:$A$1005=$A8)*((Journal!$D$6:$D$1005=TypeEDL)+(Journal!$D$6:$D$1005=TypeBilan6))*Journal!$C$6:$C$1005)))))</f>
        <v>43709</v>
      </c>
      <c r="AF8" s="43" t="n">
        <f aca="false">IF($AE8="","",IF(AND(ReglesTransitoires="Oui",EDATE($AE8,AnciennePeriodiciteEDL*12)&lt;DateVigueur),EDATE($AE8,AnciennePeriodiciteEDL*12),EDATE($AE8,PeriodiciteEDL*12)))</f>
        <v>45901</v>
      </c>
      <c r="AG8" s="42" t="str">
        <f aca="false">IF($AF8="","",IF(AND($I8&lt;&gt;"",$I8&lt;=DateRef),"",IF($AF8&lt;DateRef,"En retard",IF($AF8-DateRef&lt;=SeuilAlerteEDL,"À prévoir","À jour"))))</f>
        <v>En retard</v>
      </c>
      <c r="AH8" s="39" t="s">
        <v>171</v>
      </c>
      <c r="AI8" s="39"/>
      <c r="AJ8" s="42" t="str">
        <f aca="false">IF(OR($B8="",$H8=""),"",IF(AND($I8&lt;&gt;"",$I8&lt;=DateRef),"",IF(Effectif&lt;SeuilEffectif,"Non concerné (&lt; "&amp;SeuilEffectif&amp;" salariés)",IF($AH8="Oui","Pas de risque",IF(AND(OR($AI8="Non",$S8="En retard"),$AH8="Non"),"Risque abondement",IF(OR($AI8="Non",$S8="En retard"),"À vérifier (formation ?)",IF($AI8="Oui","Pas de risque","À compléter")))))))</f>
        <v>Pas de risque</v>
      </c>
      <c r="AK8" s="39" t="s">
        <v>180</v>
      </c>
    </row>
    <row r="9" customFormat="false" ht="15" hidden="false" customHeight="false" outlineLevel="0" collapsed="false">
      <c r="A9" s="39" t="s">
        <v>181</v>
      </c>
      <c r="B9" s="39" t="s">
        <v>182</v>
      </c>
      <c r="C9" s="39" t="s">
        <v>183</v>
      </c>
      <c r="D9" s="39" t="s">
        <v>184</v>
      </c>
      <c r="E9" s="39" t="s">
        <v>185</v>
      </c>
      <c r="F9" s="39" t="s">
        <v>170</v>
      </c>
      <c r="G9" s="40" t="n">
        <v>24545</v>
      </c>
      <c r="H9" s="40" t="n">
        <v>39457</v>
      </c>
      <c r="I9" s="40"/>
      <c r="J9" s="41" t="n">
        <f aca="false">IF(OR($B9="",$H9=""),"",IF($H9&gt;DateRef,0,YEARFRAC($H9,DateRef,1)))</f>
        <v>18.7015850144092</v>
      </c>
      <c r="K9" s="42" t="str">
        <f aca="false">IF(OR($B9="",$H9=""),"",IF(EDATE($H9,12)&lt;=DateRef,"Plus d'un an","Moins d'un an"))</f>
        <v>Plus d'un an</v>
      </c>
      <c r="L9" s="40" t="n">
        <v>45641</v>
      </c>
      <c r="M9" s="43" t="str">
        <f aca="false">IF(OR($B9="",$A9=""),"",IF(SUMPRODUCT(MAX((Journal!$A$6:$A$1005=$A9)*Journal!$C$6:$C$1005))=0,"",SUMPRODUCT(MAX((Journal!$A$6:$A$1005=$A9)*Journal!$C$6:$C$1005))))</f>
        <v/>
      </c>
      <c r="N9" s="43" t="n">
        <f aca="false">IF($B9="","",IF(MAX($L9,$M9)=0,"",MAX($L9,$M9)))</f>
        <v>45641</v>
      </c>
      <c r="O9" s="44" t="str">
        <f aca="false">IF(OR($B9="",$H9=""),"",IF($N9="",IF(EDATE($H9,DelaiPremierEPP)&gt;DateRef,"1er EPP (1re année)","Aucun entretien renseigné"),IF(AND(ReglesTransitoires="Oui",EDATE($N9,AnciennePeriodiciteEP*12)&lt;DateVigueur),"Retard antérieur à la réforme","Périodicité "&amp;PeriodiciteEPP&amp;" ans")))</f>
        <v>Périodicité 4 ans</v>
      </c>
      <c r="P9" s="43" t="n">
        <f aca="false">IF(OR($B9="",$H9=""),"",IF($N9="",EDATE($H9,DelaiPremierEPP),IF(AND(ReglesTransitoires="Oui",EDATE($N9,AnciennePeriodiciteEP*12)&lt;DateVigueur),EDATE($N9,AnciennePeriodiciteEP*12),EDATE($N9,PeriodiciteEPP*12))))</f>
        <v>47102</v>
      </c>
      <c r="Q9" s="40"/>
      <c r="R9" s="45" t="n">
        <f aca="false">IF(OR($P9="",AND($I9&lt;&gt;"",$I9&lt;=DateRef)),"",$P9-DateRef)</f>
        <v>814</v>
      </c>
      <c r="S9" s="42" t="str">
        <f aca="false">IF($B9="","",IF(AND($I9&lt;&gt;"",$I9&lt;=DateRef),"Sorti",IF($H9="","À compléter",IF(AND($Q9&lt;&gt;"",$Q9&gt;=DateRef,$Q9&lt;=$P9),"Planifié",IF($R9&lt;0,"En retard",IF($R9&lt;=SeuilAlerteEPP,"À planifier","À jour"))))))</f>
        <v>À jour</v>
      </c>
      <c r="T9" s="46" t="str">
        <f aca="false">IF(OR($B9="",$S9="Sorti"),"",MID(IF($H9=""," | Date d'embauche manquante","")&amp;IF(AND($K9="Plus d'un an",$N9="")," | Précédent entretien à renseigner (ancienneté &gt; 1 an)","")&amp;IF($O9="Retard antérieur à la réforme"," | Ancien délai de 2 ans expiré avant la réforme","")&amp;IF(AND($N9&lt;&gt;"",$H9&lt;&gt;"",$N9&lt;$H9)," | Entretien antérieur à l'embauche ?","")&amp;IF(AND($N9&lt;&gt;"",$N9&gt;DateRef)," | Entretien daté dans le futur ?","")&amp;IF(AND($Q9&lt;&gt;"",$P9&lt;&gt;"",$Q9&gt;$P9)," | Date prévue après l'échéance","")&amp;IF(AND($Q9&lt;&gt;"",$Q9&lt;DateRef,OR($N9="",$N9&lt;$Q9))," | Entretien prévu passé : le consigner au Journal","")&amp;IF(AND($G9&lt;&gt;"",$X9="",YEAR(DateRef)-YEAR($G9)&gt;=AgeMiCarriere-1,YEAR(DateRef)-YEAR($G9)&lt;=AgeMiCarriere+1)," | Visite de mi-carrière à vérifier",""),4,1000))</f>
        <v/>
      </c>
      <c r="U9" s="39"/>
      <c r="V9" s="40"/>
      <c r="W9" s="42" t="str">
        <f aca="false">IF(OR($B9="",$V9=""),"",IF(AND($I9&lt;&gt;"",$I9&lt;=DateRef),"",IF(AND($N9&lt;&gt;"",$N9&gt;=$V9),"Réalisé",IF(AND($N9&lt;&gt;"",$N9&gt;=EDATE($V9,-FenetreRetour)),"Dispensé (EPP récent)",IF($V9&gt;DateRef,"À prévoir à la reprise","À proposer (reprise passée)")))))</f>
        <v/>
      </c>
      <c r="X9" s="40"/>
      <c r="Y9" s="43" t="str">
        <f aca="false">IF(OR($B9="",$X9=""),"",EDATE($X9,DelaiMiCarriere))</f>
        <v/>
      </c>
      <c r="Z9" s="42" t="str">
        <f aca="false">IF(OR($B9="",$X9=""),"",IF(AND($I9&lt;&gt;"",$I9&lt;=DateRef),"",IF(AND($N9&lt;&gt;"",$N9&gt;=$X9),"Réalisé",IF($Y9&lt;DateRef,"En retard","À planifier"))))</f>
        <v/>
      </c>
      <c r="AA9" s="47" t="n">
        <f aca="false">IF(OR($B9="",$G9=""),"",IF($G9&gt;DateRef,"",DATEDIF($G9,DateRef,"y")))</f>
        <v>59</v>
      </c>
      <c r="AB9" s="43" t="n">
        <f aca="false">IF(OR($B9="",$G9=""),"",EDATE($G9,AgeFinCarriere*12))</f>
        <v>46460</v>
      </c>
      <c r="AC9" s="42" t="str">
        <f aca="false">IF(OR($B9="",$G9="",$H9=""),"",IF(AND($I9&lt;&gt;"",$I9&lt;=DateRef),"",IF($AB9&lt;DateVigueur,"Non concerné",IF(AND($N9&lt;&gt;"",$N9&gt;=MAX(EDATE($AB9,-FenetreFinCarriere*12),DateVigueur),$N9&lt;=$AB9),"Réalisé",IF(DateRef&gt;$AB9,"Non réalisé",IF(AND($Q9&lt;&gt;"",$Q9&gt;=EDATE($AB9,-FenetreFinCarriere*12),$Q9&lt;=$AB9),"Planifié dans la fenêtre",IF(AND(MAX($P9,DateRef)&gt;=EDATE($AB9,-FenetreFinCarriere*12),MAX($P9,DateRef)&lt;=$AB9),"Prochain EPP dans la fenêtre",IF(MAX($P9,DateRef)&gt;$AB9,"À programmer avant 60 ans",""))))))))</f>
        <v>À programmer avant 60 ans</v>
      </c>
      <c r="AD9" s="40" t="n">
        <v>43842</v>
      </c>
      <c r="AE9" s="43" t="n">
        <f aca="false">IF(OR($B9="",$H9="",AND($I9&lt;&gt;"",$I9&lt;=DateRef)),"",MAX($H9,$AD9,IF($A9="",0,SUMPRODUCT(MAX((Journal!$A$6:$A$1005=$A9)*((Journal!$D$6:$D$1005=TypeEDL)+(Journal!$D$6:$D$1005=TypeBilan6))*Journal!$C$6:$C$1005)))))</f>
        <v>43842</v>
      </c>
      <c r="AF9" s="43" t="n">
        <f aca="false">IF($AE9="","",IF(AND(ReglesTransitoires="Oui",EDATE($AE9,AnciennePeriodiciteEDL*12)&lt;DateVigueur),EDATE($AE9,AnciennePeriodiciteEDL*12),EDATE($AE9,PeriodiciteEDL*12)))</f>
        <v>46764</v>
      </c>
      <c r="AG9" s="42" t="str">
        <f aca="false">IF($AF9="","",IF(AND($I9&lt;&gt;"",$I9&lt;=DateRef),"",IF($AF9&lt;DateRef,"En retard",IF($AF9-DateRef&lt;=SeuilAlerteEDL,"À prévoir","À jour"))))</f>
        <v>À jour</v>
      </c>
      <c r="AH9" s="39" t="s">
        <v>171</v>
      </c>
      <c r="AI9" s="39" t="s">
        <v>171</v>
      </c>
      <c r="AJ9" s="42" t="str">
        <f aca="false">IF(OR($B9="",$H9=""),"",IF(AND($I9&lt;&gt;"",$I9&lt;=DateRef),"",IF(Effectif&lt;SeuilEffectif,"Non concerné (&lt; "&amp;SeuilEffectif&amp;" salariés)",IF($AH9="Oui","Pas de risque",IF(AND(OR($AI9="Non",$S9="En retard"),$AH9="Non"),"Risque abondement",IF(OR($AI9="Non",$S9="En retard"),"À vérifier (formation ?)",IF($AI9="Oui","Pas de risque","À compléter")))))))</f>
        <v>Pas de risque</v>
      </c>
      <c r="AK9" s="39" t="s">
        <v>186</v>
      </c>
    </row>
    <row r="10" customFormat="false" ht="15" hidden="false" customHeight="false" outlineLevel="0" collapsed="false">
      <c r="A10" s="39" t="s">
        <v>187</v>
      </c>
      <c r="B10" s="39" t="s">
        <v>188</v>
      </c>
      <c r="C10" s="39" t="s">
        <v>189</v>
      </c>
      <c r="D10" s="39" t="s">
        <v>190</v>
      </c>
      <c r="E10" s="39" t="s">
        <v>191</v>
      </c>
      <c r="F10" s="39" t="s">
        <v>192</v>
      </c>
      <c r="G10" s="40" t="n">
        <v>34910</v>
      </c>
      <c r="H10" s="40" t="n">
        <v>44256</v>
      </c>
      <c r="I10" s="40"/>
      <c r="J10" s="41" t="n">
        <f aca="false">IF(OR($B10="",$H10=""),"",IF($H10&gt;DateRef,0,YEARFRAC($H10,DateRef,1)))</f>
        <v>5.56458238247376</v>
      </c>
      <c r="K10" s="42" t="str">
        <f aca="false">IF(OR($B10="",$H10=""),"",IF(EDATE($H10,12)&lt;=DateRef,"Plus d'un an","Moins d'un an"))</f>
        <v>Plus d'un an</v>
      </c>
      <c r="L10" s="40"/>
      <c r="M10" s="43" t="str">
        <f aca="false">IF(OR($B10="",$A10=""),"",IF(SUMPRODUCT(MAX((Journal!$A$6:$A$1005=$A10)*Journal!$C$6:$C$1005))=0,"",SUMPRODUCT(MAX((Journal!$A$6:$A$1005=$A10)*Journal!$C$6:$C$1005))))</f>
        <v/>
      </c>
      <c r="N10" s="43" t="str">
        <f aca="false">IF($B10="","",IF(MAX($L10,$M10)=0,"",MAX($L10,$M10)))</f>
        <v/>
      </c>
      <c r="O10" s="44" t="str">
        <f aca="false">IF(OR($B10="",$H10=""),"",IF($N10="",IF(EDATE($H10,DelaiPremierEPP)&gt;DateRef,"1er EPP (1re année)","Aucun entretien renseigné"),IF(AND(ReglesTransitoires="Oui",EDATE($N10,AnciennePeriodiciteEP*12)&lt;DateVigueur),"Retard antérieur à la réforme","Périodicité "&amp;PeriodiciteEPP&amp;" ans")))</f>
        <v>Aucun entretien renseigné</v>
      </c>
      <c r="P10" s="43" t="n">
        <f aca="false">IF(OR($B10="",$H10=""),"",IF($N10="",EDATE($H10,DelaiPremierEPP),IF(AND(ReglesTransitoires="Oui",EDATE($N10,AnciennePeriodiciteEP*12)&lt;DateVigueur),EDATE($N10,AnciennePeriodiciteEP*12),EDATE($N10,PeriodiciteEPP*12))))</f>
        <v>44621</v>
      </c>
      <c r="Q10" s="40"/>
      <c r="R10" s="45" t="n">
        <f aca="false">IF(OR($P10="",AND($I10&lt;&gt;"",$I10&lt;=DateRef)),"",$P10-DateRef)</f>
        <v>-1667</v>
      </c>
      <c r="S10" s="42" t="str">
        <f aca="false">IF($B10="","",IF(AND($I10&lt;&gt;"",$I10&lt;=DateRef),"Sorti",IF($H10="","À compléter",IF(AND($Q10&lt;&gt;"",$Q10&gt;=DateRef,$Q10&lt;=$P10),"Planifié",IF($R10&lt;0,"En retard",IF($R10&lt;=SeuilAlerteEPP,"À planifier","À jour"))))))</f>
        <v>En retard</v>
      </c>
      <c r="T10" s="46" t="str">
        <f aca="false">IF(OR($B10="",$S10="Sorti"),"",MID(IF($H10=""," | Date d'embauche manquante","")&amp;IF(AND($K10="Plus d'un an",$N10="")," | Précédent entretien à renseigner (ancienneté &gt; 1 an)","")&amp;IF($O10="Retard antérieur à la réforme"," | Ancien délai de 2 ans expiré avant la réforme","")&amp;IF(AND($N10&lt;&gt;"",$H10&lt;&gt;"",$N10&lt;$H10)," | Entretien antérieur à l'embauche ?","")&amp;IF(AND($N10&lt;&gt;"",$N10&gt;DateRef)," | Entretien daté dans le futur ?","")&amp;IF(AND($Q10&lt;&gt;"",$P10&lt;&gt;"",$Q10&gt;$P10)," | Date prévue après l'échéance","")&amp;IF(AND($Q10&lt;&gt;"",$Q10&lt;DateRef,OR($N10="",$N10&lt;$Q10))," | Entretien prévu passé : le consigner au Journal","")&amp;IF(AND($G10&lt;&gt;"",$X10="",YEAR(DateRef)-YEAR($G10)&gt;=AgeMiCarriere-1,YEAR(DateRef)-YEAR($G10)&lt;=AgeMiCarriere+1)," | Visite de mi-carrière à vérifier",""),4,1000))</f>
        <v>Précédent entretien à renseigner (ancienneté &gt; 1 an)</v>
      </c>
      <c r="U10" s="39"/>
      <c r="V10" s="40"/>
      <c r="W10" s="42" t="str">
        <f aca="false">IF(OR($B10="",$V10=""),"",IF(AND($I10&lt;&gt;"",$I10&lt;=DateRef),"",IF(AND($N10&lt;&gt;"",$N10&gt;=$V10),"Réalisé",IF(AND($N10&lt;&gt;"",$N10&gt;=EDATE($V10,-FenetreRetour)),"Dispensé (EPP récent)",IF($V10&gt;DateRef,"À prévoir à la reprise","À proposer (reprise passée)")))))</f>
        <v/>
      </c>
      <c r="X10" s="40"/>
      <c r="Y10" s="43" t="str">
        <f aca="false">IF(OR($B10="",$X10=""),"",EDATE($X10,DelaiMiCarriere))</f>
        <v/>
      </c>
      <c r="Z10" s="42" t="str">
        <f aca="false">IF(OR($B10="",$X10=""),"",IF(AND($I10&lt;&gt;"",$I10&lt;=DateRef),"",IF(AND($N10&lt;&gt;"",$N10&gt;=$X10),"Réalisé",IF($Y10&lt;DateRef,"En retard","À planifier"))))</f>
        <v/>
      </c>
      <c r="AA10" s="47" t="n">
        <f aca="false">IF(OR($B10="",$G10=""),"",IF($G10&gt;DateRef,"",DATEDIF($G10,DateRef,"y")))</f>
        <v>31</v>
      </c>
      <c r="AB10" s="43" t="n">
        <f aca="false">IF(OR($B10="",$G10=""),"",EDATE($G10,AgeFinCarriere*12))</f>
        <v>56825</v>
      </c>
      <c r="AC10" s="42" t="str">
        <f aca="false">IF(OR($B10="",$G10="",$H10=""),"",IF(AND($I10&lt;&gt;"",$I10&lt;=DateRef),"",IF($AB10&lt;DateVigueur,"Non concerné",IF(AND($N10&lt;&gt;"",$N10&gt;=MAX(EDATE($AB10,-FenetreFinCarriere*12),DateVigueur),$N10&lt;=$AB10),"Réalisé",IF(DateRef&gt;$AB10,"Non réalisé",IF(AND($Q10&lt;&gt;"",$Q10&gt;=EDATE($AB10,-FenetreFinCarriere*12),$Q10&lt;=$AB10),"Planifié dans la fenêtre",IF(AND(MAX($P10,DateRef)&gt;=EDATE($AB10,-FenetreFinCarriere*12),MAX($P10,DateRef)&lt;=$AB10),"Prochain EPP dans la fenêtre",IF(MAX($P10,DateRef)&gt;$AB10,"À programmer avant 60 ans",""))))))))</f>
        <v/>
      </c>
      <c r="AD10" s="40"/>
      <c r="AE10" s="43" t="n">
        <f aca="false">IF(OR($B10="",$H10="",AND($I10&lt;&gt;"",$I10&lt;=DateRef)),"",MAX($H10,$AD10,IF($A10="",0,SUMPRODUCT(MAX((Journal!$A$6:$A$1005=$A10)*((Journal!$D$6:$D$1005=TypeEDL)+(Journal!$D$6:$D$1005=TypeBilan6))*Journal!$C$6:$C$1005)))))</f>
        <v>44256</v>
      </c>
      <c r="AF10" s="43" t="n">
        <f aca="false">IF($AE10="","",IF(AND(ReglesTransitoires="Oui",EDATE($AE10,AnciennePeriodiciteEDL*12)&lt;DateVigueur),EDATE($AE10,AnciennePeriodiciteEDL*12),EDATE($AE10,PeriodiciteEDL*12)))</f>
        <v>47178</v>
      </c>
      <c r="AG10" s="42" t="str">
        <f aca="false">IF($AF10="","",IF(AND($I10&lt;&gt;"",$I10&lt;=DateRef),"",IF($AF10&lt;DateRef,"En retard",IF($AF10-DateRef&lt;=SeuilAlerteEDL,"À prévoir","À jour"))))</f>
        <v>À jour</v>
      </c>
      <c r="AH10" s="39"/>
      <c r="AI10" s="39"/>
      <c r="AJ10" s="42" t="str">
        <f aca="false">IF(OR($B10="",$H10=""),"",IF(AND($I10&lt;&gt;"",$I10&lt;=DateRef),"",IF(Effectif&lt;SeuilEffectif,"Non concerné (&lt; "&amp;SeuilEffectif&amp;" salariés)",IF($AH10="Oui","Pas de risque",IF(AND(OR($AI10="Non",$S10="En retard"),$AH10="Non"),"Risque abondement",IF(OR($AI10="Non",$S10="En retard"),"À vérifier (formation ?)",IF($AI10="Oui","Pas de risque","À compléter")))))))</f>
        <v>À vérifier (formation ?)</v>
      </c>
      <c r="AK10" s="39" t="s">
        <v>193</v>
      </c>
    </row>
    <row r="11" customFormat="false" ht="15" hidden="false" customHeight="false" outlineLevel="0" collapsed="false">
      <c r="A11" s="39" t="s">
        <v>194</v>
      </c>
      <c r="B11" s="39" t="s">
        <v>195</v>
      </c>
      <c r="C11" s="39" t="s">
        <v>196</v>
      </c>
      <c r="D11" s="39" t="s">
        <v>197</v>
      </c>
      <c r="E11" s="39" t="s">
        <v>198</v>
      </c>
      <c r="F11" s="39" t="s">
        <v>178</v>
      </c>
      <c r="G11" s="40" t="n">
        <v>28894</v>
      </c>
      <c r="H11" s="40" t="n">
        <v>42829</v>
      </c>
      <c r="I11" s="40"/>
      <c r="J11" s="41" t="n">
        <f aca="false">IF(OR($B11="",$H11=""),"",IF($H11&gt;DateRef,0,YEARFRAC($H11,DateRef,1)))</f>
        <v>9.47152245345017</v>
      </c>
      <c r="K11" s="42" t="str">
        <f aca="false">IF(OR($B11="",$H11=""),"",IF(EDATE($H11,12)&lt;=DateRef,"Plus d'un an","Moins d'un an"))</f>
        <v>Plus d'un an</v>
      </c>
      <c r="L11" s="40" t="n">
        <v>45577</v>
      </c>
      <c r="M11" s="43" t="str">
        <f aca="false">IF(OR($B11="",$A11=""),"",IF(SUMPRODUCT(MAX((Journal!$A$6:$A$1005=$A11)*Journal!$C$6:$C$1005))=0,"",SUMPRODUCT(MAX((Journal!$A$6:$A$1005=$A11)*Journal!$C$6:$C$1005))))</f>
        <v/>
      </c>
      <c r="N11" s="43" t="n">
        <f aca="false">IF($B11="","",IF(MAX($L11,$M11)=0,"",MAX($L11,$M11)))</f>
        <v>45577</v>
      </c>
      <c r="O11" s="44" t="str">
        <f aca="false">IF(OR($B11="",$H11=""),"",IF($N11="",IF(EDATE($H11,DelaiPremierEPP)&gt;DateRef,"1er EPP (1re année)","Aucun entretien renseigné"),IF(AND(ReglesTransitoires="Oui",EDATE($N11,AnciennePeriodiciteEP*12)&lt;DateVigueur),"Retard antérieur à la réforme","Périodicité "&amp;PeriodiciteEPP&amp;" ans")))</f>
        <v>Périodicité 4 ans</v>
      </c>
      <c r="P11" s="43" t="n">
        <f aca="false">IF(OR($B11="",$H11=""),"",IF($N11="",EDATE($H11,DelaiPremierEPP),IF(AND(ReglesTransitoires="Oui",EDATE($N11,AnciennePeriodiciteEP*12)&lt;DateVigueur),EDATE($N11,AnciennePeriodiciteEP*12),EDATE($N11,PeriodiciteEPP*12))))</f>
        <v>47038</v>
      </c>
      <c r="Q11" s="40"/>
      <c r="R11" s="45" t="n">
        <f aca="false">IF(OR($P11="",AND($I11&lt;&gt;"",$I11&lt;=DateRef)),"",$P11-DateRef)</f>
        <v>750</v>
      </c>
      <c r="S11" s="42" t="str">
        <f aca="false">IF($B11="","",IF(AND($I11&lt;&gt;"",$I11&lt;=DateRef),"Sorti",IF($H11="","À compléter",IF(AND($Q11&lt;&gt;"",$Q11&gt;=DateRef,$Q11&lt;=$P11),"Planifié",IF($R11&lt;0,"En retard",IF($R11&lt;=SeuilAlerteEPP,"À planifier","À jour"))))))</f>
        <v>À jour</v>
      </c>
      <c r="T11" s="46" t="str">
        <f aca="false">IF(OR($B11="",$S11="Sorti"),"",MID(IF($H11=""," | Date d'embauche manquante","")&amp;IF(AND($K11="Plus d'un an",$N11="")," | Précédent entretien à renseigner (ancienneté &gt; 1 an)","")&amp;IF($O11="Retard antérieur à la réforme"," | Ancien délai de 2 ans expiré avant la réforme","")&amp;IF(AND($N11&lt;&gt;"",$H11&lt;&gt;"",$N11&lt;$H11)," | Entretien antérieur à l'embauche ?","")&amp;IF(AND($N11&lt;&gt;"",$N11&gt;DateRef)," | Entretien daté dans le futur ?","")&amp;IF(AND($Q11&lt;&gt;"",$P11&lt;&gt;"",$Q11&gt;$P11)," | Date prévue après l'échéance","")&amp;IF(AND($Q11&lt;&gt;"",$Q11&lt;DateRef,OR($N11="",$N11&lt;$Q11))," | Entretien prévu passé : le consigner au Journal","")&amp;IF(AND($G11&lt;&gt;"",$X11="",YEAR(DateRef)-YEAR($G11)&gt;=AgeMiCarriere-1,YEAR(DateRef)-YEAR($G11)&lt;=AgeMiCarriere+1)," | Visite de mi-carrière à vérifier",""),4,1000))</f>
        <v/>
      </c>
      <c r="U11" s="39"/>
      <c r="V11" s="40"/>
      <c r="W11" s="42" t="str">
        <f aca="false">IF(OR($B11="",$V11=""),"",IF(AND($I11&lt;&gt;"",$I11&lt;=DateRef),"",IF(AND($N11&lt;&gt;"",$N11&gt;=$V11),"Réalisé",IF(AND($N11&lt;&gt;"",$N11&gt;=EDATE($V11,-FenetreRetour)),"Dispensé (EPP récent)",IF($V11&gt;DateRef,"À prévoir à la reprise","À proposer (reprise passée)")))))</f>
        <v/>
      </c>
      <c r="X11" s="40"/>
      <c r="Y11" s="43" t="str">
        <f aca="false">IF(OR($B11="",$X11=""),"",EDATE($X11,DelaiMiCarriere))</f>
        <v/>
      </c>
      <c r="Z11" s="42" t="str">
        <f aca="false">IF(OR($B11="",$X11=""),"",IF(AND($I11&lt;&gt;"",$I11&lt;=DateRef),"",IF(AND($N11&lt;&gt;"",$N11&gt;=$X11),"Réalisé",IF($Y11&lt;DateRef,"En retard","À planifier"))))</f>
        <v/>
      </c>
      <c r="AA11" s="47" t="n">
        <f aca="false">IF(OR($B11="",$G11=""),"",IF($G11&gt;DateRef,"",DATEDIF($G11,DateRef,"y")))</f>
        <v>47</v>
      </c>
      <c r="AB11" s="43" t="n">
        <f aca="false">IF(OR($B11="",$G11=""),"",EDATE($G11,AgeFinCarriere*12))</f>
        <v>50809</v>
      </c>
      <c r="AC11" s="42" t="str">
        <f aca="false">IF(OR($B11="",$G11="",$H11=""),"",IF(AND($I11&lt;&gt;"",$I11&lt;=DateRef),"",IF($AB11&lt;DateVigueur,"Non concerné",IF(AND($N11&lt;&gt;"",$N11&gt;=MAX(EDATE($AB11,-FenetreFinCarriere*12),DateVigueur),$N11&lt;=$AB11),"Réalisé",IF(DateRef&gt;$AB11,"Non réalisé",IF(AND($Q11&lt;&gt;"",$Q11&gt;=EDATE($AB11,-FenetreFinCarriere*12),$Q11&lt;=$AB11),"Planifié dans la fenêtre",IF(AND(MAX($P11,DateRef)&gt;=EDATE($AB11,-FenetreFinCarriere*12),MAX($P11,DateRef)&lt;=$AB11),"Prochain EPP dans la fenêtre",IF(MAX($P11,DateRef)&gt;$AB11,"À programmer avant 60 ans",""))))))))</f>
        <v/>
      </c>
      <c r="AD11" s="40"/>
      <c r="AE11" s="43" t="n">
        <f aca="false">IF(OR($B11="",$H11="",AND($I11&lt;&gt;"",$I11&lt;=DateRef)),"",MAX($H11,$AD11,IF($A11="",0,SUMPRODUCT(MAX((Journal!$A$6:$A$1005=$A11)*((Journal!$D$6:$D$1005=TypeEDL)+(Journal!$D$6:$D$1005=TypeBilan6))*Journal!$C$6:$C$1005)))))</f>
        <v>42829</v>
      </c>
      <c r="AF11" s="43" t="n">
        <f aca="false">IF($AE11="","",IF(AND(ReglesTransitoires="Oui",EDATE($AE11,AnciennePeriodiciteEDL*12)&lt;DateVigueur),EDATE($AE11,AnciennePeriodiciteEDL*12),EDATE($AE11,PeriodiciteEDL*12)))</f>
        <v>45020</v>
      </c>
      <c r="AG11" s="42" t="str">
        <f aca="false">IF($AF11="","",IF(AND($I11&lt;&gt;"",$I11&lt;=DateRef),"",IF($AF11&lt;DateRef,"En retard",IF($AF11-DateRef&lt;=SeuilAlerteEDL,"À prévoir","À jour"))))</f>
        <v>En retard</v>
      </c>
      <c r="AH11" s="39" t="s">
        <v>199</v>
      </c>
      <c r="AI11" s="39" t="s">
        <v>199</v>
      </c>
      <c r="AJ11" s="42" t="str">
        <f aca="false">IF(OR($B11="",$H11=""),"",IF(AND($I11&lt;&gt;"",$I11&lt;=DateRef),"",IF(Effectif&lt;SeuilEffectif,"Non concerné (&lt; "&amp;SeuilEffectif&amp;" salariés)",IF($AH11="Oui","Pas de risque",IF(AND(OR($AI11="Non",$S11="En retard"),$AH11="Non"),"Risque abondement",IF(OR($AI11="Non",$S11="En retard"),"À vérifier (formation ?)",IF($AI11="Oui","Pas de risque","À compléter")))))))</f>
        <v>Risque abondement</v>
      </c>
      <c r="AK11" s="39" t="s">
        <v>200</v>
      </c>
    </row>
    <row r="12" customFormat="false" ht="15" hidden="false" customHeight="false" outlineLevel="0" collapsed="false">
      <c r="A12" s="39" t="s">
        <v>201</v>
      </c>
      <c r="B12" s="39" t="s">
        <v>202</v>
      </c>
      <c r="C12" s="39" t="s">
        <v>203</v>
      </c>
      <c r="D12" s="39" t="s">
        <v>161</v>
      </c>
      <c r="E12" s="39" t="s">
        <v>204</v>
      </c>
      <c r="F12" s="39" t="s">
        <v>163</v>
      </c>
      <c r="G12" s="40" t="n">
        <v>33772</v>
      </c>
      <c r="H12" s="40" t="n">
        <v>45964</v>
      </c>
      <c r="I12" s="40"/>
      <c r="J12" s="41" t="n">
        <f aca="false">IF(OR($B12="",$H12=""),"",IF($H12&gt;DateRef,0,YEARFRAC($H12,DateRef,1)))</f>
        <v>0.887671232876712</v>
      </c>
      <c r="K12" s="42" t="str">
        <f aca="false">IF(OR($B12="",$H12=""),"",IF(EDATE($H12,12)&lt;=DateRef,"Plus d'un an","Moins d'un an"))</f>
        <v>Moins d'un an</v>
      </c>
      <c r="L12" s="40"/>
      <c r="M12" s="43" t="str">
        <f aca="false">IF(OR($B12="",$A12=""),"",IF(SUMPRODUCT(MAX((Journal!$A$6:$A$1005=$A12)*Journal!$C$6:$C$1005))=0,"",SUMPRODUCT(MAX((Journal!$A$6:$A$1005=$A12)*Journal!$C$6:$C$1005))))</f>
        <v/>
      </c>
      <c r="N12" s="43" t="str">
        <f aca="false">IF($B12="","",IF(MAX($L12,$M12)=0,"",MAX($L12,$M12)))</f>
        <v/>
      </c>
      <c r="O12" s="44" t="str">
        <f aca="false">IF(OR($B12="",$H12=""),"",IF($N12="",IF(EDATE($H12,DelaiPremierEPP)&gt;DateRef,"1er EPP (1re année)","Aucun entretien renseigné"),IF(AND(ReglesTransitoires="Oui",EDATE($N12,AnciennePeriodiciteEP*12)&lt;DateVigueur),"Retard antérieur à la réforme","Périodicité "&amp;PeriodiciteEPP&amp;" ans")))</f>
        <v>1er EPP (1re année)</v>
      </c>
      <c r="P12" s="43" t="n">
        <f aca="false">IF(OR($B12="",$H12=""),"",IF($N12="",EDATE($H12,DelaiPremierEPP),IF(AND(ReglesTransitoires="Oui",EDATE($N12,AnciennePeriodiciteEP*12)&lt;DateVigueur),EDATE($N12,AnciennePeriodiciteEP*12),EDATE($N12,PeriodiciteEPP*12))))</f>
        <v>46329</v>
      </c>
      <c r="Q12" s="40" t="n">
        <v>46310</v>
      </c>
      <c r="R12" s="45" t="n">
        <f aca="false">IF(OR($P12="",AND($I12&lt;&gt;"",$I12&lt;=DateRef)),"",$P12-DateRef)</f>
        <v>41</v>
      </c>
      <c r="S12" s="42" t="str">
        <f aca="false">IF($B12="","",IF(AND($I12&lt;&gt;"",$I12&lt;=DateRef),"Sorti",IF($H12="","À compléter",IF(AND($Q12&lt;&gt;"",$Q12&gt;=DateRef,$Q12&lt;=$P12),"Planifié",IF($R12&lt;0,"En retard",IF($R12&lt;=SeuilAlerteEPP,"À planifier","À jour"))))))</f>
        <v>Planifié</v>
      </c>
      <c r="T12" s="46" t="str">
        <f aca="false">IF(OR($B12="",$S12="Sorti"),"",MID(IF($H12=""," | Date d'embauche manquante","")&amp;IF(AND($K12="Plus d'un an",$N12="")," | Précédent entretien à renseigner (ancienneté &gt; 1 an)","")&amp;IF($O12="Retard antérieur à la réforme"," | Ancien délai de 2 ans expiré avant la réforme","")&amp;IF(AND($N12&lt;&gt;"",$H12&lt;&gt;"",$N12&lt;$H12)," | Entretien antérieur à l'embauche ?","")&amp;IF(AND($N12&lt;&gt;"",$N12&gt;DateRef)," | Entretien daté dans le futur ?","")&amp;IF(AND($Q12&lt;&gt;"",$P12&lt;&gt;"",$Q12&gt;$P12)," | Date prévue après l'échéance","")&amp;IF(AND($Q12&lt;&gt;"",$Q12&lt;DateRef,OR($N12="",$N12&lt;$Q12))," | Entretien prévu passé : le consigner au Journal","")&amp;IF(AND($G12&lt;&gt;"",$X12="",YEAR(DateRef)-YEAR($G12)&gt;=AgeMiCarriere-1,YEAR(DateRef)-YEAR($G12)&lt;=AgeMiCarriere+1)," | Visite de mi-carrière à vérifier",""),4,1000))</f>
        <v/>
      </c>
      <c r="U12" s="39"/>
      <c r="V12" s="40"/>
      <c r="W12" s="42" t="str">
        <f aca="false">IF(OR($B12="",$V12=""),"",IF(AND($I12&lt;&gt;"",$I12&lt;=DateRef),"",IF(AND($N12&lt;&gt;"",$N12&gt;=$V12),"Réalisé",IF(AND($N12&lt;&gt;"",$N12&gt;=EDATE($V12,-FenetreRetour)),"Dispensé (EPP récent)",IF($V12&gt;DateRef,"À prévoir à la reprise","À proposer (reprise passée)")))))</f>
        <v/>
      </c>
      <c r="X12" s="40"/>
      <c r="Y12" s="43" t="str">
        <f aca="false">IF(OR($B12="",$X12=""),"",EDATE($X12,DelaiMiCarriere))</f>
        <v/>
      </c>
      <c r="Z12" s="42" t="str">
        <f aca="false">IF(OR($B12="",$X12=""),"",IF(AND($I12&lt;&gt;"",$I12&lt;=DateRef),"",IF(AND($N12&lt;&gt;"",$N12&gt;=$X12),"Réalisé",IF($Y12&lt;DateRef,"En retard","À planifier"))))</f>
        <v/>
      </c>
      <c r="AA12" s="47" t="n">
        <f aca="false">IF(OR($B12="",$G12=""),"",IF($G12&gt;DateRef,"",DATEDIF($G12,DateRef,"y")))</f>
        <v>34</v>
      </c>
      <c r="AB12" s="43" t="n">
        <f aca="false">IF(OR($B12="",$G12=""),"",EDATE($G12,AgeFinCarriere*12))</f>
        <v>55687</v>
      </c>
      <c r="AC12" s="42" t="str">
        <f aca="false">IF(OR($B12="",$G12="",$H12=""),"",IF(AND($I12&lt;&gt;"",$I12&lt;=DateRef),"",IF($AB12&lt;DateVigueur,"Non concerné",IF(AND($N12&lt;&gt;"",$N12&gt;=MAX(EDATE($AB12,-FenetreFinCarriere*12),DateVigueur),$N12&lt;=$AB12),"Réalisé",IF(DateRef&gt;$AB12,"Non réalisé",IF(AND($Q12&lt;&gt;"",$Q12&gt;=EDATE($AB12,-FenetreFinCarriere*12),$Q12&lt;=$AB12),"Planifié dans la fenêtre",IF(AND(MAX($P12,DateRef)&gt;=EDATE($AB12,-FenetreFinCarriere*12),MAX($P12,DateRef)&lt;=$AB12),"Prochain EPP dans la fenêtre",IF(MAX($P12,DateRef)&gt;$AB12,"À programmer avant 60 ans",""))))))))</f>
        <v/>
      </c>
      <c r="AD12" s="40"/>
      <c r="AE12" s="43" t="n">
        <f aca="false">IF(OR($B12="",$H12="",AND($I12&lt;&gt;"",$I12&lt;=DateRef)),"",MAX($H12,$AD12,IF($A12="",0,SUMPRODUCT(MAX((Journal!$A$6:$A$1005=$A12)*((Journal!$D$6:$D$1005=TypeEDL)+(Journal!$D$6:$D$1005=TypeBilan6))*Journal!$C$6:$C$1005)))))</f>
        <v>45964</v>
      </c>
      <c r="AF12" s="43" t="n">
        <f aca="false">IF($AE12="","",IF(AND(ReglesTransitoires="Oui",EDATE($AE12,AnciennePeriodiciteEDL*12)&lt;DateVigueur),EDATE($AE12,AnciennePeriodiciteEDL*12),EDATE($AE12,PeriodiciteEDL*12)))</f>
        <v>48886</v>
      </c>
      <c r="AG12" s="42" t="str">
        <f aca="false">IF($AF12="","",IF(AND($I12&lt;&gt;"",$I12&lt;=DateRef),"",IF($AF12&lt;DateRef,"En retard",IF($AF12-DateRef&lt;=SeuilAlerteEDL,"À prévoir","À jour"))))</f>
        <v>À jour</v>
      </c>
      <c r="AH12" s="39"/>
      <c r="AI12" s="39"/>
      <c r="AJ12" s="42" t="str">
        <f aca="false">IF(OR($B12="",$H12=""),"",IF(AND($I12&lt;&gt;"",$I12&lt;=DateRef),"",IF(Effectif&lt;SeuilEffectif,"Non concerné (&lt; "&amp;SeuilEffectif&amp;" salariés)",IF($AH12="Oui","Pas de risque",IF(AND(OR($AI12="Non",$S12="En retard"),$AH12="Non"),"Risque abondement",IF(OR($AI12="Non",$S12="En retard"),"À vérifier (formation ?)",IF($AI12="Oui","Pas de risque","À compléter")))))))</f>
        <v>À compléter</v>
      </c>
      <c r="AK12" s="39" t="s">
        <v>205</v>
      </c>
    </row>
    <row r="13" customFormat="false" ht="15" hidden="false" customHeight="false" outlineLevel="0" collapsed="false">
      <c r="A13" s="39" t="s">
        <v>206</v>
      </c>
      <c r="B13" s="39" t="s">
        <v>207</v>
      </c>
      <c r="C13" s="39" t="s">
        <v>208</v>
      </c>
      <c r="D13" s="39" t="s">
        <v>168</v>
      </c>
      <c r="E13" s="39" t="s">
        <v>209</v>
      </c>
      <c r="F13" s="39" t="s">
        <v>170</v>
      </c>
      <c r="G13" s="40" t="n">
        <v>31050</v>
      </c>
      <c r="H13" s="40" t="n">
        <v>42633</v>
      </c>
      <c r="I13" s="40"/>
      <c r="J13" s="41" t="n">
        <f aca="false">IF(OR($B13="",$H13=""),"",IF($H13&gt;DateRef,0,YEARFRAC($H13,DateRef,1)))</f>
        <v>10.0062220009955</v>
      </c>
      <c r="K13" s="42" t="str">
        <f aca="false">IF(OR($B13="",$H13=""),"",IF(EDATE($H13,12)&lt;=DateRef,"Plus d'un an","Moins d'un an"))</f>
        <v>Plus d'un an</v>
      </c>
      <c r="L13" s="40" t="n">
        <v>45204</v>
      </c>
      <c r="M13" s="43" t="n">
        <f aca="false">IF(OR($B13="",$A13=""),"",IF(SUMPRODUCT(MAX((Journal!$A$6:$A$1005=$A13)*Journal!$C$6:$C$1005))=0,"",SUMPRODUCT(MAX((Journal!$A$6:$A$1005=$A13)*Journal!$C$6:$C$1005))))</f>
        <v>45979</v>
      </c>
      <c r="N13" s="43" t="n">
        <f aca="false">IF($B13="","",IF(MAX($L13,$M13)=0,"",MAX($L13,$M13)))</f>
        <v>45979</v>
      </c>
      <c r="O13" s="44" t="str">
        <f aca="false">IF(OR($B13="",$H13=""),"",IF($N13="",IF(EDATE($H13,DelaiPremierEPP)&gt;DateRef,"1er EPP (1re année)","Aucun entretien renseigné"),IF(AND(ReglesTransitoires="Oui",EDATE($N13,AnciennePeriodiciteEP*12)&lt;DateVigueur),"Retard antérieur à la réforme","Périodicité "&amp;PeriodiciteEPP&amp;" ans")))</f>
        <v>Périodicité 4 ans</v>
      </c>
      <c r="P13" s="43" t="n">
        <f aca="false">IF(OR($B13="",$H13=""),"",IF($N13="",EDATE($H13,DelaiPremierEPP),IF(AND(ReglesTransitoires="Oui",EDATE($N13,AnciennePeriodiciteEP*12)&lt;DateVigueur),EDATE($N13,AnciennePeriodiciteEP*12),EDATE($N13,PeriodiciteEPP*12))))</f>
        <v>47440</v>
      </c>
      <c r="Q13" s="40"/>
      <c r="R13" s="45" t="n">
        <f aca="false">IF(OR($P13="",AND($I13&lt;&gt;"",$I13&lt;=DateRef)),"",$P13-DateRef)</f>
        <v>1152</v>
      </c>
      <c r="S13" s="42" t="str">
        <f aca="false">IF($B13="","",IF(AND($I13&lt;&gt;"",$I13&lt;=DateRef),"Sorti",IF($H13="","À compléter",IF(AND($Q13&lt;&gt;"",$Q13&gt;=DateRef,$Q13&lt;=$P13),"Planifié",IF($R13&lt;0,"En retard",IF($R13&lt;=SeuilAlerteEPP,"À planifier","À jour"))))))</f>
        <v>À jour</v>
      </c>
      <c r="T13" s="46" t="str">
        <f aca="false">IF(OR($B13="",$S13="Sorti"),"",MID(IF($H13=""," | Date d'embauche manquante","")&amp;IF(AND($K13="Plus d'un an",$N13="")," | Précédent entretien à renseigner (ancienneté &gt; 1 an)","")&amp;IF($O13="Retard antérieur à la réforme"," | Ancien délai de 2 ans expiré avant la réforme","")&amp;IF(AND($N13&lt;&gt;"",$H13&lt;&gt;"",$N13&lt;$H13)," | Entretien antérieur à l'embauche ?","")&amp;IF(AND($N13&lt;&gt;"",$N13&gt;DateRef)," | Entretien daté dans le futur ?","")&amp;IF(AND($Q13&lt;&gt;"",$P13&lt;&gt;"",$Q13&gt;$P13)," | Date prévue après l'échéance","")&amp;IF(AND($Q13&lt;&gt;"",$Q13&lt;DateRef,OR($N13="",$N13&lt;$Q13))," | Entretien prévu passé : le consigner au Journal","")&amp;IF(AND($G13&lt;&gt;"",$X13="",YEAR(DateRef)-YEAR($G13)&gt;=AgeMiCarriere-1,YEAR(DateRef)-YEAR($G13)&lt;=AgeMiCarriere+1)," | Visite de mi-carrière à vérifier",""),4,1000))</f>
        <v/>
      </c>
      <c r="U13" s="39" t="s">
        <v>210</v>
      </c>
      <c r="V13" s="40" t="n">
        <v>46083</v>
      </c>
      <c r="W13" s="42" t="str">
        <f aca="false">IF(OR($B13="",$V13=""),"",IF(AND($I13&lt;&gt;"",$I13&lt;=DateRef),"",IF(AND($N13&lt;&gt;"",$N13&gt;=$V13),"Réalisé",IF(AND($N13&lt;&gt;"",$N13&gt;=EDATE($V13,-FenetreRetour)),"Dispensé (EPP récent)",IF($V13&gt;DateRef,"À prévoir à la reprise","À proposer (reprise passée)")))))</f>
        <v>Dispensé (EPP récent)</v>
      </c>
      <c r="X13" s="40"/>
      <c r="Y13" s="43" t="str">
        <f aca="false">IF(OR($B13="",$X13=""),"",EDATE($X13,DelaiMiCarriere))</f>
        <v/>
      </c>
      <c r="Z13" s="42" t="str">
        <f aca="false">IF(OR($B13="",$X13=""),"",IF(AND($I13&lt;&gt;"",$I13&lt;=DateRef),"",IF(AND($N13&lt;&gt;"",$N13&gt;=$X13),"Réalisé",IF($Y13&lt;DateRef,"En retard","À planifier"))))</f>
        <v/>
      </c>
      <c r="AA13" s="47" t="n">
        <f aca="false">IF(OR($B13="",$G13=""),"",IF($G13&gt;DateRef,"",DATEDIF($G13,DateRef,"y")))</f>
        <v>41</v>
      </c>
      <c r="AB13" s="43" t="n">
        <f aca="false">IF(OR($B13="",$G13=""),"",EDATE($G13,AgeFinCarriere*12))</f>
        <v>52965</v>
      </c>
      <c r="AC13" s="42" t="str">
        <f aca="false">IF(OR($B13="",$G13="",$H13=""),"",IF(AND($I13&lt;&gt;"",$I13&lt;=DateRef),"",IF($AB13&lt;DateVigueur,"Non concerné",IF(AND($N13&lt;&gt;"",$N13&gt;=MAX(EDATE($AB13,-FenetreFinCarriere*12),DateVigueur),$N13&lt;=$AB13),"Réalisé",IF(DateRef&gt;$AB13,"Non réalisé",IF(AND($Q13&lt;&gt;"",$Q13&gt;=EDATE($AB13,-FenetreFinCarriere*12),$Q13&lt;=$AB13),"Planifié dans la fenêtre",IF(AND(MAX($P13,DateRef)&gt;=EDATE($AB13,-FenetreFinCarriere*12),MAX($P13,DateRef)&lt;=$AB13),"Prochain EPP dans la fenêtre",IF(MAX($P13,DateRef)&gt;$AB13,"À programmer avant 60 ans",""))))))))</f>
        <v/>
      </c>
      <c r="AD13" s="40"/>
      <c r="AE13" s="43" t="n">
        <f aca="false">IF(OR($B13="",$H13="",AND($I13&lt;&gt;"",$I13&lt;=DateRef)),"",MAX($H13,$AD13,IF($A13="",0,SUMPRODUCT(MAX((Journal!$A$6:$A$1005=$A13)*((Journal!$D$6:$D$1005=TypeEDL)+(Journal!$D$6:$D$1005=TypeBilan6))*Journal!$C$6:$C$1005)))))</f>
        <v>44819</v>
      </c>
      <c r="AF13" s="43" t="n">
        <f aca="false">IF($AE13="","",IF(AND(ReglesTransitoires="Oui",EDATE($AE13,AnciennePeriodiciteEDL*12)&lt;DateVigueur),EDATE($AE13,AnciennePeriodiciteEDL*12),EDATE($AE13,PeriodiciteEDL*12)))</f>
        <v>47741</v>
      </c>
      <c r="AG13" s="42" t="str">
        <f aca="false">IF($AF13="","",IF(AND($I13&lt;&gt;"",$I13&lt;=DateRef),"",IF($AF13&lt;DateRef,"En retard",IF($AF13-DateRef&lt;=SeuilAlerteEDL,"À prévoir","À jour"))))</f>
        <v>À jour</v>
      </c>
      <c r="AH13" s="39" t="s">
        <v>171</v>
      </c>
      <c r="AI13" s="39" t="s">
        <v>171</v>
      </c>
      <c r="AJ13" s="42" t="str">
        <f aca="false">IF(OR($B13="",$H13=""),"",IF(AND($I13&lt;&gt;"",$I13&lt;=DateRef),"",IF(Effectif&lt;SeuilEffectif,"Non concerné (&lt; "&amp;SeuilEffectif&amp;" salariés)",IF($AH13="Oui","Pas de risque",IF(AND(OR($AI13="Non",$S13="En retard"),$AH13="Non"),"Risque abondement",IF(OR($AI13="Non",$S13="En retard"),"À vérifier (formation ?)",IF($AI13="Oui","Pas de risque","À compléter")))))))</f>
        <v>Pas de risque</v>
      </c>
      <c r="AK13" s="39" t="s">
        <v>211</v>
      </c>
    </row>
    <row r="14" customFormat="false" ht="15" hidden="false" customHeight="false" outlineLevel="0" collapsed="false">
      <c r="A14" s="39" t="s">
        <v>212</v>
      </c>
      <c r="B14" s="39" t="s">
        <v>213</v>
      </c>
      <c r="C14" s="39" t="s">
        <v>214</v>
      </c>
      <c r="D14" s="39" t="s">
        <v>215</v>
      </c>
      <c r="E14" s="39" t="s">
        <v>216</v>
      </c>
      <c r="F14" s="39" t="s">
        <v>217</v>
      </c>
      <c r="G14" s="40" t="n">
        <v>25927</v>
      </c>
      <c r="H14" s="40" t="n">
        <v>40940</v>
      </c>
      <c r="I14" s="40" t="n">
        <v>46234</v>
      </c>
      <c r="J14" s="41" t="n">
        <f aca="false">IF(OR($B14="",$H14=""),"",IF($H14&gt;DateRef,0,YEARFRAC($H14,DateRef,1)))</f>
        <v>14.6413579120277</v>
      </c>
      <c r="K14" s="42" t="str">
        <f aca="false">IF(OR($B14="",$H14=""),"",IF(EDATE($H14,12)&lt;=DateRef,"Plus d'un an","Moins d'un an"))</f>
        <v>Plus d'un an</v>
      </c>
      <c r="L14" s="40" t="n">
        <v>45336</v>
      </c>
      <c r="M14" s="43" t="str">
        <f aca="false">IF(OR($B14="",$A14=""),"",IF(SUMPRODUCT(MAX((Journal!$A$6:$A$1005=$A14)*Journal!$C$6:$C$1005))=0,"",SUMPRODUCT(MAX((Journal!$A$6:$A$1005=$A14)*Journal!$C$6:$C$1005))))</f>
        <v/>
      </c>
      <c r="N14" s="43" t="n">
        <f aca="false">IF($B14="","",IF(MAX($L14,$M14)=0,"",MAX($L14,$M14)))</f>
        <v>45336</v>
      </c>
      <c r="O14" s="44" t="str">
        <f aca="false">IF(OR($B14="",$H14=""),"",IF($N14="",IF(EDATE($H14,DelaiPremierEPP)&gt;DateRef,"1er EPP (1re année)","Aucun entretien renseigné"),IF(AND(ReglesTransitoires="Oui",EDATE($N14,AnciennePeriodiciteEP*12)&lt;DateVigueur),"Retard antérieur à la réforme","Périodicité "&amp;PeriodiciteEPP&amp;" ans")))</f>
        <v>Périodicité 4 ans</v>
      </c>
      <c r="P14" s="43" t="n">
        <f aca="false">IF(OR($B14="",$H14=""),"",IF($N14="",EDATE($H14,DelaiPremierEPP),IF(AND(ReglesTransitoires="Oui",EDATE($N14,AnciennePeriodiciteEP*12)&lt;DateVigueur),EDATE($N14,AnciennePeriodiciteEP*12),EDATE($N14,PeriodiciteEPP*12))))</f>
        <v>46797</v>
      </c>
      <c r="Q14" s="40"/>
      <c r="R14" s="45" t="str">
        <f aca="false">IF(OR($P14="",AND($I14&lt;&gt;"",$I14&lt;=DateRef)),"",$P14-DateRef)</f>
        <v/>
      </c>
      <c r="S14" s="42" t="str">
        <f aca="false">IF($B14="","",IF(AND($I14&lt;&gt;"",$I14&lt;=DateRef),"Sorti",IF($H14="","À compléter",IF(AND($Q14&lt;&gt;"",$Q14&gt;=DateRef,$Q14&lt;=$P14),"Planifié",IF($R14&lt;0,"En retard",IF($R14&lt;=SeuilAlerteEPP,"À planifier","À jour"))))))</f>
        <v>Sorti</v>
      </c>
      <c r="T14" s="46" t="str">
        <f aca="false">IF(OR($B14="",$S14="Sorti"),"",MID(IF($H14=""," | Date d'embauche manquante","")&amp;IF(AND($K14="Plus d'un an",$N14="")," | Précédent entretien à renseigner (ancienneté &gt; 1 an)","")&amp;IF($O14="Retard antérieur à la réforme"," | Ancien délai de 2 ans expiré avant la réforme","")&amp;IF(AND($N14&lt;&gt;"",$H14&lt;&gt;"",$N14&lt;$H14)," | Entretien antérieur à l'embauche ?","")&amp;IF(AND($N14&lt;&gt;"",$N14&gt;DateRef)," | Entretien daté dans le futur ?","")&amp;IF(AND($Q14&lt;&gt;"",$P14&lt;&gt;"",$Q14&gt;$P14)," | Date prévue après l'échéance","")&amp;IF(AND($Q14&lt;&gt;"",$Q14&lt;DateRef,OR($N14="",$N14&lt;$Q14))," | Entretien prévu passé : le consigner au Journal","")&amp;IF(AND($G14&lt;&gt;"",$X14="",YEAR(DateRef)-YEAR($G14)&gt;=AgeMiCarriere-1,YEAR(DateRef)-YEAR($G14)&lt;=AgeMiCarriere+1)," | Visite de mi-carrière à vérifier",""),4,1000))</f>
        <v/>
      </c>
      <c r="U14" s="39"/>
      <c r="V14" s="40"/>
      <c r="W14" s="42" t="str">
        <f aca="false">IF(OR($B14="",$V14=""),"",IF(AND($I14&lt;&gt;"",$I14&lt;=DateRef),"",IF(AND($N14&lt;&gt;"",$N14&gt;=$V14),"Réalisé",IF(AND($N14&lt;&gt;"",$N14&gt;=EDATE($V14,-FenetreRetour)),"Dispensé (EPP récent)",IF($V14&gt;DateRef,"À prévoir à la reprise","À proposer (reprise passée)")))))</f>
        <v/>
      </c>
      <c r="X14" s="40"/>
      <c r="Y14" s="43" t="str">
        <f aca="false">IF(OR($B14="",$X14=""),"",EDATE($X14,DelaiMiCarriere))</f>
        <v/>
      </c>
      <c r="Z14" s="42" t="str">
        <f aca="false">IF(OR($B14="",$X14=""),"",IF(AND($I14&lt;&gt;"",$I14&lt;=DateRef),"",IF(AND($N14&lt;&gt;"",$N14&gt;=$X14),"Réalisé",IF($Y14&lt;DateRef,"En retard","À planifier"))))</f>
        <v/>
      </c>
      <c r="AA14" s="47" t="n">
        <f aca="false">IF(OR($B14="",$G14=""),"",IF($G14&gt;DateRef,"",DATEDIF($G14,DateRef,"y")))</f>
        <v>55</v>
      </c>
      <c r="AB14" s="43" t="n">
        <f aca="false">IF(OR($B14="",$G14=""),"",EDATE($G14,AgeFinCarriere*12))</f>
        <v>47842</v>
      </c>
      <c r="AC14" s="42" t="str">
        <f aca="false">IF(OR($B14="",$G14="",$H14=""),"",IF(AND($I14&lt;&gt;"",$I14&lt;=DateRef),"",IF($AB14&lt;DateVigueur,"Non concerné",IF(AND($N14&lt;&gt;"",$N14&gt;=MAX(EDATE($AB14,-FenetreFinCarriere*12),DateVigueur),$N14&lt;=$AB14),"Réalisé",IF(DateRef&gt;$AB14,"Non réalisé",IF(AND($Q14&lt;&gt;"",$Q14&gt;=EDATE($AB14,-FenetreFinCarriere*12),$Q14&lt;=$AB14),"Planifié dans la fenêtre",IF(AND(MAX($P14,DateRef)&gt;=EDATE($AB14,-FenetreFinCarriere*12),MAX($P14,DateRef)&lt;=$AB14),"Prochain EPP dans la fenêtre",IF(MAX($P14,DateRef)&gt;$AB14,"À programmer avant 60 ans",""))))))))</f>
        <v/>
      </c>
      <c r="AD14" s="40"/>
      <c r="AE14" s="43" t="str">
        <f aca="false">IF(OR($B14="",$H14="",AND($I14&lt;&gt;"",$I14&lt;=DateRef)),"",MAX($H14,$AD14,IF($A14="",0,SUMPRODUCT(MAX((Journal!$A$6:$A$1005=$A14)*((Journal!$D$6:$D$1005=TypeEDL)+(Journal!$D$6:$D$1005=TypeBilan6))*Journal!$C$6:$C$1005)))))</f>
        <v/>
      </c>
      <c r="AF14" s="43" t="str">
        <f aca="false">IF($AE14="","",IF(AND(ReglesTransitoires="Oui",EDATE($AE14,AnciennePeriodiciteEDL*12)&lt;DateVigueur),EDATE($AE14,AnciennePeriodiciteEDL*12),EDATE($AE14,PeriodiciteEDL*12)))</f>
        <v/>
      </c>
      <c r="AG14" s="42" t="str">
        <f aca="false">IF($AF14="","",IF(AND($I14&lt;&gt;"",$I14&lt;=DateRef),"",IF($AF14&lt;DateRef,"En retard",IF($AF14-DateRef&lt;=SeuilAlerteEDL,"À prévoir","À jour"))))</f>
        <v/>
      </c>
      <c r="AH14" s="39"/>
      <c r="AI14" s="39"/>
      <c r="AJ14" s="42" t="str">
        <f aca="false">IF(OR($B14="",$H14=""),"",IF(AND($I14&lt;&gt;"",$I14&lt;=DateRef),"",IF(Effectif&lt;SeuilEffectif,"Non concerné (&lt; "&amp;SeuilEffectif&amp;" salariés)",IF($AH14="Oui","Pas de risque",IF(AND(OR($AI14="Non",$S14="En retard"),$AH14="Non"),"Risque abondement",IF(OR($AI14="Non",$S14="En retard"),"À vérifier (formation ?)",IF($AI14="Oui","Pas de risque","À compléter")))))))</f>
        <v/>
      </c>
      <c r="AK14" s="39" t="s">
        <v>218</v>
      </c>
    </row>
    <row r="15" customFormat="false" ht="15" hidden="false" customHeight="false" outlineLevel="0" collapsed="false">
      <c r="A15" s="39" t="s">
        <v>219</v>
      </c>
      <c r="B15" s="39" t="s">
        <v>220</v>
      </c>
      <c r="C15" s="39" t="s">
        <v>221</v>
      </c>
      <c r="D15" s="39" t="s">
        <v>184</v>
      </c>
      <c r="E15" s="39" t="s">
        <v>222</v>
      </c>
      <c r="F15" s="39" t="s">
        <v>170</v>
      </c>
      <c r="G15" s="40" t="n">
        <v>24391</v>
      </c>
      <c r="H15" s="40" t="n">
        <v>40301</v>
      </c>
      <c r="I15" s="40"/>
      <c r="J15" s="41" t="n">
        <f aca="false">IF(OR($B15="",$H15=""),"",IF($H15&gt;DateRef,0,YEARFRAC($H15,DateRef,1)))</f>
        <v>16.3921726526011</v>
      </c>
      <c r="K15" s="42" t="str">
        <f aca="false">IF(OR($B15="",$H15=""),"",IF(EDATE($H15,12)&lt;=DateRef,"Plus d'un an","Moins d'un an"))</f>
        <v>Plus d'un an</v>
      </c>
      <c r="L15" s="40" t="n">
        <v>45610</v>
      </c>
      <c r="M15" s="43" t="n">
        <f aca="false">IF(OR($B15="",$A15=""),"",IF(SUMPRODUCT(MAX((Journal!$A$6:$A$1005=$A15)*Journal!$C$6:$C$1005))=0,"",SUMPRODUCT(MAX((Journal!$A$6:$A$1005=$A15)*Journal!$C$6:$C$1005))))</f>
        <v>46042</v>
      </c>
      <c r="N15" s="43" t="n">
        <f aca="false">IF($B15="","",IF(MAX($L15,$M15)=0,"",MAX($L15,$M15)))</f>
        <v>46042</v>
      </c>
      <c r="O15" s="44" t="str">
        <f aca="false">IF(OR($B15="",$H15=""),"",IF($N15="",IF(EDATE($H15,DelaiPremierEPP)&gt;DateRef,"1er EPP (1re année)","Aucun entretien renseigné"),IF(AND(ReglesTransitoires="Oui",EDATE($N15,AnciennePeriodiciteEP*12)&lt;DateVigueur),"Retard antérieur à la réforme","Périodicité "&amp;PeriodiciteEPP&amp;" ans")))</f>
        <v>Périodicité 4 ans</v>
      </c>
      <c r="P15" s="43" t="n">
        <f aca="false">IF(OR($B15="",$H15=""),"",IF($N15="",EDATE($H15,DelaiPremierEPP),IF(AND(ReglesTransitoires="Oui",EDATE($N15,AnciennePeriodiciteEP*12)&lt;DateVigueur),EDATE($N15,AnciennePeriodiciteEP*12),EDATE($N15,PeriodiciteEPP*12))))</f>
        <v>47503</v>
      </c>
      <c r="Q15" s="40"/>
      <c r="R15" s="45" t="n">
        <f aca="false">IF(OR($P15="",AND($I15&lt;&gt;"",$I15&lt;=DateRef)),"",$P15-DateRef)</f>
        <v>1215</v>
      </c>
      <c r="S15" s="42" t="str">
        <f aca="false">IF($B15="","",IF(AND($I15&lt;&gt;"",$I15&lt;=DateRef),"Sorti",IF($H15="","À compléter",IF(AND($Q15&lt;&gt;"",$Q15&gt;=DateRef,$Q15&lt;=$P15),"Planifié",IF($R15&lt;0,"En retard",IF($R15&lt;=SeuilAlerteEPP,"À planifier","À jour"))))))</f>
        <v>À jour</v>
      </c>
      <c r="T15" s="46" t="str">
        <f aca="false">IF(OR($B15="",$S15="Sorti"),"",MID(IF($H15=""," | Date d'embauche manquante","")&amp;IF(AND($K15="Plus d'un an",$N15="")," | Précédent entretien à renseigner (ancienneté &gt; 1 an)","")&amp;IF($O15="Retard antérieur à la réforme"," | Ancien délai de 2 ans expiré avant la réforme","")&amp;IF(AND($N15&lt;&gt;"",$H15&lt;&gt;"",$N15&lt;$H15)," | Entretien antérieur à l'embauche ?","")&amp;IF(AND($N15&lt;&gt;"",$N15&gt;DateRef)," | Entretien daté dans le futur ?","")&amp;IF(AND($Q15&lt;&gt;"",$P15&lt;&gt;"",$Q15&gt;$P15)," | Date prévue après l'échéance","")&amp;IF(AND($Q15&lt;&gt;"",$Q15&lt;DateRef,OR($N15="",$N15&lt;$Q15))," | Entretien prévu passé : le consigner au Journal","")&amp;IF(AND($G15&lt;&gt;"",$X15="",YEAR(DateRef)-YEAR($G15)&gt;=AgeMiCarriere-1,YEAR(DateRef)-YEAR($G15)&lt;=AgeMiCarriere+1)," | Visite de mi-carrière à vérifier",""),4,1000))</f>
        <v/>
      </c>
      <c r="U15" s="39"/>
      <c r="V15" s="40"/>
      <c r="W15" s="42" t="str">
        <f aca="false">IF(OR($B15="",$V15=""),"",IF(AND($I15&lt;&gt;"",$I15&lt;=DateRef),"",IF(AND($N15&lt;&gt;"",$N15&gt;=$V15),"Réalisé",IF(AND($N15&lt;&gt;"",$N15&gt;=EDATE($V15,-FenetreRetour)),"Dispensé (EPP récent)",IF($V15&gt;DateRef,"À prévoir à la reprise","À proposer (reprise passée)")))))</f>
        <v/>
      </c>
      <c r="X15" s="40"/>
      <c r="Y15" s="43" t="str">
        <f aca="false">IF(OR($B15="",$X15=""),"",EDATE($X15,DelaiMiCarriere))</f>
        <v/>
      </c>
      <c r="Z15" s="42" t="str">
        <f aca="false">IF(OR($B15="",$X15=""),"",IF(AND($I15&lt;&gt;"",$I15&lt;=DateRef),"",IF(AND($N15&lt;&gt;"",$N15&gt;=$X15),"Réalisé",IF($Y15&lt;DateRef,"En retard","À planifier"))))</f>
        <v/>
      </c>
      <c r="AA15" s="47" t="n">
        <f aca="false">IF(OR($B15="",$G15=""),"",IF($G15&gt;DateRef,"",DATEDIF($G15,DateRef,"y")))</f>
        <v>59</v>
      </c>
      <c r="AB15" s="43" t="n">
        <f aca="false">IF(OR($B15="",$G15=""),"",EDATE($G15,AgeFinCarriere*12))</f>
        <v>46306</v>
      </c>
      <c r="AC15" s="42" t="str">
        <f aca="false">IF(OR($B15="",$G15="",$H15=""),"",IF(AND($I15&lt;&gt;"",$I15&lt;=DateRef),"",IF($AB15&lt;DateVigueur,"Non concerné",IF(AND($N15&lt;&gt;"",$N15&gt;=MAX(EDATE($AB15,-FenetreFinCarriere*12),DateVigueur),$N15&lt;=$AB15),"Réalisé",IF(DateRef&gt;$AB15,"Non réalisé",IF(AND($Q15&lt;&gt;"",$Q15&gt;=EDATE($AB15,-FenetreFinCarriere*12),$Q15&lt;=$AB15),"Planifié dans la fenêtre",IF(AND(MAX($P15,DateRef)&gt;=EDATE($AB15,-FenetreFinCarriere*12),MAX($P15,DateRef)&lt;=$AB15),"Prochain EPP dans la fenêtre",IF(MAX($P15,DateRef)&gt;$AB15,"À programmer avant 60 ans",""))))))))</f>
        <v>Réalisé</v>
      </c>
      <c r="AD15" s="40" t="n">
        <v>44691</v>
      </c>
      <c r="AE15" s="43" t="n">
        <f aca="false">IF(OR($B15="",$H15="",AND($I15&lt;&gt;"",$I15&lt;=DateRef)),"",MAX($H15,$AD15,IF($A15="",0,SUMPRODUCT(MAX((Journal!$A$6:$A$1005=$A15)*((Journal!$D$6:$D$1005=TypeEDL)+(Journal!$D$6:$D$1005=TypeBilan6))*Journal!$C$6:$C$1005)))))</f>
        <v>44691</v>
      </c>
      <c r="AF15" s="43" t="n">
        <f aca="false">IF($AE15="","",IF(AND(ReglesTransitoires="Oui",EDATE($AE15,AnciennePeriodiciteEDL*12)&lt;DateVigueur),EDATE($AE15,AnciennePeriodiciteEDL*12),EDATE($AE15,PeriodiciteEDL*12)))</f>
        <v>47613</v>
      </c>
      <c r="AG15" s="42" t="str">
        <f aca="false">IF($AF15="","",IF(AND($I15&lt;&gt;"",$I15&lt;=DateRef),"",IF($AF15&lt;DateRef,"En retard",IF($AF15-DateRef&lt;=SeuilAlerteEDL,"À prévoir","À jour"))))</f>
        <v>À jour</v>
      </c>
      <c r="AH15" s="39" t="s">
        <v>171</v>
      </c>
      <c r="AI15" s="39" t="s">
        <v>171</v>
      </c>
      <c r="AJ15" s="42" t="str">
        <f aca="false">IF(OR($B15="",$H15=""),"",IF(AND($I15&lt;&gt;"",$I15&lt;=DateRef),"",IF(Effectif&lt;SeuilEffectif,"Non concerné (&lt; "&amp;SeuilEffectif&amp;" salariés)",IF($AH15="Oui","Pas de risque",IF(AND(OR($AI15="Non",$S15="En retard"),$AH15="Non"),"Risque abondement",IF(OR($AI15="Non",$S15="En retard"),"À vérifier (formation ?)",IF($AI15="Oui","Pas de risque","À compléter")))))))</f>
        <v>Pas de risque</v>
      </c>
      <c r="AK15" s="39" t="s">
        <v>223</v>
      </c>
    </row>
    <row r="16" customFormat="false" ht="15" hidden="false" customHeight="false" outlineLevel="0" collapsed="false">
      <c r="A16" s="39" t="s">
        <v>224</v>
      </c>
      <c r="B16" s="39" t="s">
        <v>225</v>
      </c>
      <c r="C16" s="39" t="s">
        <v>226</v>
      </c>
      <c r="D16" s="39" t="s">
        <v>161</v>
      </c>
      <c r="E16" s="39" t="s">
        <v>227</v>
      </c>
      <c r="F16" s="39" t="s">
        <v>163</v>
      </c>
      <c r="G16" s="40" t="n">
        <v>31906</v>
      </c>
      <c r="H16" s="40" t="n">
        <v>43171</v>
      </c>
      <c r="I16" s="40"/>
      <c r="J16" s="41" t="n">
        <f aca="false">IF(OR($B16="",$H16=""),"",IF($H16&gt;DateRef,0,YEARFRAC($H16,DateRef,1)))</f>
        <v>8.53452996653483</v>
      </c>
      <c r="K16" s="42" t="str">
        <f aca="false">IF(OR($B16="",$H16=""),"",IF(EDATE($H16,12)&lt;=DateRef,"Plus d'un an","Moins d'un an"))</f>
        <v>Plus d'un an</v>
      </c>
      <c r="L16" s="40" t="n">
        <v>45385</v>
      </c>
      <c r="M16" s="43" t="str">
        <f aca="false">IF(OR($B16="",$A16=""),"",IF(SUMPRODUCT(MAX((Journal!$A$6:$A$1005=$A16)*Journal!$C$6:$C$1005))=0,"",SUMPRODUCT(MAX((Journal!$A$6:$A$1005=$A16)*Journal!$C$6:$C$1005))))</f>
        <v/>
      </c>
      <c r="N16" s="43" t="n">
        <f aca="false">IF($B16="","",IF(MAX($L16,$M16)=0,"",MAX($L16,$M16)))</f>
        <v>45385</v>
      </c>
      <c r="O16" s="44" t="str">
        <f aca="false">IF(OR($B16="",$H16=""),"",IF($N16="",IF(EDATE($H16,DelaiPremierEPP)&gt;DateRef,"1er EPP (1re année)","Aucun entretien renseigné"),IF(AND(ReglesTransitoires="Oui",EDATE($N16,AnciennePeriodiciteEP*12)&lt;DateVigueur),"Retard antérieur à la réforme","Périodicité "&amp;PeriodiciteEPP&amp;" ans")))</f>
        <v>Périodicité 4 ans</v>
      </c>
      <c r="P16" s="43" t="n">
        <f aca="false">IF(OR($B16="",$H16=""),"",IF($N16="",EDATE($H16,DelaiPremierEPP),IF(AND(ReglesTransitoires="Oui",EDATE($N16,AnciennePeriodiciteEP*12)&lt;DateVigueur),EDATE($N16,AnciennePeriodiciteEP*12),EDATE($N16,PeriodiciteEPP*12))))</f>
        <v>46846</v>
      </c>
      <c r="Q16" s="40"/>
      <c r="R16" s="45" t="n">
        <f aca="false">IF(OR($P16="",AND($I16&lt;&gt;"",$I16&lt;=DateRef)),"",$P16-DateRef)</f>
        <v>558</v>
      </c>
      <c r="S16" s="42" t="str">
        <f aca="false">IF($B16="","",IF(AND($I16&lt;&gt;"",$I16&lt;=DateRef),"Sorti",IF($H16="","À compléter",IF(AND($Q16&lt;&gt;"",$Q16&gt;=DateRef,$Q16&lt;=$P16),"Planifié",IF($R16&lt;0,"En retard",IF($R16&lt;=SeuilAlerteEPP,"À planifier","À jour"))))))</f>
        <v>À jour</v>
      </c>
      <c r="T16" s="46" t="str">
        <f aca="false">IF(OR($B16="",$S16="Sorti"),"",MID(IF($H16=""," | Date d'embauche manquante","")&amp;IF(AND($K16="Plus d'un an",$N16="")," | Précédent entretien à renseigner (ancienneté &gt; 1 an)","")&amp;IF($O16="Retard antérieur à la réforme"," | Ancien délai de 2 ans expiré avant la réforme","")&amp;IF(AND($N16&lt;&gt;"",$H16&lt;&gt;"",$N16&lt;$H16)," | Entretien antérieur à l'embauche ?","")&amp;IF(AND($N16&lt;&gt;"",$N16&gt;DateRef)," | Entretien daté dans le futur ?","")&amp;IF(AND($Q16&lt;&gt;"",$P16&lt;&gt;"",$Q16&gt;$P16)," | Date prévue après l'échéance","")&amp;IF(AND($Q16&lt;&gt;"",$Q16&lt;DateRef,OR($N16="",$N16&lt;$Q16))," | Entretien prévu passé : le consigner au Journal","")&amp;IF(AND($G16&lt;&gt;"",$X16="",YEAR(DateRef)-YEAR($G16)&gt;=AgeMiCarriere-1,YEAR(DateRef)-YEAR($G16)&lt;=AgeMiCarriere+1)," | Visite de mi-carrière à vérifier",""),4,1000))</f>
        <v/>
      </c>
      <c r="U16" s="39" t="s">
        <v>228</v>
      </c>
      <c r="V16" s="40" t="n">
        <v>46266</v>
      </c>
      <c r="W16" s="42" t="str">
        <f aca="false">IF(OR($B16="",$V16=""),"",IF(AND($I16&lt;&gt;"",$I16&lt;=DateRef),"",IF(AND($N16&lt;&gt;"",$N16&gt;=$V16),"Réalisé",IF(AND($N16&lt;&gt;"",$N16&gt;=EDATE($V16,-FenetreRetour)),"Dispensé (EPP récent)",IF($V16&gt;DateRef,"À prévoir à la reprise","À proposer (reprise passée)")))))</f>
        <v>À proposer (reprise passée)</v>
      </c>
      <c r="X16" s="40"/>
      <c r="Y16" s="43" t="str">
        <f aca="false">IF(OR($B16="",$X16=""),"",EDATE($X16,DelaiMiCarriere))</f>
        <v/>
      </c>
      <c r="Z16" s="42" t="str">
        <f aca="false">IF(OR($B16="",$X16=""),"",IF(AND($I16&lt;&gt;"",$I16&lt;=DateRef),"",IF(AND($N16&lt;&gt;"",$N16&gt;=$X16),"Réalisé",IF($Y16&lt;DateRef,"En retard","À planifier"))))</f>
        <v/>
      </c>
      <c r="AA16" s="47" t="n">
        <f aca="false">IF(OR($B16="",$G16=""),"",IF($G16&gt;DateRef,"",DATEDIF($G16,DateRef,"y")))</f>
        <v>39</v>
      </c>
      <c r="AB16" s="43" t="n">
        <f aca="false">IF(OR($B16="",$G16=""),"",EDATE($G16,AgeFinCarriere*12))</f>
        <v>53821</v>
      </c>
      <c r="AC16" s="42" t="str">
        <f aca="false">IF(OR($B16="",$G16="",$H16=""),"",IF(AND($I16&lt;&gt;"",$I16&lt;=DateRef),"",IF($AB16&lt;DateVigueur,"Non concerné",IF(AND($N16&lt;&gt;"",$N16&gt;=MAX(EDATE($AB16,-FenetreFinCarriere*12),DateVigueur),$N16&lt;=$AB16),"Réalisé",IF(DateRef&gt;$AB16,"Non réalisé",IF(AND($Q16&lt;&gt;"",$Q16&gt;=EDATE($AB16,-FenetreFinCarriere*12),$Q16&lt;=$AB16),"Planifié dans la fenêtre",IF(AND(MAX($P16,DateRef)&gt;=EDATE($AB16,-FenetreFinCarriere*12),MAX($P16,DateRef)&lt;=$AB16),"Prochain EPP dans la fenêtre",IF(MAX($P16,DateRef)&gt;$AB16,"À programmer avant 60 ans",""))))))))</f>
        <v/>
      </c>
      <c r="AD16" s="40" t="n">
        <v>45366</v>
      </c>
      <c r="AE16" s="43" t="n">
        <f aca="false">IF(OR($B16="",$H16="",AND($I16&lt;&gt;"",$I16&lt;=DateRef)),"",MAX($H16,$AD16,IF($A16="",0,SUMPRODUCT(MAX((Journal!$A$6:$A$1005=$A16)*((Journal!$D$6:$D$1005=TypeEDL)+(Journal!$D$6:$D$1005=TypeBilan6))*Journal!$C$6:$C$1005)))))</f>
        <v>45366</v>
      </c>
      <c r="AF16" s="43" t="n">
        <f aca="false">IF($AE16="","",IF(AND(ReglesTransitoires="Oui",EDATE($AE16,AnciennePeriodiciteEDL*12)&lt;DateVigueur),EDATE($AE16,AnciennePeriodiciteEDL*12),EDATE($AE16,PeriodiciteEDL*12)))</f>
        <v>48288</v>
      </c>
      <c r="AG16" s="42" t="str">
        <f aca="false">IF($AF16="","",IF(AND($I16&lt;&gt;"",$I16&lt;=DateRef),"",IF($AF16&lt;DateRef,"En retard",IF($AF16-DateRef&lt;=SeuilAlerteEDL,"À prévoir","À jour"))))</f>
        <v>À jour</v>
      </c>
      <c r="AH16" s="39" t="s">
        <v>171</v>
      </c>
      <c r="AI16" s="39" t="s">
        <v>171</v>
      </c>
      <c r="AJ16" s="42" t="str">
        <f aca="false">IF(OR($B16="",$H16=""),"",IF(AND($I16&lt;&gt;"",$I16&lt;=DateRef),"",IF(Effectif&lt;SeuilEffectif,"Non concerné (&lt; "&amp;SeuilEffectif&amp;" salariés)",IF($AH16="Oui","Pas de risque",IF(AND(OR($AI16="Non",$S16="En retard"),$AH16="Non"),"Risque abondement",IF(OR($AI16="Non",$S16="En retard"),"À vérifier (formation ?)",IF($AI16="Oui","Pas de risque","À compléter")))))))</f>
        <v>Pas de risque</v>
      </c>
      <c r="AK16" s="39" t="s">
        <v>229</v>
      </c>
    </row>
    <row r="17" customFormat="false" ht="15" hidden="false" customHeight="false" outlineLevel="0" collapsed="false">
      <c r="A17" s="39" t="s">
        <v>230</v>
      </c>
      <c r="B17" s="39" t="s">
        <v>231</v>
      </c>
      <c r="C17" s="39" t="s">
        <v>232</v>
      </c>
      <c r="D17" s="39" t="s">
        <v>190</v>
      </c>
      <c r="E17" s="39" t="s">
        <v>233</v>
      </c>
      <c r="F17" s="39" t="s">
        <v>192</v>
      </c>
      <c r="G17" s="40" t="n">
        <v>29631</v>
      </c>
      <c r="H17" s="40" t="n">
        <v>43837</v>
      </c>
      <c r="I17" s="40"/>
      <c r="J17" s="41" t="n">
        <f aca="false">IF(OR($B17="",$H17=""),"",IF($H17&gt;DateRef,0,YEARFRAC($H17,DateRef,1)))</f>
        <v>6.70981619084865</v>
      </c>
      <c r="K17" s="42" t="str">
        <f aca="false">IF(OR($B17="",$H17=""),"",IF(EDATE($H17,12)&lt;=DateRef,"Plus d'un an","Moins d'un an"))</f>
        <v>Plus d'un an</v>
      </c>
      <c r="L17" s="40" t="n">
        <v>45313</v>
      </c>
      <c r="M17" s="43" t="str">
        <f aca="false">IF(OR($B17="",$A17=""),"",IF(SUMPRODUCT(MAX((Journal!$A$6:$A$1005=$A17)*Journal!$C$6:$C$1005))=0,"",SUMPRODUCT(MAX((Journal!$A$6:$A$1005=$A17)*Journal!$C$6:$C$1005))))</f>
        <v/>
      </c>
      <c r="N17" s="43" t="n">
        <f aca="false">IF($B17="","",IF(MAX($L17,$M17)=0,"",MAX($L17,$M17)))</f>
        <v>45313</v>
      </c>
      <c r="O17" s="44" t="str">
        <f aca="false">IF(OR($B17="",$H17=""),"",IF($N17="",IF(EDATE($H17,DelaiPremierEPP)&gt;DateRef,"1er EPP (1re année)","Aucun entretien renseigné"),IF(AND(ReglesTransitoires="Oui",EDATE($N17,AnciennePeriodiciteEP*12)&lt;DateVigueur),"Retard antérieur à la réforme","Périodicité "&amp;PeriodiciteEPP&amp;" ans")))</f>
        <v>Périodicité 4 ans</v>
      </c>
      <c r="P17" s="43" t="n">
        <f aca="false">IF(OR($B17="",$H17=""),"",IF($N17="",EDATE($H17,DelaiPremierEPP),IF(AND(ReglesTransitoires="Oui",EDATE($N17,AnciennePeriodiciteEP*12)&lt;DateVigueur),EDATE($N17,AnciennePeriodiciteEP*12),EDATE($N17,PeriodiciteEPP*12))))</f>
        <v>46774</v>
      </c>
      <c r="Q17" s="40"/>
      <c r="R17" s="45" t="n">
        <f aca="false">IF(OR($P17="",AND($I17&lt;&gt;"",$I17&lt;=DateRef)),"",$P17-DateRef)</f>
        <v>486</v>
      </c>
      <c r="S17" s="42" t="str">
        <f aca="false">IF($B17="","",IF(AND($I17&lt;&gt;"",$I17&lt;=DateRef),"Sorti",IF($H17="","À compléter",IF(AND($Q17&lt;&gt;"",$Q17&gt;=DateRef,$Q17&lt;=$P17),"Planifié",IF($R17&lt;0,"En retard",IF($R17&lt;=SeuilAlerteEPP,"À planifier","À jour"))))))</f>
        <v>À jour</v>
      </c>
      <c r="T17" s="46" t="str">
        <f aca="false">IF(OR($B17="",$S17="Sorti"),"",MID(IF($H17=""," | Date d'embauche manquante","")&amp;IF(AND($K17="Plus d'un an",$N17="")," | Précédent entretien à renseigner (ancienneté &gt; 1 an)","")&amp;IF($O17="Retard antérieur à la réforme"," | Ancien délai de 2 ans expiré avant la réforme","")&amp;IF(AND($N17&lt;&gt;"",$H17&lt;&gt;"",$N17&lt;$H17)," | Entretien antérieur à l'embauche ?","")&amp;IF(AND($N17&lt;&gt;"",$N17&gt;DateRef)," | Entretien daté dans le futur ?","")&amp;IF(AND($Q17&lt;&gt;"",$P17&lt;&gt;"",$Q17&gt;$P17)," | Date prévue après l'échéance","")&amp;IF(AND($Q17&lt;&gt;"",$Q17&lt;DateRef,OR($N17="",$N17&lt;$Q17))," | Entretien prévu passé : le consigner au Journal","")&amp;IF(AND($G17&lt;&gt;"",$X17="",YEAR(DateRef)-YEAR($G17)&gt;=AgeMiCarriere-1,YEAR(DateRef)-YEAR($G17)&lt;=AgeMiCarriere+1)," | Visite de mi-carrière à vérifier",""),4,1000))</f>
        <v>Visite de mi-carrière à vérifier</v>
      </c>
      <c r="U17" s="39"/>
      <c r="V17" s="40"/>
      <c r="W17" s="42" t="str">
        <f aca="false">IF(OR($B17="",$V17=""),"",IF(AND($I17&lt;&gt;"",$I17&lt;=DateRef),"",IF(AND($N17&lt;&gt;"",$N17&gt;=$V17),"Réalisé",IF(AND($N17&lt;&gt;"",$N17&gt;=EDATE($V17,-FenetreRetour)),"Dispensé (EPP récent)",IF($V17&gt;DateRef,"À prévoir à la reprise","À proposer (reprise passée)")))))</f>
        <v/>
      </c>
      <c r="X17" s="40"/>
      <c r="Y17" s="43" t="str">
        <f aca="false">IF(OR($B17="",$X17=""),"",EDATE($X17,DelaiMiCarriere))</f>
        <v/>
      </c>
      <c r="Z17" s="42" t="str">
        <f aca="false">IF(OR($B17="",$X17=""),"",IF(AND($I17&lt;&gt;"",$I17&lt;=DateRef),"",IF(AND($N17&lt;&gt;"",$N17&gt;=$X17),"Réalisé",IF($Y17&lt;DateRef,"En retard","À planifier"))))</f>
        <v/>
      </c>
      <c r="AA17" s="47" t="n">
        <f aca="false">IF(OR($B17="",$G17=""),"",IF($G17&gt;DateRef,"",DATEDIF($G17,DateRef,"y")))</f>
        <v>45</v>
      </c>
      <c r="AB17" s="43" t="n">
        <f aca="false">IF(OR($B17="",$G17=""),"",EDATE($G17,AgeFinCarriere*12))</f>
        <v>51546</v>
      </c>
      <c r="AC17" s="42" t="str">
        <f aca="false">IF(OR($B17="",$G17="",$H17=""),"",IF(AND($I17&lt;&gt;"",$I17&lt;=DateRef),"",IF($AB17&lt;DateVigueur,"Non concerné",IF(AND($N17&lt;&gt;"",$N17&gt;=MAX(EDATE($AB17,-FenetreFinCarriere*12),DateVigueur),$N17&lt;=$AB17),"Réalisé",IF(DateRef&gt;$AB17,"Non réalisé",IF(AND($Q17&lt;&gt;"",$Q17&gt;=EDATE($AB17,-FenetreFinCarriere*12),$Q17&lt;=$AB17),"Planifié dans la fenêtre",IF(AND(MAX($P17,DateRef)&gt;=EDATE($AB17,-FenetreFinCarriere*12),MAX($P17,DateRef)&lt;=$AB17),"Prochain EPP dans la fenêtre",IF(MAX($P17,DateRef)&gt;$AB17,"À programmer avant 60 ans",""))))))))</f>
        <v/>
      </c>
      <c r="AD17" s="40"/>
      <c r="AE17" s="43" t="n">
        <f aca="false">IF(OR($B17="",$H17="",AND($I17&lt;&gt;"",$I17&lt;=DateRef)),"",MAX($H17,$AD17,IF($A17="",0,SUMPRODUCT(MAX((Journal!$A$6:$A$1005=$A17)*((Journal!$D$6:$D$1005=TypeEDL)+(Journal!$D$6:$D$1005=TypeBilan6))*Journal!$C$6:$C$1005)))))</f>
        <v>43837</v>
      </c>
      <c r="AF17" s="43" t="n">
        <f aca="false">IF($AE17="","",IF(AND(ReglesTransitoires="Oui",EDATE($AE17,AnciennePeriodiciteEDL*12)&lt;DateVigueur),EDATE($AE17,AnciennePeriodiciteEDL*12),EDATE($AE17,PeriodiciteEDL*12)))</f>
        <v>46759</v>
      </c>
      <c r="AG17" s="42" t="str">
        <f aca="false">IF($AF17="","",IF(AND($I17&lt;&gt;"",$I17&lt;=DateRef),"",IF($AF17&lt;DateRef,"En retard",IF($AF17-DateRef&lt;=SeuilAlerteEDL,"À prévoir","À jour"))))</f>
        <v>À jour</v>
      </c>
      <c r="AH17" s="39"/>
      <c r="AI17" s="39"/>
      <c r="AJ17" s="42" t="str">
        <f aca="false">IF(OR($B17="",$H17=""),"",IF(AND($I17&lt;&gt;"",$I17&lt;=DateRef),"",IF(Effectif&lt;SeuilEffectif,"Non concerné (&lt; "&amp;SeuilEffectif&amp;" salariés)",IF($AH17="Oui","Pas de risque",IF(AND(OR($AI17="Non",$S17="En retard"),$AH17="Non"),"Risque abondement",IF(OR($AI17="Non",$S17="En retard"),"À vérifier (formation ?)",IF($AI17="Oui","Pas de risque","À compléter")))))))</f>
        <v>À compléter</v>
      </c>
      <c r="AK17" s="39" t="s">
        <v>234</v>
      </c>
    </row>
    <row r="18" customFormat="false" ht="15" hidden="false" customHeight="false" outlineLevel="0" collapsed="false">
      <c r="A18" s="39"/>
      <c r="B18" s="39"/>
      <c r="C18" s="39"/>
      <c r="D18" s="39"/>
      <c r="E18" s="39"/>
      <c r="F18" s="39"/>
      <c r="G18" s="40"/>
      <c r="H18" s="40"/>
      <c r="I18" s="40"/>
      <c r="J18" s="41" t="str">
        <f aca="false">IF(OR($B18="",$H18=""),"",IF($H18&gt;DateRef,0,YEARFRAC($H18,DateRef,1)))</f>
        <v/>
      </c>
      <c r="K18" s="42" t="str">
        <f aca="false">IF(OR($B18="",$H18=""),"",IF(EDATE($H18,12)&lt;=DateRef,"Plus d'un an","Moins d'un an"))</f>
        <v/>
      </c>
      <c r="L18" s="40"/>
      <c r="M18" s="43" t="str">
        <f aca="false">IF(OR($B18="",$A18=""),"",IF(SUMPRODUCT(MAX((Journal!$A$6:$A$1005=$A18)*Journal!$C$6:$C$1005))=0,"",SUMPRODUCT(MAX((Journal!$A$6:$A$1005=$A18)*Journal!$C$6:$C$1005))))</f>
        <v/>
      </c>
      <c r="N18" s="43" t="str">
        <f aca="false">IF($B18="","",IF(MAX($L18,$M18)=0,"",MAX($L18,$M18)))</f>
        <v/>
      </c>
      <c r="O18" s="44" t="str">
        <f aca="false">IF(OR($B18="",$H18=""),"",IF($N18="",IF(EDATE($H18,DelaiPremierEPP)&gt;DateRef,"1er EPP (1re année)","Aucun entretien renseigné"),IF(AND(ReglesTransitoires="Oui",EDATE($N18,AnciennePeriodiciteEP*12)&lt;DateVigueur),"Retard antérieur à la réforme","Périodicité "&amp;PeriodiciteEPP&amp;" ans")))</f>
        <v/>
      </c>
      <c r="P18" s="43" t="str">
        <f aca="false">IF(OR($B18="",$H18=""),"",IF($N18="",EDATE($H18,DelaiPremierEPP),IF(AND(ReglesTransitoires="Oui",EDATE($N18,AnciennePeriodiciteEP*12)&lt;DateVigueur),EDATE($N18,AnciennePeriodiciteEP*12),EDATE($N18,PeriodiciteEPP*12))))</f>
        <v/>
      </c>
      <c r="Q18" s="40"/>
      <c r="R18" s="45" t="str">
        <f aca="false">IF(OR($P18="",AND($I18&lt;&gt;"",$I18&lt;=DateRef)),"",$P18-DateRef)</f>
        <v/>
      </c>
      <c r="S18" s="42" t="str">
        <f aca="false">IF($B18="","",IF(AND($I18&lt;&gt;"",$I18&lt;=DateRef),"Sorti",IF($H18="","À compléter",IF(AND($Q18&lt;&gt;"",$Q18&gt;=DateRef,$Q18&lt;=$P18),"Planifié",IF($R18&lt;0,"En retard",IF($R18&lt;=SeuilAlerteEPP,"À planifier","À jour"))))))</f>
        <v/>
      </c>
      <c r="T18" s="46" t="str">
        <f aca="false">IF(OR($B18="",$S18="Sorti"),"",MID(IF($H18=""," | Date d'embauche manquante","")&amp;IF(AND($K18="Plus d'un an",$N18="")," | Précédent entretien à renseigner (ancienneté &gt; 1 an)","")&amp;IF($O18="Retard antérieur à la réforme"," | Ancien délai de 2 ans expiré avant la réforme","")&amp;IF(AND($N18&lt;&gt;"",$H18&lt;&gt;"",$N18&lt;$H18)," | Entretien antérieur à l'embauche ?","")&amp;IF(AND($N18&lt;&gt;"",$N18&gt;DateRef)," | Entretien daté dans le futur ?","")&amp;IF(AND($Q18&lt;&gt;"",$P18&lt;&gt;"",$Q18&gt;$P18)," | Date prévue après l'échéance","")&amp;IF(AND($Q18&lt;&gt;"",$Q18&lt;DateRef,OR($N18="",$N18&lt;$Q18))," | Entretien prévu passé : le consigner au Journal","")&amp;IF(AND($G18&lt;&gt;"",$X18="",YEAR(DateRef)-YEAR($G18)&gt;=AgeMiCarriere-1,YEAR(DateRef)-YEAR($G18)&lt;=AgeMiCarriere+1)," | Visite de mi-carrière à vérifier",""),4,1000))</f>
        <v/>
      </c>
      <c r="U18" s="39"/>
      <c r="V18" s="40"/>
      <c r="W18" s="42" t="str">
        <f aca="false">IF(OR($B18="",$V18=""),"",IF(AND($I18&lt;&gt;"",$I18&lt;=DateRef),"",IF(AND($N18&lt;&gt;"",$N18&gt;=$V18),"Réalisé",IF(AND($N18&lt;&gt;"",$N18&gt;=EDATE($V18,-FenetreRetour)),"Dispensé (EPP récent)",IF($V18&gt;DateRef,"À prévoir à la reprise","À proposer (reprise passée)")))))</f>
        <v/>
      </c>
      <c r="X18" s="40"/>
      <c r="Y18" s="43" t="str">
        <f aca="false">IF(OR($B18="",$X18=""),"",EDATE($X18,DelaiMiCarriere))</f>
        <v/>
      </c>
      <c r="Z18" s="42" t="str">
        <f aca="false">IF(OR($B18="",$X18=""),"",IF(AND($I18&lt;&gt;"",$I18&lt;=DateRef),"",IF(AND($N18&lt;&gt;"",$N18&gt;=$X18),"Réalisé",IF($Y18&lt;DateRef,"En retard","À planifier"))))</f>
        <v/>
      </c>
      <c r="AA18" s="47" t="str">
        <f aca="false">IF(OR($B18="",$G18=""),"",IF($G18&gt;DateRef,"",DATEDIF($G18,DateRef,"y")))</f>
        <v/>
      </c>
      <c r="AB18" s="43" t="str">
        <f aca="false">IF(OR($B18="",$G18=""),"",EDATE($G18,AgeFinCarriere*12))</f>
        <v/>
      </c>
      <c r="AC18" s="42" t="str">
        <f aca="false">IF(OR($B18="",$G18="",$H18=""),"",IF(AND($I18&lt;&gt;"",$I18&lt;=DateRef),"",IF($AB18&lt;DateVigueur,"Non concerné",IF(AND($N18&lt;&gt;"",$N18&gt;=MAX(EDATE($AB18,-FenetreFinCarriere*12),DateVigueur),$N18&lt;=$AB18),"Réalisé",IF(DateRef&gt;$AB18,"Non réalisé",IF(AND($Q18&lt;&gt;"",$Q18&gt;=EDATE($AB18,-FenetreFinCarriere*12),$Q18&lt;=$AB18),"Planifié dans la fenêtre",IF(AND(MAX($P18,DateRef)&gt;=EDATE($AB18,-FenetreFinCarriere*12),MAX($P18,DateRef)&lt;=$AB18),"Prochain EPP dans la fenêtre",IF(MAX($P18,DateRef)&gt;$AB18,"À programmer avant 60 ans",""))))))))</f>
        <v/>
      </c>
      <c r="AD18" s="40"/>
      <c r="AE18" s="43" t="str">
        <f aca="false">IF(OR($B18="",$H18="",AND($I18&lt;&gt;"",$I18&lt;=DateRef)),"",MAX($H18,$AD18,IF($A18="",0,SUMPRODUCT(MAX((Journal!$A$6:$A$1005=$A18)*((Journal!$D$6:$D$1005=TypeEDL)+(Journal!$D$6:$D$1005=TypeBilan6))*Journal!$C$6:$C$1005)))))</f>
        <v/>
      </c>
      <c r="AF18" s="43" t="str">
        <f aca="false">IF($AE18="","",IF(AND(ReglesTransitoires="Oui",EDATE($AE18,AnciennePeriodiciteEDL*12)&lt;DateVigueur),EDATE($AE18,AnciennePeriodiciteEDL*12),EDATE($AE18,PeriodiciteEDL*12)))</f>
        <v/>
      </c>
      <c r="AG18" s="42" t="str">
        <f aca="false">IF($AF18="","",IF(AND($I18&lt;&gt;"",$I18&lt;=DateRef),"",IF($AF18&lt;DateRef,"En retard",IF($AF18-DateRef&lt;=SeuilAlerteEDL,"À prévoir","À jour"))))</f>
        <v/>
      </c>
      <c r="AH18" s="39"/>
      <c r="AI18" s="39"/>
      <c r="AJ18" s="42" t="str">
        <f aca="false">IF(OR($B18="",$H18=""),"",IF(AND($I18&lt;&gt;"",$I18&lt;=DateRef),"",IF(Effectif&lt;SeuilEffectif,"Non concerné (&lt; "&amp;SeuilEffectif&amp;" salariés)",IF($AH18="Oui","Pas de risque",IF(AND(OR($AI18="Non",$S18="En retard"),$AH18="Non"),"Risque abondement",IF(OR($AI18="Non",$S18="En retard"),"À vérifier (formation ?)",IF($AI18="Oui","Pas de risque","À compléter")))))))</f>
        <v/>
      </c>
      <c r="AK18" s="39"/>
    </row>
    <row r="19" customFormat="false" ht="15" hidden="false" customHeight="false" outlineLevel="0" collapsed="false">
      <c r="A19" s="39"/>
      <c r="B19" s="39"/>
      <c r="C19" s="39"/>
      <c r="D19" s="39"/>
      <c r="E19" s="39"/>
      <c r="F19" s="39"/>
      <c r="G19" s="40"/>
      <c r="H19" s="40"/>
      <c r="I19" s="40"/>
      <c r="J19" s="41" t="str">
        <f aca="false">IF(OR($B19="",$H19=""),"",IF($H19&gt;DateRef,0,YEARFRAC($H19,DateRef,1)))</f>
        <v/>
      </c>
      <c r="K19" s="42" t="str">
        <f aca="false">IF(OR($B19="",$H19=""),"",IF(EDATE($H19,12)&lt;=DateRef,"Plus d'un an","Moins d'un an"))</f>
        <v/>
      </c>
      <c r="L19" s="40"/>
      <c r="M19" s="43" t="str">
        <f aca="false">IF(OR($B19="",$A19=""),"",IF(SUMPRODUCT(MAX((Journal!$A$6:$A$1005=$A19)*Journal!$C$6:$C$1005))=0,"",SUMPRODUCT(MAX((Journal!$A$6:$A$1005=$A19)*Journal!$C$6:$C$1005))))</f>
        <v/>
      </c>
      <c r="N19" s="43" t="str">
        <f aca="false">IF($B19="","",IF(MAX($L19,$M19)=0,"",MAX($L19,$M19)))</f>
        <v/>
      </c>
      <c r="O19" s="44" t="str">
        <f aca="false">IF(OR($B19="",$H19=""),"",IF($N19="",IF(EDATE($H19,DelaiPremierEPP)&gt;DateRef,"1er EPP (1re année)","Aucun entretien renseigné"),IF(AND(ReglesTransitoires="Oui",EDATE($N19,AnciennePeriodiciteEP*12)&lt;DateVigueur),"Retard antérieur à la réforme","Périodicité "&amp;PeriodiciteEPP&amp;" ans")))</f>
        <v/>
      </c>
      <c r="P19" s="43" t="str">
        <f aca="false">IF(OR($B19="",$H19=""),"",IF($N19="",EDATE($H19,DelaiPremierEPP),IF(AND(ReglesTransitoires="Oui",EDATE($N19,AnciennePeriodiciteEP*12)&lt;DateVigueur),EDATE($N19,AnciennePeriodiciteEP*12),EDATE($N19,PeriodiciteEPP*12))))</f>
        <v/>
      </c>
      <c r="Q19" s="40"/>
      <c r="R19" s="45" t="str">
        <f aca="false">IF(OR($P19="",AND($I19&lt;&gt;"",$I19&lt;=DateRef)),"",$P19-DateRef)</f>
        <v/>
      </c>
      <c r="S19" s="42" t="str">
        <f aca="false">IF($B19="","",IF(AND($I19&lt;&gt;"",$I19&lt;=DateRef),"Sorti",IF($H19="","À compléter",IF(AND($Q19&lt;&gt;"",$Q19&gt;=DateRef,$Q19&lt;=$P19),"Planifié",IF($R19&lt;0,"En retard",IF($R19&lt;=SeuilAlerteEPP,"À planifier","À jour"))))))</f>
        <v/>
      </c>
      <c r="T19" s="46" t="str">
        <f aca="false">IF(OR($B19="",$S19="Sorti"),"",MID(IF($H19=""," | Date d'embauche manquante","")&amp;IF(AND($K19="Plus d'un an",$N19="")," | Précédent entretien à renseigner (ancienneté &gt; 1 an)","")&amp;IF($O19="Retard antérieur à la réforme"," | Ancien délai de 2 ans expiré avant la réforme","")&amp;IF(AND($N19&lt;&gt;"",$H19&lt;&gt;"",$N19&lt;$H19)," | Entretien antérieur à l'embauche ?","")&amp;IF(AND($N19&lt;&gt;"",$N19&gt;DateRef)," | Entretien daté dans le futur ?","")&amp;IF(AND($Q19&lt;&gt;"",$P19&lt;&gt;"",$Q19&gt;$P19)," | Date prévue après l'échéance","")&amp;IF(AND($Q19&lt;&gt;"",$Q19&lt;DateRef,OR($N19="",$N19&lt;$Q19))," | Entretien prévu passé : le consigner au Journal","")&amp;IF(AND($G19&lt;&gt;"",$X19="",YEAR(DateRef)-YEAR($G19)&gt;=AgeMiCarriere-1,YEAR(DateRef)-YEAR($G19)&lt;=AgeMiCarriere+1)," | Visite de mi-carrière à vérifier",""),4,1000))</f>
        <v/>
      </c>
      <c r="U19" s="39"/>
      <c r="V19" s="40"/>
      <c r="W19" s="42" t="str">
        <f aca="false">IF(OR($B19="",$V19=""),"",IF(AND($I19&lt;&gt;"",$I19&lt;=DateRef),"",IF(AND($N19&lt;&gt;"",$N19&gt;=$V19),"Réalisé",IF(AND($N19&lt;&gt;"",$N19&gt;=EDATE($V19,-FenetreRetour)),"Dispensé (EPP récent)",IF($V19&gt;DateRef,"À prévoir à la reprise","À proposer (reprise passée)")))))</f>
        <v/>
      </c>
      <c r="X19" s="40"/>
      <c r="Y19" s="43" t="str">
        <f aca="false">IF(OR($B19="",$X19=""),"",EDATE($X19,DelaiMiCarriere))</f>
        <v/>
      </c>
      <c r="Z19" s="42" t="str">
        <f aca="false">IF(OR($B19="",$X19=""),"",IF(AND($I19&lt;&gt;"",$I19&lt;=DateRef),"",IF(AND($N19&lt;&gt;"",$N19&gt;=$X19),"Réalisé",IF($Y19&lt;DateRef,"En retard","À planifier"))))</f>
        <v/>
      </c>
      <c r="AA19" s="47" t="str">
        <f aca="false">IF(OR($B19="",$G19=""),"",IF($G19&gt;DateRef,"",DATEDIF($G19,DateRef,"y")))</f>
        <v/>
      </c>
      <c r="AB19" s="43" t="str">
        <f aca="false">IF(OR($B19="",$G19=""),"",EDATE($G19,AgeFinCarriere*12))</f>
        <v/>
      </c>
      <c r="AC19" s="42" t="str">
        <f aca="false">IF(OR($B19="",$G19="",$H19=""),"",IF(AND($I19&lt;&gt;"",$I19&lt;=DateRef),"",IF($AB19&lt;DateVigueur,"Non concerné",IF(AND($N19&lt;&gt;"",$N19&gt;=MAX(EDATE($AB19,-FenetreFinCarriere*12),DateVigueur),$N19&lt;=$AB19),"Réalisé",IF(DateRef&gt;$AB19,"Non réalisé",IF(AND($Q19&lt;&gt;"",$Q19&gt;=EDATE($AB19,-FenetreFinCarriere*12),$Q19&lt;=$AB19),"Planifié dans la fenêtre",IF(AND(MAX($P19,DateRef)&gt;=EDATE($AB19,-FenetreFinCarriere*12),MAX($P19,DateRef)&lt;=$AB19),"Prochain EPP dans la fenêtre",IF(MAX($P19,DateRef)&gt;$AB19,"À programmer avant 60 ans",""))))))))</f>
        <v/>
      </c>
      <c r="AD19" s="40"/>
      <c r="AE19" s="43" t="str">
        <f aca="false">IF(OR($B19="",$H19="",AND($I19&lt;&gt;"",$I19&lt;=DateRef)),"",MAX($H19,$AD19,IF($A19="",0,SUMPRODUCT(MAX((Journal!$A$6:$A$1005=$A19)*((Journal!$D$6:$D$1005=TypeEDL)+(Journal!$D$6:$D$1005=TypeBilan6))*Journal!$C$6:$C$1005)))))</f>
        <v/>
      </c>
      <c r="AF19" s="43" t="str">
        <f aca="false">IF($AE19="","",IF(AND(ReglesTransitoires="Oui",EDATE($AE19,AnciennePeriodiciteEDL*12)&lt;DateVigueur),EDATE($AE19,AnciennePeriodiciteEDL*12),EDATE($AE19,PeriodiciteEDL*12)))</f>
        <v/>
      </c>
      <c r="AG19" s="42" t="str">
        <f aca="false">IF($AF19="","",IF(AND($I19&lt;&gt;"",$I19&lt;=DateRef),"",IF($AF19&lt;DateRef,"En retard",IF($AF19-DateRef&lt;=SeuilAlerteEDL,"À prévoir","À jour"))))</f>
        <v/>
      </c>
      <c r="AH19" s="39"/>
      <c r="AI19" s="39"/>
      <c r="AJ19" s="42" t="str">
        <f aca="false">IF(OR($B19="",$H19=""),"",IF(AND($I19&lt;&gt;"",$I19&lt;=DateRef),"",IF(Effectif&lt;SeuilEffectif,"Non concerné (&lt; "&amp;SeuilEffectif&amp;" salariés)",IF($AH19="Oui","Pas de risque",IF(AND(OR($AI19="Non",$S19="En retard"),$AH19="Non"),"Risque abondement",IF(OR($AI19="Non",$S19="En retard"),"À vérifier (formation ?)",IF($AI19="Oui","Pas de risque","À compléter")))))))</f>
        <v/>
      </c>
      <c r="AK19" s="39"/>
    </row>
    <row r="20" customFormat="false" ht="15" hidden="false" customHeight="false" outlineLevel="0" collapsed="false">
      <c r="A20" s="39"/>
      <c r="B20" s="39"/>
      <c r="C20" s="39"/>
      <c r="D20" s="39"/>
      <c r="E20" s="39"/>
      <c r="F20" s="39"/>
      <c r="G20" s="40"/>
      <c r="H20" s="40"/>
      <c r="I20" s="40"/>
      <c r="J20" s="41" t="str">
        <f aca="false">IF(OR($B20="",$H20=""),"",IF($H20&gt;DateRef,0,YEARFRAC($H20,DateRef,1)))</f>
        <v/>
      </c>
      <c r="K20" s="42" t="str">
        <f aca="false">IF(OR($B20="",$H20=""),"",IF(EDATE($H20,12)&lt;=DateRef,"Plus d'un an","Moins d'un an"))</f>
        <v/>
      </c>
      <c r="L20" s="40"/>
      <c r="M20" s="43" t="str">
        <f aca="false">IF(OR($B20="",$A20=""),"",IF(SUMPRODUCT(MAX((Journal!$A$6:$A$1005=$A20)*Journal!$C$6:$C$1005))=0,"",SUMPRODUCT(MAX((Journal!$A$6:$A$1005=$A20)*Journal!$C$6:$C$1005))))</f>
        <v/>
      </c>
      <c r="N20" s="43" t="str">
        <f aca="false">IF($B20="","",IF(MAX($L20,$M20)=0,"",MAX($L20,$M20)))</f>
        <v/>
      </c>
      <c r="O20" s="44" t="str">
        <f aca="false">IF(OR($B20="",$H20=""),"",IF($N20="",IF(EDATE($H20,DelaiPremierEPP)&gt;DateRef,"1er EPP (1re année)","Aucun entretien renseigné"),IF(AND(ReglesTransitoires="Oui",EDATE($N20,AnciennePeriodiciteEP*12)&lt;DateVigueur),"Retard antérieur à la réforme","Périodicité "&amp;PeriodiciteEPP&amp;" ans")))</f>
        <v/>
      </c>
      <c r="P20" s="43" t="str">
        <f aca="false">IF(OR($B20="",$H20=""),"",IF($N20="",EDATE($H20,DelaiPremierEPP),IF(AND(ReglesTransitoires="Oui",EDATE($N20,AnciennePeriodiciteEP*12)&lt;DateVigueur),EDATE($N20,AnciennePeriodiciteEP*12),EDATE($N20,PeriodiciteEPP*12))))</f>
        <v/>
      </c>
      <c r="Q20" s="40"/>
      <c r="R20" s="45" t="str">
        <f aca="false">IF(OR($P20="",AND($I20&lt;&gt;"",$I20&lt;=DateRef)),"",$P20-DateRef)</f>
        <v/>
      </c>
      <c r="S20" s="42" t="str">
        <f aca="false">IF($B20="","",IF(AND($I20&lt;&gt;"",$I20&lt;=DateRef),"Sorti",IF($H20="","À compléter",IF(AND($Q20&lt;&gt;"",$Q20&gt;=DateRef,$Q20&lt;=$P20),"Planifié",IF($R20&lt;0,"En retard",IF($R20&lt;=SeuilAlerteEPP,"À planifier","À jour"))))))</f>
        <v/>
      </c>
      <c r="T20" s="46" t="str">
        <f aca="false">IF(OR($B20="",$S20="Sorti"),"",MID(IF($H20=""," | Date d'embauche manquante","")&amp;IF(AND($K20="Plus d'un an",$N20="")," | Précédent entretien à renseigner (ancienneté &gt; 1 an)","")&amp;IF($O20="Retard antérieur à la réforme"," | Ancien délai de 2 ans expiré avant la réforme","")&amp;IF(AND($N20&lt;&gt;"",$H20&lt;&gt;"",$N20&lt;$H20)," | Entretien antérieur à l'embauche ?","")&amp;IF(AND($N20&lt;&gt;"",$N20&gt;DateRef)," | Entretien daté dans le futur ?","")&amp;IF(AND($Q20&lt;&gt;"",$P20&lt;&gt;"",$Q20&gt;$P20)," | Date prévue après l'échéance","")&amp;IF(AND($Q20&lt;&gt;"",$Q20&lt;DateRef,OR($N20="",$N20&lt;$Q20))," | Entretien prévu passé : le consigner au Journal","")&amp;IF(AND($G20&lt;&gt;"",$X20="",YEAR(DateRef)-YEAR($G20)&gt;=AgeMiCarriere-1,YEAR(DateRef)-YEAR($G20)&lt;=AgeMiCarriere+1)," | Visite de mi-carrière à vérifier",""),4,1000))</f>
        <v/>
      </c>
      <c r="U20" s="39"/>
      <c r="V20" s="40"/>
      <c r="W20" s="42" t="str">
        <f aca="false">IF(OR($B20="",$V20=""),"",IF(AND($I20&lt;&gt;"",$I20&lt;=DateRef),"",IF(AND($N20&lt;&gt;"",$N20&gt;=$V20),"Réalisé",IF(AND($N20&lt;&gt;"",$N20&gt;=EDATE($V20,-FenetreRetour)),"Dispensé (EPP récent)",IF($V20&gt;DateRef,"À prévoir à la reprise","À proposer (reprise passée)")))))</f>
        <v/>
      </c>
      <c r="X20" s="40"/>
      <c r="Y20" s="43" t="str">
        <f aca="false">IF(OR($B20="",$X20=""),"",EDATE($X20,DelaiMiCarriere))</f>
        <v/>
      </c>
      <c r="Z20" s="42" t="str">
        <f aca="false">IF(OR($B20="",$X20=""),"",IF(AND($I20&lt;&gt;"",$I20&lt;=DateRef),"",IF(AND($N20&lt;&gt;"",$N20&gt;=$X20),"Réalisé",IF($Y20&lt;DateRef,"En retard","À planifier"))))</f>
        <v/>
      </c>
      <c r="AA20" s="47" t="str">
        <f aca="false">IF(OR($B20="",$G20=""),"",IF($G20&gt;DateRef,"",DATEDIF($G20,DateRef,"y")))</f>
        <v/>
      </c>
      <c r="AB20" s="43" t="str">
        <f aca="false">IF(OR($B20="",$G20=""),"",EDATE($G20,AgeFinCarriere*12))</f>
        <v/>
      </c>
      <c r="AC20" s="42" t="str">
        <f aca="false">IF(OR($B20="",$G20="",$H20=""),"",IF(AND($I20&lt;&gt;"",$I20&lt;=DateRef),"",IF($AB20&lt;DateVigueur,"Non concerné",IF(AND($N20&lt;&gt;"",$N20&gt;=MAX(EDATE($AB20,-FenetreFinCarriere*12),DateVigueur),$N20&lt;=$AB20),"Réalisé",IF(DateRef&gt;$AB20,"Non réalisé",IF(AND($Q20&lt;&gt;"",$Q20&gt;=EDATE($AB20,-FenetreFinCarriere*12),$Q20&lt;=$AB20),"Planifié dans la fenêtre",IF(AND(MAX($P20,DateRef)&gt;=EDATE($AB20,-FenetreFinCarriere*12),MAX($P20,DateRef)&lt;=$AB20),"Prochain EPP dans la fenêtre",IF(MAX($P20,DateRef)&gt;$AB20,"À programmer avant 60 ans",""))))))))</f>
        <v/>
      </c>
      <c r="AD20" s="40"/>
      <c r="AE20" s="43" t="str">
        <f aca="false">IF(OR($B20="",$H20="",AND($I20&lt;&gt;"",$I20&lt;=DateRef)),"",MAX($H20,$AD20,IF($A20="",0,SUMPRODUCT(MAX((Journal!$A$6:$A$1005=$A20)*((Journal!$D$6:$D$1005=TypeEDL)+(Journal!$D$6:$D$1005=TypeBilan6))*Journal!$C$6:$C$1005)))))</f>
        <v/>
      </c>
      <c r="AF20" s="43" t="str">
        <f aca="false">IF($AE20="","",IF(AND(ReglesTransitoires="Oui",EDATE($AE20,AnciennePeriodiciteEDL*12)&lt;DateVigueur),EDATE($AE20,AnciennePeriodiciteEDL*12),EDATE($AE20,PeriodiciteEDL*12)))</f>
        <v/>
      </c>
      <c r="AG20" s="42" t="str">
        <f aca="false">IF($AF20="","",IF(AND($I20&lt;&gt;"",$I20&lt;=DateRef),"",IF($AF20&lt;DateRef,"En retard",IF($AF20-DateRef&lt;=SeuilAlerteEDL,"À prévoir","À jour"))))</f>
        <v/>
      </c>
      <c r="AH20" s="39"/>
      <c r="AI20" s="39"/>
      <c r="AJ20" s="42" t="str">
        <f aca="false">IF(OR($B20="",$H20=""),"",IF(AND($I20&lt;&gt;"",$I20&lt;=DateRef),"",IF(Effectif&lt;SeuilEffectif,"Non concerné (&lt; "&amp;SeuilEffectif&amp;" salariés)",IF($AH20="Oui","Pas de risque",IF(AND(OR($AI20="Non",$S20="En retard"),$AH20="Non"),"Risque abondement",IF(OR($AI20="Non",$S20="En retard"),"À vérifier (formation ?)",IF($AI20="Oui","Pas de risque","À compléter")))))))</f>
        <v/>
      </c>
      <c r="AK20" s="39"/>
    </row>
    <row r="21" customFormat="false" ht="15" hidden="false" customHeight="false" outlineLevel="0" collapsed="false">
      <c r="A21" s="39"/>
      <c r="B21" s="39"/>
      <c r="C21" s="39"/>
      <c r="D21" s="39"/>
      <c r="E21" s="39"/>
      <c r="F21" s="39"/>
      <c r="G21" s="40"/>
      <c r="H21" s="40"/>
      <c r="I21" s="40"/>
      <c r="J21" s="41" t="str">
        <f aca="false">IF(OR($B21="",$H21=""),"",IF($H21&gt;DateRef,0,YEARFRAC($H21,DateRef,1)))</f>
        <v/>
      </c>
      <c r="K21" s="42" t="str">
        <f aca="false">IF(OR($B21="",$H21=""),"",IF(EDATE($H21,12)&lt;=DateRef,"Plus d'un an","Moins d'un an"))</f>
        <v/>
      </c>
      <c r="L21" s="40"/>
      <c r="M21" s="43" t="str">
        <f aca="false">IF(OR($B21="",$A21=""),"",IF(SUMPRODUCT(MAX((Journal!$A$6:$A$1005=$A21)*Journal!$C$6:$C$1005))=0,"",SUMPRODUCT(MAX((Journal!$A$6:$A$1005=$A21)*Journal!$C$6:$C$1005))))</f>
        <v/>
      </c>
      <c r="N21" s="43" t="str">
        <f aca="false">IF($B21="","",IF(MAX($L21,$M21)=0,"",MAX($L21,$M21)))</f>
        <v/>
      </c>
      <c r="O21" s="44" t="str">
        <f aca="false">IF(OR($B21="",$H21=""),"",IF($N21="",IF(EDATE($H21,DelaiPremierEPP)&gt;DateRef,"1er EPP (1re année)","Aucun entretien renseigné"),IF(AND(ReglesTransitoires="Oui",EDATE($N21,AnciennePeriodiciteEP*12)&lt;DateVigueur),"Retard antérieur à la réforme","Périodicité "&amp;PeriodiciteEPP&amp;" ans")))</f>
        <v/>
      </c>
      <c r="P21" s="43" t="str">
        <f aca="false">IF(OR($B21="",$H21=""),"",IF($N21="",EDATE($H21,DelaiPremierEPP),IF(AND(ReglesTransitoires="Oui",EDATE($N21,AnciennePeriodiciteEP*12)&lt;DateVigueur),EDATE($N21,AnciennePeriodiciteEP*12),EDATE($N21,PeriodiciteEPP*12))))</f>
        <v/>
      </c>
      <c r="Q21" s="40"/>
      <c r="R21" s="45" t="str">
        <f aca="false">IF(OR($P21="",AND($I21&lt;&gt;"",$I21&lt;=DateRef)),"",$P21-DateRef)</f>
        <v/>
      </c>
      <c r="S21" s="42" t="str">
        <f aca="false">IF($B21="","",IF(AND($I21&lt;&gt;"",$I21&lt;=DateRef),"Sorti",IF($H21="","À compléter",IF(AND($Q21&lt;&gt;"",$Q21&gt;=DateRef,$Q21&lt;=$P21),"Planifié",IF($R21&lt;0,"En retard",IF($R21&lt;=SeuilAlerteEPP,"À planifier","À jour"))))))</f>
        <v/>
      </c>
      <c r="T21" s="46" t="str">
        <f aca="false">IF(OR($B21="",$S21="Sorti"),"",MID(IF($H21=""," | Date d'embauche manquante","")&amp;IF(AND($K21="Plus d'un an",$N21="")," | Précédent entretien à renseigner (ancienneté &gt; 1 an)","")&amp;IF($O21="Retard antérieur à la réforme"," | Ancien délai de 2 ans expiré avant la réforme","")&amp;IF(AND($N21&lt;&gt;"",$H21&lt;&gt;"",$N21&lt;$H21)," | Entretien antérieur à l'embauche ?","")&amp;IF(AND($N21&lt;&gt;"",$N21&gt;DateRef)," | Entretien daté dans le futur ?","")&amp;IF(AND($Q21&lt;&gt;"",$P21&lt;&gt;"",$Q21&gt;$P21)," | Date prévue après l'échéance","")&amp;IF(AND($Q21&lt;&gt;"",$Q21&lt;DateRef,OR($N21="",$N21&lt;$Q21))," | Entretien prévu passé : le consigner au Journal","")&amp;IF(AND($G21&lt;&gt;"",$X21="",YEAR(DateRef)-YEAR($G21)&gt;=AgeMiCarriere-1,YEAR(DateRef)-YEAR($G21)&lt;=AgeMiCarriere+1)," | Visite de mi-carrière à vérifier",""),4,1000))</f>
        <v/>
      </c>
      <c r="U21" s="39"/>
      <c r="V21" s="40"/>
      <c r="W21" s="42" t="str">
        <f aca="false">IF(OR($B21="",$V21=""),"",IF(AND($I21&lt;&gt;"",$I21&lt;=DateRef),"",IF(AND($N21&lt;&gt;"",$N21&gt;=$V21),"Réalisé",IF(AND($N21&lt;&gt;"",$N21&gt;=EDATE($V21,-FenetreRetour)),"Dispensé (EPP récent)",IF($V21&gt;DateRef,"À prévoir à la reprise","À proposer (reprise passée)")))))</f>
        <v/>
      </c>
      <c r="X21" s="40"/>
      <c r="Y21" s="43" t="str">
        <f aca="false">IF(OR($B21="",$X21=""),"",EDATE($X21,DelaiMiCarriere))</f>
        <v/>
      </c>
      <c r="Z21" s="42" t="str">
        <f aca="false">IF(OR($B21="",$X21=""),"",IF(AND($I21&lt;&gt;"",$I21&lt;=DateRef),"",IF(AND($N21&lt;&gt;"",$N21&gt;=$X21),"Réalisé",IF($Y21&lt;DateRef,"En retard","À planifier"))))</f>
        <v/>
      </c>
      <c r="AA21" s="47" t="str">
        <f aca="false">IF(OR($B21="",$G21=""),"",IF($G21&gt;DateRef,"",DATEDIF($G21,DateRef,"y")))</f>
        <v/>
      </c>
      <c r="AB21" s="43" t="str">
        <f aca="false">IF(OR($B21="",$G21=""),"",EDATE($G21,AgeFinCarriere*12))</f>
        <v/>
      </c>
      <c r="AC21" s="42" t="str">
        <f aca="false">IF(OR($B21="",$G21="",$H21=""),"",IF(AND($I21&lt;&gt;"",$I21&lt;=DateRef),"",IF($AB21&lt;DateVigueur,"Non concerné",IF(AND($N21&lt;&gt;"",$N21&gt;=MAX(EDATE($AB21,-FenetreFinCarriere*12),DateVigueur),$N21&lt;=$AB21),"Réalisé",IF(DateRef&gt;$AB21,"Non réalisé",IF(AND($Q21&lt;&gt;"",$Q21&gt;=EDATE($AB21,-FenetreFinCarriere*12),$Q21&lt;=$AB21),"Planifié dans la fenêtre",IF(AND(MAX($P21,DateRef)&gt;=EDATE($AB21,-FenetreFinCarriere*12),MAX($P21,DateRef)&lt;=$AB21),"Prochain EPP dans la fenêtre",IF(MAX($P21,DateRef)&gt;$AB21,"À programmer avant 60 ans",""))))))))</f>
        <v/>
      </c>
      <c r="AD21" s="40"/>
      <c r="AE21" s="43" t="str">
        <f aca="false">IF(OR($B21="",$H21="",AND($I21&lt;&gt;"",$I21&lt;=DateRef)),"",MAX($H21,$AD21,IF($A21="",0,SUMPRODUCT(MAX((Journal!$A$6:$A$1005=$A21)*((Journal!$D$6:$D$1005=TypeEDL)+(Journal!$D$6:$D$1005=TypeBilan6))*Journal!$C$6:$C$1005)))))</f>
        <v/>
      </c>
      <c r="AF21" s="43" t="str">
        <f aca="false">IF($AE21="","",IF(AND(ReglesTransitoires="Oui",EDATE($AE21,AnciennePeriodiciteEDL*12)&lt;DateVigueur),EDATE($AE21,AnciennePeriodiciteEDL*12),EDATE($AE21,PeriodiciteEDL*12)))</f>
        <v/>
      </c>
      <c r="AG21" s="42" t="str">
        <f aca="false">IF($AF21="","",IF(AND($I21&lt;&gt;"",$I21&lt;=DateRef),"",IF($AF21&lt;DateRef,"En retard",IF($AF21-DateRef&lt;=SeuilAlerteEDL,"À prévoir","À jour"))))</f>
        <v/>
      </c>
      <c r="AH21" s="39"/>
      <c r="AI21" s="39"/>
      <c r="AJ21" s="42" t="str">
        <f aca="false">IF(OR($B21="",$H21=""),"",IF(AND($I21&lt;&gt;"",$I21&lt;=DateRef),"",IF(Effectif&lt;SeuilEffectif,"Non concerné (&lt; "&amp;SeuilEffectif&amp;" salariés)",IF($AH21="Oui","Pas de risque",IF(AND(OR($AI21="Non",$S21="En retard"),$AH21="Non"),"Risque abondement",IF(OR($AI21="Non",$S21="En retard"),"À vérifier (formation ?)",IF($AI21="Oui","Pas de risque","À compléter")))))))</f>
        <v/>
      </c>
      <c r="AK21" s="39"/>
    </row>
    <row r="22" customFormat="false" ht="15" hidden="false" customHeight="false" outlineLevel="0" collapsed="false">
      <c r="A22" s="39"/>
      <c r="B22" s="39"/>
      <c r="C22" s="39"/>
      <c r="D22" s="39"/>
      <c r="E22" s="39"/>
      <c r="F22" s="39"/>
      <c r="G22" s="40"/>
      <c r="H22" s="40"/>
      <c r="I22" s="40"/>
      <c r="J22" s="41" t="str">
        <f aca="false">IF(OR($B22="",$H22=""),"",IF($H22&gt;DateRef,0,YEARFRAC($H22,DateRef,1)))</f>
        <v/>
      </c>
      <c r="K22" s="42" t="str">
        <f aca="false">IF(OR($B22="",$H22=""),"",IF(EDATE($H22,12)&lt;=DateRef,"Plus d'un an","Moins d'un an"))</f>
        <v/>
      </c>
      <c r="L22" s="40"/>
      <c r="M22" s="43" t="str">
        <f aca="false">IF(OR($B22="",$A22=""),"",IF(SUMPRODUCT(MAX((Journal!$A$6:$A$1005=$A22)*Journal!$C$6:$C$1005))=0,"",SUMPRODUCT(MAX((Journal!$A$6:$A$1005=$A22)*Journal!$C$6:$C$1005))))</f>
        <v/>
      </c>
      <c r="N22" s="43" t="str">
        <f aca="false">IF($B22="","",IF(MAX($L22,$M22)=0,"",MAX($L22,$M22)))</f>
        <v/>
      </c>
      <c r="O22" s="44" t="str">
        <f aca="false">IF(OR($B22="",$H22=""),"",IF($N22="",IF(EDATE($H22,DelaiPremierEPP)&gt;DateRef,"1er EPP (1re année)","Aucun entretien renseigné"),IF(AND(ReglesTransitoires="Oui",EDATE($N22,AnciennePeriodiciteEP*12)&lt;DateVigueur),"Retard antérieur à la réforme","Périodicité "&amp;PeriodiciteEPP&amp;" ans")))</f>
        <v/>
      </c>
      <c r="P22" s="43" t="str">
        <f aca="false">IF(OR($B22="",$H22=""),"",IF($N22="",EDATE($H22,DelaiPremierEPP),IF(AND(ReglesTransitoires="Oui",EDATE($N22,AnciennePeriodiciteEP*12)&lt;DateVigueur),EDATE($N22,AnciennePeriodiciteEP*12),EDATE($N22,PeriodiciteEPP*12))))</f>
        <v/>
      </c>
      <c r="Q22" s="40"/>
      <c r="R22" s="45" t="str">
        <f aca="false">IF(OR($P22="",AND($I22&lt;&gt;"",$I22&lt;=DateRef)),"",$P22-DateRef)</f>
        <v/>
      </c>
      <c r="S22" s="42" t="str">
        <f aca="false">IF($B22="","",IF(AND($I22&lt;&gt;"",$I22&lt;=DateRef),"Sorti",IF($H22="","À compléter",IF(AND($Q22&lt;&gt;"",$Q22&gt;=DateRef,$Q22&lt;=$P22),"Planifié",IF($R22&lt;0,"En retard",IF($R22&lt;=SeuilAlerteEPP,"À planifier","À jour"))))))</f>
        <v/>
      </c>
      <c r="T22" s="46" t="str">
        <f aca="false">IF(OR($B22="",$S22="Sorti"),"",MID(IF($H22=""," | Date d'embauche manquante","")&amp;IF(AND($K22="Plus d'un an",$N22="")," | Précédent entretien à renseigner (ancienneté &gt; 1 an)","")&amp;IF($O22="Retard antérieur à la réforme"," | Ancien délai de 2 ans expiré avant la réforme","")&amp;IF(AND($N22&lt;&gt;"",$H22&lt;&gt;"",$N22&lt;$H22)," | Entretien antérieur à l'embauche ?","")&amp;IF(AND($N22&lt;&gt;"",$N22&gt;DateRef)," | Entretien daté dans le futur ?","")&amp;IF(AND($Q22&lt;&gt;"",$P22&lt;&gt;"",$Q22&gt;$P22)," | Date prévue après l'échéance","")&amp;IF(AND($Q22&lt;&gt;"",$Q22&lt;DateRef,OR($N22="",$N22&lt;$Q22))," | Entretien prévu passé : le consigner au Journal","")&amp;IF(AND($G22&lt;&gt;"",$X22="",YEAR(DateRef)-YEAR($G22)&gt;=AgeMiCarriere-1,YEAR(DateRef)-YEAR($G22)&lt;=AgeMiCarriere+1)," | Visite de mi-carrière à vérifier",""),4,1000))</f>
        <v/>
      </c>
      <c r="U22" s="39"/>
      <c r="V22" s="40"/>
      <c r="W22" s="42" t="str">
        <f aca="false">IF(OR($B22="",$V22=""),"",IF(AND($I22&lt;&gt;"",$I22&lt;=DateRef),"",IF(AND($N22&lt;&gt;"",$N22&gt;=$V22),"Réalisé",IF(AND($N22&lt;&gt;"",$N22&gt;=EDATE($V22,-FenetreRetour)),"Dispensé (EPP récent)",IF($V22&gt;DateRef,"À prévoir à la reprise","À proposer (reprise passée)")))))</f>
        <v/>
      </c>
      <c r="X22" s="40"/>
      <c r="Y22" s="43" t="str">
        <f aca="false">IF(OR($B22="",$X22=""),"",EDATE($X22,DelaiMiCarriere))</f>
        <v/>
      </c>
      <c r="Z22" s="42" t="str">
        <f aca="false">IF(OR($B22="",$X22=""),"",IF(AND($I22&lt;&gt;"",$I22&lt;=DateRef),"",IF(AND($N22&lt;&gt;"",$N22&gt;=$X22),"Réalisé",IF($Y22&lt;DateRef,"En retard","À planifier"))))</f>
        <v/>
      </c>
      <c r="AA22" s="47" t="str">
        <f aca="false">IF(OR($B22="",$G22=""),"",IF($G22&gt;DateRef,"",DATEDIF($G22,DateRef,"y")))</f>
        <v/>
      </c>
      <c r="AB22" s="43" t="str">
        <f aca="false">IF(OR($B22="",$G22=""),"",EDATE($G22,AgeFinCarriere*12))</f>
        <v/>
      </c>
      <c r="AC22" s="42" t="str">
        <f aca="false">IF(OR($B22="",$G22="",$H22=""),"",IF(AND($I22&lt;&gt;"",$I22&lt;=DateRef),"",IF($AB22&lt;DateVigueur,"Non concerné",IF(AND($N22&lt;&gt;"",$N22&gt;=MAX(EDATE($AB22,-FenetreFinCarriere*12),DateVigueur),$N22&lt;=$AB22),"Réalisé",IF(DateRef&gt;$AB22,"Non réalisé",IF(AND($Q22&lt;&gt;"",$Q22&gt;=EDATE($AB22,-FenetreFinCarriere*12),$Q22&lt;=$AB22),"Planifié dans la fenêtre",IF(AND(MAX($P22,DateRef)&gt;=EDATE($AB22,-FenetreFinCarriere*12),MAX($P22,DateRef)&lt;=$AB22),"Prochain EPP dans la fenêtre",IF(MAX($P22,DateRef)&gt;$AB22,"À programmer avant 60 ans",""))))))))</f>
        <v/>
      </c>
      <c r="AD22" s="40"/>
      <c r="AE22" s="43" t="str">
        <f aca="false">IF(OR($B22="",$H22="",AND($I22&lt;&gt;"",$I22&lt;=DateRef)),"",MAX($H22,$AD22,IF($A22="",0,SUMPRODUCT(MAX((Journal!$A$6:$A$1005=$A22)*((Journal!$D$6:$D$1005=TypeEDL)+(Journal!$D$6:$D$1005=TypeBilan6))*Journal!$C$6:$C$1005)))))</f>
        <v/>
      </c>
      <c r="AF22" s="43" t="str">
        <f aca="false">IF($AE22="","",IF(AND(ReglesTransitoires="Oui",EDATE($AE22,AnciennePeriodiciteEDL*12)&lt;DateVigueur),EDATE($AE22,AnciennePeriodiciteEDL*12),EDATE($AE22,PeriodiciteEDL*12)))</f>
        <v/>
      </c>
      <c r="AG22" s="42" t="str">
        <f aca="false">IF($AF22="","",IF(AND($I22&lt;&gt;"",$I22&lt;=DateRef),"",IF($AF22&lt;DateRef,"En retard",IF($AF22-DateRef&lt;=SeuilAlerteEDL,"À prévoir","À jour"))))</f>
        <v/>
      </c>
      <c r="AH22" s="39"/>
      <c r="AI22" s="39"/>
      <c r="AJ22" s="42" t="str">
        <f aca="false">IF(OR($B22="",$H22=""),"",IF(AND($I22&lt;&gt;"",$I22&lt;=DateRef),"",IF(Effectif&lt;SeuilEffectif,"Non concerné (&lt; "&amp;SeuilEffectif&amp;" salariés)",IF($AH22="Oui","Pas de risque",IF(AND(OR($AI22="Non",$S22="En retard"),$AH22="Non"),"Risque abondement",IF(OR($AI22="Non",$S22="En retard"),"À vérifier (formation ?)",IF($AI22="Oui","Pas de risque","À compléter")))))))</f>
        <v/>
      </c>
      <c r="AK22" s="39"/>
    </row>
    <row r="23" customFormat="false" ht="15" hidden="false" customHeight="false" outlineLevel="0" collapsed="false">
      <c r="A23" s="39"/>
      <c r="B23" s="39"/>
      <c r="C23" s="39"/>
      <c r="D23" s="39"/>
      <c r="E23" s="39"/>
      <c r="F23" s="39"/>
      <c r="G23" s="40"/>
      <c r="H23" s="40"/>
      <c r="I23" s="40"/>
      <c r="J23" s="41" t="str">
        <f aca="false">IF(OR($B23="",$H23=""),"",IF($H23&gt;DateRef,0,YEARFRAC($H23,DateRef,1)))</f>
        <v/>
      </c>
      <c r="K23" s="42" t="str">
        <f aca="false">IF(OR($B23="",$H23=""),"",IF(EDATE($H23,12)&lt;=DateRef,"Plus d'un an","Moins d'un an"))</f>
        <v/>
      </c>
      <c r="L23" s="40"/>
      <c r="M23" s="43" t="str">
        <f aca="false">IF(OR($B23="",$A23=""),"",IF(SUMPRODUCT(MAX((Journal!$A$6:$A$1005=$A23)*Journal!$C$6:$C$1005))=0,"",SUMPRODUCT(MAX((Journal!$A$6:$A$1005=$A23)*Journal!$C$6:$C$1005))))</f>
        <v/>
      </c>
      <c r="N23" s="43" t="str">
        <f aca="false">IF($B23="","",IF(MAX($L23,$M23)=0,"",MAX($L23,$M23)))</f>
        <v/>
      </c>
      <c r="O23" s="44" t="str">
        <f aca="false">IF(OR($B23="",$H23=""),"",IF($N23="",IF(EDATE($H23,DelaiPremierEPP)&gt;DateRef,"1er EPP (1re année)","Aucun entretien renseigné"),IF(AND(ReglesTransitoires="Oui",EDATE($N23,AnciennePeriodiciteEP*12)&lt;DateVigueur),"Retard antérieur à la réforme","Périodicité "&amp;PeriodiciteEPP&amp;" ans")))</f>
        <v/>
      </c>
      <c r="P23" s="43" t="str">
        <f aca="false">IF(OR($B23="",$H23=""),"",IF($N23="",EDATE($H23,DelaiPremierEPP),IF(AND(ReglesTransitoires="Oui",EDATE($N23,AnciennePeriodiciteEP*12)&lt;DateVigueur),EDATE($N23,AnciennePeriodiciteEP*12),EDATE($N23,PeriodiciteEPP*12))))</f>
        <v/>
      </c>
      <c r="Q23" s="40"/>
      <c r="R23" s="45" t="str">
        <f aca="false">IF(OR($P23="",AND($I23&lt;&gt;"",$I23&lt;=DateRef)),"",$P23-DateRef)</f>
        <v/>
      </c>
      <c r="S23" s="42" t="str">
        <f aca="false">IF($B23="","",IF(AND($I23&lt;&gt;"",$I23&lt;=DateRef),"Sorti",IF($H23="","À compléter",IF(AND($Q23&lt;&gt;"",$Q23&gt;=DateRef,$Q23&lt;=$P23),"Planifié",IF($R23&lt;0,"En retard",IF($R23&lt;=SeuilAlerteEPP,"À planifier","À jour"))))))</f>
        <v/>
      </c>
      <c r="T23" s="46" t="str">
        <f aca="false">IF(OR($B23="",$S23="Sorti"),"",MID(IF($H23=""," | Date d'embauche manquante","")&amp;IF(AND($K23="Plus d'un an",$N23="")," | Précédent entretien à renseigner (ancienneté &gt; 1 an)","")&amp;IF($O23="Retard antérieur à la réforme"," | Ancien délai de 2 ans expiré avant la réforme","")&amp;IF(AND($N23&lt;&gt;"",$H23&lt;&gt;"",$N23&lt;$H23)," | Entretien antérieur à l'embauche ?","")&amp;IF(AND($N23&lt;&gt;"",$N23&gt;DateRef)," | Entretien daté dans le futur ?","")&amp;IF(AND($Q23&lt;&gt;"",$P23&lt;&gt;"",$Q23&gt;$P23)," | Date prévue après l'échéance","")&amp;IF(AND($Q23&lt;&gt;"",$Q23&lt;DateRef,OR($N23="",$N23&lt;$Q23))," | Entretien prévu passé : le consigner au Journal","")&amp;IF(AND($G23&lt;&gt;"",$X23="",YEAR(DateRef)-YEAR($G23)&gt;=AgeMiCarriere-1,YEAR(DateRef)-YEAR($G23)&lt;=AgeMiCarriere+1)," | Visite de mi-carrière à vérifier",""),4,1000))</f>
        <v/>
      </c>
      <c r="U23" s="39"/>
      <c r="V23" s="40"/>
      <c r="W23" s="42" t="str">
        <f aca="false">IF(OR($B23="",$V23=""),"",IF(AND($I23&lt;&gt;"",$I23&lt;=DateRef),"",IF(AND($N23&lt;&gt;"",$N23&gt;=$V23),"Réalisé",IF(AND($N23&lt;&gt;"",$N23&gt;=EDATE($V23,-FenetreRetour)),"Dispensé (EPP récent)",IF($V23&gt;DateRef,"À prévoir à la reprise","À proposer (reprise passée)")))))</f>
        <v/>
      </c>
      <c r="X23" s="40"/>
      <c r="Y23" s="43" t="str">
        <f aca="false">IF(OR($B23="",$X23=""),"",EDATE($X23,DelaiMiCarriere))</f>
        <v/>
      </c>
      <c r="Z23" s="42" t="str">
        <f aca="false">IF(OR($B23="",$X23=""),"",IF(AND($I23&lt;&gt;"",$I23&lt;=DateRef),"",IF(AND($N23&lt;&gt;"",$N23&gt;=$X23),"Réalisé",IF($Y23&lt;DateRef,"En retard","À planifier"))))</f>
        <v/>
      </c>
      <c r="AA23" s="47" t="str">
        <f aca="false">IF(OR($B23="",$G23=""),"",IF($G23&gt;DateRef,"",DATEDIF($G23,DateRef,"y")))</f>
        <v/>
      </c>
      <c r="AB23" s="43" t="str">
        <f aca="false">IF(OR($B23="",$G23=""),"",EDATE($G23,AgeFinCarriere*12))</f>
        <v/>
      </c>
      <c r="AC23" s="42" t="str">
        <f aca="false">IF(OR($B23="",$G23="",$H23=""),"",IF(AND($I23&lt;&gt;"",$I23&lt;=DateRef),"",IF($AB23&lt;DateVigueur,"Non concerné",IF(AND($N23&lt;&gt;"",$N23&gt;=MAX(EDATE($AB23,-FenetreFinCarriere*12),DateVigueur),$N23&lt;=$AB23),"Réalisé",IF(DateRef&gt;$AB23,"Non réalisé",IF(AND($Q23&lt;&gt;"",$Q23&gt;=EDATE($AB23,-FenetreFinCarriere*12),$Q23&lt;=$AB23),"Planifié dans la fenêtre",IF(AND(MAX($P23,DateRef)&gt;=EDATE($AB23,-FenetreFinCarriere*12),MAX($P23,DateRef)&lt;=$AB23),"Prochain EPP dans la fenêtre",IF(MAX($P23,DateRef)&gt;$AB23,"À programmer avant 60 ans",""))))))))</f>
        <v/>
      </c>
      <c r="AD23" s="40"/>
      <c r="AE23" s="43" t="str">
        <f aca="false">IF(OR($B23="",$H23="",AND($I23&lt;&gt;"",$I23&lt;=DateRef)),"",MAX($H23,$AD23,IF($A23="",0,SUMPRODUCT(MAX((Journal!$A$6:$A$1005=$A23)*((Journal!$D$6:$D$1005=TypeEDL)+(Journal!$D$6:$D$1005=TypeBilan6))*Journal!$C$6:$C$1005)))))</f>
        <v/>
      </c>
      <c r="AF23" s="43" t="str">
        <f aca="false">IF($AE23="","",IF(AND(ReglesTransitoires="Oui",EDATE($AE23,AnciennePeriodiciteEDL*12)&lt;DateVigueur),EDATE($AE23,AnciennePeriodiciteEDL*12),EDATE($AE23,PeriodiciteEDL*12)))</f>
        <v/>
      </c>
      <c r="AG23" s="42" t="str">
        <f aca="false">IF($AF23="","",IF(AND($I23&lt;&gt;"",$I23&lt;=DateRef),"",IF($AF23&lt;DateRef,"En retard",IF($AF23-DateRef&lt;=SeuilAlerteEDL,"À prévoir","À jour"))))</f>
        <v/>
      </c>
      <c r="AH23" s="39"/>
      <c r="AI23" s="39"/>
      <c r="AJ23" s="42" t="str">
        <f aca="false">IF(OR($B23="",$H23=""),"",IF(AND($I23&lt;&gt;"",$I23&lt;=DateRef),"",IF(Effectif&lt;SeuilEffectif,"Non concerné (&lt; "&amp;SeuilEffectif&amp;" salariés)",IF($AH23="Oui","Pas de risque",IF(AND(OR($AI23="Non",$S23="En retard"),$AH23="Non"),"Risque abondement",IF(OR($AI23="Non",$S23="En retard"),"À vérifier (formation ?)",IF($AI23="Oui","Pas de risque","À compléter")))))))</f>
        <v/>
      </c>
      <c r="AK23" s="39"/>
    </row>
    <row r="24" customFormat="false" ht="15" hidden="false" customHeight="false" outlineLevel="0" collapsed="false">
      <c r="A24" s="39"/>
      <c r="B24" s="39"/>
      <c r="C24" s="39"/>
      <c r="D24" s="39"/>
      <c r="E24" s="39"/>
      <c r="F24" s="39"/>
      <c r="G24" s="40"/>
      <c r="H24" s="40"/>
      <c r="I24" s="40"/>
      <c r="J24" s="41" t="str">
        <f aca="false">IF(OR($B24="",$H24=""),"",IF($H24&gt;DateRef,0,YEARFRAC($H24,DateRef,1)))</f>
        <v/>
      </c>
      <c r="K24" s="42" t="str">
        <f aca="false">IF(OR($B24="",$H24=""),"",IF(EDATE($H24,12)&lt;=DateRef,"Plus d'un an","Moins d'un an"))</f>
        <v/>
      </c>
      <c r="L24" s="40"/>
      <c r="M24" s="43" t="str">
        <f aca="false">IF(OR($B24="",$A24=""),"",IF(SUMPRODUCT(MAX((Journal!$A$6:$A$1005=$A24)*Journal!$C$6:$C$1005))=0,"",SUMPRODUCT(MAX((Journal!$A$6:$A$1005=$A24)*Journal!$C$6:$C$1005))))</f>
        <v/>
      </c>
      <c r="N24" s="43" t="str">
        <f aca="false">IF($B24="","",IF(MAX($L24,$M24)=0,"",MAX($L24,$M24)))</f>
        <v/>
      </c>
      <c r="O24" s="44" t="str">
        <f aca="false">IF(OR($B24="",$H24=""),"",IF($N24="",IF(EDATE($H24,DelaiPremierEPP)&gt;DateRef,"1er EPP (1re année)","Aucun entretien renseigné"),IF(AND(ReglesTransitoires="Oui",EDATE($N24,AnciennePeriodiciteEP*12)&lt;DateVigueur),"Retard antérieur à la réforme","Périodicité "&amp;PeriodiciteEPP&amp;" ans")))</f>
        <v/>
      </c>
      <c r="P24" s="43" t="str">
        <f aca="false">IF(OR($B24="",$H24=""),"",IF($N24="",EDATE($H24,DelaiPremierEPP),IF(AND(ReglesTransitoires="Oui",EDATE($N24,AnciennePeriodiciteEP*12)&lt;DateVigueur),EDATE($N24,AnciennePeriodiciteEP*12),EDATE($N24,PeriodiciteEPP*12))))</f>
        <v/>
      </c>
      <c r="Q24" s="40"/>
      <c r="R24" s="45" t="str">
        <f aca="false">IF(OR($P24="",AND($I24&lt;&gt;"",$I24&lt;=DateRef)),"",$P24-DateRef)</f>
        <v/>
      </c>
      <c r="S24" s="42" t="str">
        <f aca="false">IF($B24="","",IF(AND($I24&lt;&gt;"",$I24&lt;=DateRef),"Sorti",IF($H24="","À compléter",IF(AND($Q24&lt;&gt;"",$Q24&gt;=DateRef,$Q24&lt;=$P24),"Planifié",IF($R24&lt;0,"En retard",IF($R24&lt;=SeuilAlerteEPP,"À planifier","À jour"))))))</f>
        <v/>
      </c>
      <c r="T24" s="46" t="str">
        <f aca="false">IF(OR($B24="",$S24="Sorti"),"",MID(IF($H24=""," | Date d'embauche manquante","")&amp;IF(AND($K24="Plus d'un an",$N24="")," | Précédent entretien à renseigner (ancienneté &gt; 1 an)","")&amp;IF($O24="Retard antérieur à la réforme"," | Ancien délai de 2 ans expiré avant la réforme","")&amp;IF(AND($N24&lt;&gt;"",$H24&lt;&gt;"",$N24&lt;$H24)," | Entretien antérieur à l'embauche ?","")&amp;IF(AND($N24&lt;&gt;"",$N24&gt;DateRef)," | Entretien daté dans le futur ?","")&amp;IF(AND($Q24&lt;&gt;"",$P24&lt;&gt;"",$Q24&gt;$P24)," | Date prévue après l'échéance","")&amp;IF(AND($Q24&lt;&gt;"",$Q24&lt;DateRef,OR($N24="",$N24&lt;$Q24))," | Entretien prévu passé : le consigner au Journal","")&amp;IF(AND($G24&lt;&gt;"",$X24="",YEAR(DateRef)-YEAR($G24)&gt;=AgeMiCarriere-1,YEAR(DateRef)-YEAR($G24)&lt;=AgeMiCarriere+1)," | Visite de mi-carrière à vérifier",""),4,1000))</f>
        <v/>
      </c>
      <c r="U24" s="39"/>
      <c r="V24" s="40"/>
      <c r="W24" s="42" t="str">
        <f aca="false">IF(OR($B24="",$V24=""),"",IF(AND($I24&lt;&gt;"",$I24&lt;=DateRef),"",IF(AND($N24&lt;&gt;"",$N24&gt;=$V24),"Réalisé",IF(AND($N24&lt;&gt;"",$N24&gt;=EDATE($V24,-FenetreRetour)),"Dispensé (EPP récent)",IF($V24&gt;DateRef,"À prévoir à la reprise","À proposer (reprise passée)")))))</f>
        <v/>
      </c>
      <c r="X24" s="40"/>
      <c r="Y24" s="43" t="str">
        <f aca="false">IF(OR($B24="",$X24=""),"",EDATE($X24,DelaiMiCarriere))</f>
        <v/>
      </c>
      <c r="Z24" s="42" t="str">
        <f aca="false">IF(OR($B24="",$X24=""),"",IF(AND($I24&lt;&gt;"",$I24&lt;=DateRef),"",IF(AND($N24&lt;&gt;"",$N24&gt;=$X24),"Réalisé",IF($Y24&lt;DateRef,"En retard","À planifier"))))</f>
        <v/>
      </c>
      <c r="AA24" s="47" t="str">
        <f aca="false">IF(OR($B24="",$G24=""),"",IF($G24&gt;DateRef,"",DATEDIF($G24,DateRef,"y")))</f>
        <v/>
      </c>
      <c r="AB24" s="43" t="str">
        <f aca="false">IF(OR($B24="",$G24=""),"",EDATE($G24,AgeFinCarriere*12))</f>
        <v/>
      </c>
      <c r="AC24" s="42" t="str">
        <f aca="false">IF(OR($B24="",$G24="",$H24=""),"",IF(AND($I24&lt;&gt;"",$I24&lt;=DateRef),"",IF($AB24&lt;DateVigueur,"Non concerné",IF(AND($N24&lt;&gt;"",$N24&gt;=MAX(EDATE($AB24,-FenetreFinCarriere*12),DateVigueur),$N24&lt;=$AB24),"Réalisé",IF(DateRef&gt;$AB24,"Non réalisé",IF(AND($Q24&lt;&gt;"",$Q24&gt;=EDATE($AB24,-FenetreFinCarriere*12),$Q24&lt;=$AB24),"Planifié dans la fenêtre",IF(AND(MAX($P24,DateRef)&gt;=EDATE($AB24,-FenetreFinCarriere*12),MAX($P24,DateRef)&lt;=$AB24),"Prochain EPP dans la fenêtre",IF(MAX($P24,DateRef)&gt;$AB24,"À programmer avant 60 ans",""))))))))</f>
        <v/>
      </c>
      <c r="AD24" s="40"/>
      <c r="AE24" s="43" t="str">
        <f aca="false">IF(OR($B24="",$H24="",AND($I24&lt;&gt;"",$I24&lt;=DateRef)),"",MAX($H24,$AD24,IF($A24="",0,SUMPRODUCT(MAX((Journal!$A$6:$A$1005=$A24)*((Journal!$D$6:$D$1005=TypeEDL)+(Journal!$D$6:$D$1005=TypeBilan6))*Journal!$C$6:$C$1005)))))</f>
        <v/>
      </c>
      <c r="AF24" s="43" t="str">
        <f aca="false">IF($AE24="","",IF(AND(ReglesTransitoires="Oui",EDATE($AE24,AnciennePeriodiciteEDL*12)&lt;DateVigueur),EDATE($AE24,AnciennePeriodiciteEDL*12),EDATE($AE24,PeriodiciteEDL*12)))</f>
        <v/>
      </c>
      <c r="AG24" s="42" t="str">
        <f aca="false">IF($AF24="","",IF(AND($I24&lt;&gt;"",$I24&lt;=DateRef),"",IF($AF24&lt;DateRef,"En retard",IF($AF24-DateRef&lt;=SeuilAlerteEDL,"À prévoir","À jour"))))</f>
        <v/>
      </c>
      <c r="AH24" s="39"/>
      <c r="AI24" s="39"/>
      <c r="AJ24" s="42" t="str">
        <f aca="false">IF(OR($B24="",$H24=""),"",IF(AND($I24&lt;&gt;"",$I24&lt;=DateRef),"",IF(Effectif&lt;SeuilEffectif,"Non concerné (&lt; "&amp;SeuilEffectif&amp;" salariés)",IF($AH24="Oui","Pas de risque",IF(AND(OR($AI24="Non",$S24="En retard"),$AH24="Non"),"Risque abondement",IF(OR($AI24="Non",$S24="En retard"),"À vérifier (formation ?)",IF($AI24="Oui","Pas de risque","À compléter")))))))</f>
        <v/>
      </c>
      <c r="AK24" s="39"/>
    </row>
    <row r="25" customFormat="false" ht="15" hidden="false" customHeight="false" outlineLevel="0" collapsed="false">
      <c r="A25" s="39"/>
      <c r="B25" s="39"/>
      <c r="C25" s="39"/>
      <c r="D25" s="39"/>
      <c r="E25" s="39"/>
      <c r="F25" s="39"/>
      <c r="G25" s="40"/>
      <c r="H25" s="40"/>
      <c r="I25" s="40"/>
      <c r="J25" s="41" t="str">
        <f aca="false">IF(OR($B25="",$H25=""),"",IF($H25&gt;DateRef,0,YEARFRAC($H25,DateRef,1)))</f>
        <v/>
      </c>
      <c r="K25" s="42" t="str">
        <f aca="false">IF(OR($B25="",$H25=""),"",IF(EDATE($H25,12)&lt;=DateRef,"Plus d'un an","Moins d'un an"))</f>
        <v/>
      </c>
      <c r="L25" s="40"/>
      <c r="M25" s="43" t="str">
        <f aca="false">IF(OR($B25="",$A25=""),"",IF(SUMPRODUCT(MAX((Journal!$A$6:$A$1005=$A25)*Journal!$C$6:$C$1005))=0,"",SUMPRODUCT(MAX((Journal!$A$6:$A$1005=$A25)*Journal!$C$6:$C$1005))))</f>
        <v/>
      </c>
      <c r="N25" s="43" t="str">
        <f aca="false">IF($B25="","",IF(MAX($L25,$M25)=0,"",MAX($L25,$M25)))</f>
        <v/>
      </c>
      <c r="O25" s="44" t="str">
        <f aca="false">IF(OR($B25="",$H25=""),"",IF($N25="",IF(EDATE($H25,DelaiPremierEPP)&gt;DateRef,"1er EPP (1re année)","Aucun entretien renseigné"),IF(AND(ReglesTransitoires="Oui",EDATE($N25,AnciennePeriodiciteEP*12)&lt;DateVigueur),"Retard antérieur à la réforme","Périodicité "&amp;PeriodiciteEPP&amp;" ans")))</f>
        <v/>
      </c>
      <c r="P25" s="43" t="str">
        <f aca="false">IF(OR($B25="",$H25=""),"",IF($N25="",EDATE($H25,DelaiPremierEPP),IF(AND(ReglesTransitoires="Oui",EDATE($N25,AnciennePeriodiciteEP*12)&lt;DateVigueur),EDATE($N25,AnciennePeriodiciteEP*12),EDATE($N25,PeriodiciteEPP*12))))</f>
        <v/>
      </c>
      <c r="Q25" s="40"/>
      <c r="R25" s="45" t="str">
        <f aca="false">IF(OR($P25="",AND($I25&lt;&gt;"",$I25&lt;=DateRef)),"",$P25-DateRef)</f>
        <v/>
      </c>
      <c r="S25" s="42" t="str">
        <f aca="false">IF($B25="","",IF(AND($I25&lt;&gt;"",$I25&lt;=DateRef),"Sorti",IF($H25="","À compléter",IF(AND($Q25&lt;&gt;"",$Q25&gt;=DateRef,$Q25&lt;=$P25),"Planifié",IF($R25&lt;0,"En retard",IF($R25&lt;=SeuilAlerteEPP,"À planifier","À jour"))))))</f>
        <v/>
      </c>
      <c r="T25" s="46" t="str">
        <f aca="false">IF(OR($B25="",$S25="Sorti"),"",MID(IF($H25=""," | Date d'embauche manquante","")&amp;IF(AND($K25="Plus d'un an",$N25="")," | Précédent entretien à renseigner (ancienneté &gt; 1 an)","")&amp;IF($O25="Retard antérieur à la réforme"," | Ancien délai de 2 ans expiré avant la réforme","")&amp;IF(AND($N25&lt;&gt;"",$H25&lt;&gt;"",$N25&lt;$H25)," | Entretien antérieur à l'embauche ?","")&amp;IF(AND($N25&lt;&gt;"",$N25&gt;DateRef)," | Entretien daté dans le futur ?","")&amp;IF(AND($Q25&lt;&gt;"",$P25&lt;&gt;"",$Q25&gt;$P25)," | Date prévue après l'échéance","")&amp;IF(AND($Q25&lt;&gt;"",$Q25&lt;DateRef,OR($N25="",$N25&lt;$Q25))," | Entretien prévu passé : le consigner au Journal","")&amp;IF(AND($G25&lt;&gt;"",$X25="",YEAR(DateRef)-YEAR($G25)&gt;=AgeMiCarriere-1,YEAR(DateRef)-YEAR($G25)&lt;=AgeMiCarriere+1)," | Visite de mi-carrière à vérifier",""),4,1000))</f>
        <v/>
      </c>
      <c r="U25" s="39"/>
      <c r="V25" s="40"/>
      <c r="W25" s="42" t="str">
        <f aca="false">IF(OR($B25="",$V25=""),"",IF(AND($I25&lt;&gt;"",$I25&lt;=DateRef),"",IF(AND($N25&lt;&gt;"",$N25&gt;=$V25),"Réalisé",IF(AND($N25&lt;&gt;"",$N25&gt;=EDATE($V25,-FenetreRetour)),"Dispensé (EPP récent)",IF($V25&gt;DateRef,"À prévoir à la reprise","À proposer (reprise passée)")))))</f>
        <v/>
      </c>
      <c r="X25" s="40"/>
      <c r="Y25" s="43" t="str">
        <f aca="false">IF(OR($B25="",$X25=""),"",EDATE($X25,DelaiMiCarriere))</f>
        <v/>
      </c>
      <c r="Z25" s="42" t="str">
        <f aca="false">IF(OR($B25="",$X25=""),"",IF(AND($I25&lt;&gt;"",$I25&lt;=DateRef),"",IF(AND($N25&lt;&gt;"",$N25&gt;=$X25),"Réalisé",IF($Y25&lt;DateRef,"En retard","À planifier"))))</f>
        <v/>
      </c>
      <c r="AA25" s="47" t="str">
        <f aca="false">IF(OR($B25="",$G25=""),"",IF($G25&gt;DateRef,"",DATEDIF($G25,DateRef,"y")))</f>
        <v/>
      </c>
      <c r="AB25" s="43" t="str">
        <f aca="false">IF(OR($B25="",$G25=""),"",EDATE($G25,AgeFinCarriere*12))</f>
        <v/>
      </c>
      <c r="AC25" s="42" t="str">
        <f aca="false">IF(OR($B25="",$G25="",$H25=""),"",IF(AND($I25&lt;&gt;"",$I25&lt;=DateRef),"",IF($AB25&lt;DateVigueur,"Non concerné",IF(AND($N25&lt;&gt;"",$N25&gt;=MAX(EDATE($AB25,-FenetreFinCarriere*12),DateVigueur),$N25&lt;=$AB25),"Réalisé",IF(DateRef&gt;$AB25,"Non réalisé",IF(AND($Q25&lt;&gt;"",$Q25&gt;=EDATE($AB25,-FenetreFinCarriere*12),$Q25&lt;=$AB25),"Planifié dans la fenêtre",IF(AND(MAX($P25,DateRef)&gt;=EDATE($AB25,-FenetreFinCarriere*12),MAX($P25,DateRef)&lt;=$AB25),"Prochain EPP dans la fenêtre",IF(MAX($P25,DateRef)&gt;$AB25,"À programmer avant 60 ans",""))))))))</f>
        <v/>
      </c>
      <c r="AD25" s="40"/>
      <c r="AE25" s="43" t="str">
        <f aca="false">IF(OR($B25="",$H25="",AND($I25&lt;&gt;"",$I25&lt;=DateRef)),"",MAX($H25,$AD25,IF($A25="",0,SUMPRODUCT(MAX((Journal!$A$6:$A$1005=$A25)*((Journal!$D$6:$D$1005=TypeEDL)+(Journal!$D$6:$D$1005=TypeBilan6))*Journal!$C$6:$C$1005)))))</f>
        <v/>
      </c>
      <c r="AF25" s="43" t="str">
        <f aca="false">IF($AE25="","",IF(AND(ReglesTransitoires="Oui",EDATE($AE25,AnciennePeriodiciteEDL*12)&lt;DateVigueur),EDATE($AE25,AnciennePeriodiciteEDL*12),EDATE($AE25,PeriodiciteEDL*12)))</f>
        <v/>
      </c>
      <c r="AG25" s="42" t="str">
        <f aca="false">IF($AF25="","",IF(AND($I25&lt;&gt;"",$I25&lt;=DateRef),"",IF($AF25&lt;DateRef,"En retard",IF($AF25-DateRef&lt;=SeuilAlerteEDL,"À prévoir","À jour"))))</f>
        <v/>
      </c>
      <c r="AH25" s="39"/>
      <c r="AI25" s="39"/>
      <c r="AJ25" s="42" t="str">
        <f aca="false">IF(OR($B25="",$H25=""),"",IF(AND($I25&lt;&gt;"",$I25&lt;=DateRef),"",IF(Effectif&lt;SeuilEffectif,"Non concerné (&lt; "&amp;SeuilEffectif&amp;" salariés)",IF($AH25="Oui","Pas de risque",IF(AND(OR($AI25="Non",$S25="En retard"),$AH25="Non"),"Risque abondement",IF(OR($AI25="Non",$S25="En retard"),"À vérifier (formation ?)",IF($AI25="Oui","Pas de risque","À compléter")))))))</f>
        <v/>
      </c>
      <c r="AK25" s="39"/>
    </row>
    <row r="26" customFormat="false" ht="15" hidden="false" customHeight="false" outlineLevel="0" collapsed="false">
      <c r="A26" s="39"/>
      <c r="B26" s="39"/>
      <c r="C26" s="39"/>
      <c r="D26" s="39"/>
      <c r="E26" s="39"/>
      <c r="F26" s="39"/>
      <c r="G26" s="40"/>
      <c r="H26" s="40"/>
      <c r="I26" s="40"/>
      <c r="J26" s="41" t="str">
        <f aca="false">IF(OR($B26="",$H26=""),"",IF($H26&gt;DateRef,0,YEARFRAC($H26,DateRef,1)))</f>
        <v/>
      </c>
      <c r="K26" s="42" t="str">
        <f aca="false">IF(OR($B26="",$H26=""),"",IF(EDATE($H26,12)&lt;=DateRef,"Plus d'un an","Moins d'un an"))</f>
        <v/>
      </c>
      <c r="L26" s="40"/>
      <c r="M26" s="43" t="str">
        <f aca="false">IF(OR($B26="",$A26=""),"",IF(SUMPRODUCT(MAX((Journal!$A$6:$A$1005=$A26)*Journal!$C$6:$C$1005))=0,"",SUMPRODUCT(MAX((Journal!$A$6:$A$1005=$A26)*Journal!$C$6:$C$1005))))</f>
        <v/>
      </c>
      <c r="N26" s="43" t="str">
        <f aca="false">IF($B26="","",IF(MAX($L26,$M26)=0,"",MAX($L26,$M26)))</f>
        <v/>
      </c>
      <c r="O26" s="44" t="str">
        <f aca="false">IF(OR($B26="",$H26=""),"",IF($N26="",IF(EDATE($H26,DelaiPremierEPP)&gt;DateRef,"1er EPP (1re année)","Aucun entretien renseigné"),IF(AND(ReglesTransitoires="Oui",EDATE($N26,AnciennePeriodiciteEP*12)&lt;DateVigueur),"Retard antérieur à la réforme","Périodicité "&amp;PeriodiciteEPP&amp;" ans")))</f>
        <v/>
      </c>
      <c r="P26" s="43" t="str">
        <f aca="false">IF(OR($B26="",$H26=""),"",IF($N26="",EDATE($H26,DelaiPremierEPP),IF(AND(ReglesTransitoires="Oui",EDATE($N26,AnciennePeriodiciteEP*12)&lt;DateVigueur),EDATE($N26,AnciennePeriodiciteEP*12),EDATE($N26,PeriodiciteEPP*12))))</f>
        <v/>
      </c>
      <c r="Q26" s="40"/>
      <c r="R26" s="45" t="str">
        <f aca="false">IF(OR($P26="",AND($I26&lt;&gt;"",$I26&lt;=DateRef)),"",$P26-DateRef)</f>
        <v/>
      </c>
      <c r="S26" s="42" t="str">
        <f aca="false">IF($B26="","",IF(AND($I26&lt;&gt;"",$I26&lt;=DateRef),"Sorti",IF($H26="","À compléter",IF(AND($Q26&lt;&gt;"",$Q26&gt;=DateRef,$Q26&lt;=$P26),"Planifié",IF($R26&lt;0,"En retard",IF($R26&lt;=SeuilAlerteEPP,"À planifier","À jour"))))))</f>
        <v/>
      </c>
      <c r="T26" s="46" t="str">
        <f aca="false">IF(OR($B26="",$S26="Sorti"),"",MID(IF($H26=""," | Date d'embauche manquante","")&amp;IF(AND($K26="Plus d'un an",$N26="")," | Précédent entretien à renseigner (ancienneté &gt; 1 an)","")&amp;IF($O26="Retard antérieur à la réforme"," | Ancien délai de 2 ans expiré avant la réforme","")&amp;IF(AND($N26&lt;&gt;"",$H26&lt;&gt;"",$N26&lt;$H26)," | Entretien antérieur à l'embauche ?","")&amp;IF(AND($N26&lt;&gt;"",$N26&gt;DateRef)," | Entretien daté dans le futur ?","")&amp;IF(AND($Q26&lt;&gt;"",$P26&lt;&gt;"",$Q26&gt;$P26)," | Date prévue après l'échéance","")&amp;IF(AND($Q26&lt;&gt;"",$Q26&lt;DateRef,OR($N26="",$N26&lt;$Q26))," | Entretien prévu passé : le consigner au Journal","")&amp;IF(AND($G26&lt;&gt;"",$X26="",YEAR(DateRef)-YEAR($G26)&gt;=AgeMiCarriere-1,YEAR(DateRef)-YEAR($G26)&lt;=AgeMiCarriere+1)," | Visite de mi-carrière à vérifier",""),4,1000))</f>
        <v/>
      </c>
      <c r="U26" s="39"/>
      <c r="V26" s="40"/>
      <c r="W26" s="42" t="str">
        <f aca="false">IF(OR($B26="",$V26=""),"",IF(AND($I26&lt;&gt;"",$I26&lt;=DateRef),"",IF(AND($N26&lt;&gt;"",$N26&gt;=$V26),"Réalisé",IF(AND($N26&lt;&gt;"",$N26&gt;=EDATE($V26,-FenetreRetour)),"Dispensé (EPP récent)",IF($V26&gt;DateRef,"À prévoir à la reprise","À proposer (reprise passée)")))))</f>
        <v/>
      </c>
      <c r="X26" s="40"/>
      <c r="Y26" s="43" t="str">
        <f aca="false">IF(OR($B26="",$X26=""),"",EDATE($X26,DelaiMiCarriere))</f>
        <v/>
      </c>
      <c r="Z26" s="42" t="str">
        <f aca="false">IF(OR($B26="",$X26=""),"",IF(AND($I26&lt;&gt;"",$I26&lt;=DateRef),"",IF(AND($N26&lt;&gt;"",$N26&gt;=$X26),"Réalisé",IF($Y26&lt;DateRef,"En retard","À planifier"))))</f>
        <v/>
      </c>
      <c r="AA26" s="47" t="str">
        <f aca="false">IF(OR($B26="",$G26=""),"",IF($G26&gt;DateRef,"",DATEDIF($G26,DateRef,"y")))</f>
        <v/>
      </c>
      <c r="AB26" s="43" t="str">
        <f aca="false">IF(OR($B26="",$G26=""),"",EDATE($G26,AgeFinCarriere*12))</f>
        <v/>
      </c>
      <c r="AC26" s="42" t="str">
        <f aca="false">IF(OR($B26="",$G26="",$H26=""),"",IF(AND($I26&lt;&gt;"",$I26&lt;=DateRef),"",IF($AB26&lt;DateVigueur,"Non concerné",IF(AND($N26&lt;&gt;"",$N26&gt;=MAX(EDATE($AB26,-FenetreFinCarriere*12),DateVigueur),$N26&lt;=$AB26),"Réalisé",IF(DateRef&gt;$AB26,"Non réalisé",IF(AND($Q26&lt;&gt;"",$Q26&gt;=EDATE($AB26,-FenetreFinCarriere*12),$Q26&lt;=$AB26),"Planifié dans la fenêtre",IF(AND(MAX($P26,DateRef)&gt;=EDATE($AB26,-FenetreFinCarriere*12),MAX($P26,DateRef)&lt;=$AB26),"Prochain EPP dans la fenêtre",IF(MAX($P26,DateRef)&gt;$AB26,"À programmer avant 60 ans",""))))))))</f>
        <v/>
      </c>
      <c r="AD26" s="40"/>
      <c r="AE26" s="43" t="str">
        <f aca="false">IF(OR($B26="",$H26="",AND($I26&lt;&gt;"",$I26&lt;=DateRef)),"",MAX($H26,$AD26,IF($A26="",0,SUMPRODUCT(MAX((Journal!$A$6:$A$1005=$A26)*((Journal!$D$6:$D$1005=TypeEDL)+(Journal!$D$6:$D$1005=TypeBilan6))*Journal!$C$6:$C$1005)))))</f>
        <v/>
      </c>
      <c r="AF26" s="43" t="str">
        <f aca="false">IF($AE26="","",IF(AND(ReglesTransitoires="Oui",EDATE($AE26,AnciennePeriodiciteEDL*12)&lt;DateVigueur),EDATE($AE26,AnciennePeriodiciteEDL*12),EDATE($AE26,PeriodiciteEDL*12)))</f>
        <v/>
      </c>
      <c r="AG26" s="42" t="str">
        <f aca="false">IF($AF26="","",IF(AND($I26&lt;&gt;"",$I26&lt;=DateRef),"",IF($AF26&lt;DateRef,"En retard",IF($AF26-DateRef&lt;=SeuilAlerteEDL,"À prévoir","À jour"))))</f>
        <v/>
      </c>
      <c r="AH26" s="39"/>
      <c r="AI26" s="39"/>
      <c r="AJ26" s="42" t="str">
        <f aca="false">IF(OR($B26="",$H26=""),"",IF(AND($I26&lt;&gt;"",$I26&lt;=DateRef),"",IF(Effectif&lt;SeuilEffectif,"Non concerné (&lt; "&amp;SeuilEffectif&amp;" salariés)",IF($AH26="Oui","Pas de risque",IF(AND(OR($AI26="Non",$S26="En retard"),$AH26="Non"),"Risque abondement",IF(OR($AI26="Non",$S26="En retard"),"À vérifier (formation ?)",IF($AI26="Oui","Pas de risque","À compléter")))))))</f>
        <v/>
      </c>
      <c r="AK26" s="39"/>
    </row>
    <row r="27" customFormat="false" ht="15" hidden="false" customHeight="false" outlineLevel="0" collapsed="false">
      <c r="A27" s="39"/>
      <c r="B27" s="39"/>
      <c r="C27" s="39"/>
      <c r="D27" s="39"/>
      <c r="E27" s="39"/>
      <c r="F27" s="39"/>
      <c r="G27" s="40"/>
      <c r="H27" s="40"/>
      <c r="I27" s="40"/>
      <c r="J27" s="41" t="str">
        <f aca="false">IF(OR($B27="",$H27=""),"",IF($H27&gt;DateRef,0,YEARFRAC($H27,DateRef,1)))</f>
        <v/>
      </c>
      <c r="K27" s="42" t="str">
        <f aca="false">IF(OR($B27="",$H27=""),"",IF(EDATE($H27,12)&lt;=DateRef,"Plus d'un an","Moins d'un an"))</f>
        <v/>
      </c>
      <c r="L27" s="40"/>
      <c r="M27" s="43" t="str">
        <f aca="false">IF(OR($B27="",$A27=""),"",IF(SUMPRODUCT(MAX((Journal!$A$6:$A$1005=$A27)*Journal!$C$6:$C$1005))=0,"",SUMPRODUCT(MAX((Journal!$A$6:$A$1005=$A27)*Journal!$C$6:$C$1005))))</f>
        <v/>
      </c>
      <c r="N27" s="43" t="str">
        <f aca="false">IF($B27="","",IF(MAX($L27,$M27)=0,"",MAX($L27,$M27)))</f>
        <v/>
      </c>
      <c r="O27" s="44" t="str">
        <f aca="false">IF(OR($B27="",$H27=""),"",IF($N27="",IF(EDATE($H27,DelaiPremierEPP)&gt;DateRef,"1er EPP (1re année)","Aucun entretien renseigné"),IF(AND(ReglesTransitoires="Oui",EDATE($N27,AnciennePeriodiciteEP*12)&lt;DateVigueur),"Retard antérieur à la réforme","Périodicité "&amp;PeriodiciteEPP&amp;" ans")))</f>
        <v/>
      </c>
      <c r="P27" s="43" t="str">
        <f aca="false">IF(OR($B27="",$H27=""),"",IF($N27="",EDATE($H27,DelaiPremierEPP),IF(AND(ReglesTransitoires="Oui",EDATE($N27,AnciennePeriodiciteEP*12)&lt;DateVigueur),EDATE($N27,AnciennePeriodiciteEP*12),EDATE($N27,PeriodiciteEPP*12))))</f>
        <v/>
      </c>
      <c r="Q27" s="40"/>
      <c r="R27" s="45" t="str">
        <f aca="false">IF(OR($P27="",AND($I27&lt;&gt;"",$I27&lt;=DateRef)),"",$P27-DateRef)</f>
        <v/>
      </c>
      <c r="S27" s="42" t="str">
        <f aca="false">IF($B27="","",IF(AND($I27&lt;&gt;"",$I27&lt;=DateRef),"Sorti",IF($H27="","À compléter",IF(AND($Q27&lt;&gt;"",$Q27&gt;=DateRef,$Q27&lt;=$P27),"Planifié",IF($R27&lt;0,"En retard",IF($R27&lt;=SeuilAlerteEPP,"À planifier","À jour"))))))</f>
        <v/>
      </c>
      <c r="T27" s="46" t="str">
        <f aca="false">IF(OR($B27="",$S27="Sorti"),"",MID(IF($H27=""," | Date d'embauche manquante","")&amp;IF(AND($K27="Plus d'un an",$N27="")," | Précédent entretien à renseigner (ancienneté &gt; 1 an)","")&amp;IF($O27="Retard antérieur à la réforme"," | Ancien délai de 2 ans expiré avant la réforme","")&amp;IF(AND($N27&lt;&gt;"",$H27&lt;&gt;"",$N27&lt;$H27)," | Entretien antérieur à l'embauche ?","")&amp;IF(AND($N27&lt;&gt;"",$N27&gt;DateRef)," | Entretien daté dans le futur ?","")&amp;IF(AND($Q27&lt;&gt;"",$P27&lt;&gt;"",$Q27&gt;$P27)," | Date prévue après l'échéance","")&amp;IF(AND($Q27&lt;&gt;"",$Q27&lt;DateRef,OR($N27="",$N27&lt;$Q27))," | Entretien prévu passé : le consigner au Journal","")&amp;IF(AND($G27&lt;&gt;"",$X27="",YEAR(DateRef)-YEAR($G27)&gt;=AgeMiCarriere-1,YEAR(DateRef)-YEAR($G27)&lt;=AgeMiCarriere+1)," | Visite de mi-carrière à vérifier",""),4,1000))</f>
        <v/>
      </c>
      <c r="U27" s="39"/>
      <c r="V27" s="40"/>
      <c r="W27" s="42" t="str">
        <f aca="false">IF(OR($B27="",$V27=""),"",IF(AND($I27&lt;&gt;"",$I27&lt;=DateRef),"",IF(AND($N27&lt;&gt;"",$N27&gt;=$V27),"Réalisé",IF(AND($N27&lt;&gt;"",$N27&gt;=EDATE($V27,-FenetreRetour)),"Dispensé (EPP récent)",IF($V27&gt;DateRef,"À prévoir à la reprise","À proposer (reprise passée)")))))</f>
        <v/>
      </c>
      <c r="X27" s="40"/>
      <c r="Y27" s="43" t="str">
        <f aca="false">IF(OR($B27="",$X27=""),"",EDATE($X27,DelaiMiCarriere))</f>
        <v/>
      </c>
      <c r="Z27" s="42" t="str">
        <f aca="false">IF(OR($B27="",$X27=""),"",IF(AND($I27&lt;&gt;"",$I27&lt;=DateRef),"",IF(AND($N27&lt;&gt;"",$N27&gt;=$X27),"Réalisé",IF($Y27&lt;DateRef,"En retard","À planifier"))))</f>
        <v/>
      </c>
      <c r="AA27" s="47" t="str">
        <f aca="false">IF(OR($B27="",$G27=""),"",IF($G27&gt;DateRef,"",DATEDIF($G27,DateRef,"y")))</f>
        <v/>
      </c>
      <c r="AB27" s="43" t="str">
        <f aca="false">IF(OR($B27="",$G27=""),"",EDATE($G27,AgeFinCarriere*12))</f>
        <v/>
      </c>
      <c r="AC27" s="42" t="str">
        <f aca="false">IF(OR($B27="",$G27="",$H27=""),"",IF(AND($I27&lt;&gt;"",$I27&lt;=DateRef),"",IF($AB27&lt;DateVigueur,"Non concerné",IF(AND($N27&lt;&gt;"",$N27&gt;=MAX(EDATE($AB27,-FenetreFinCarriere*12),DateVigueur),$N27&lt;=$AB27),"Réalisé",IF(DateRef&gt;$AB27,"Non réalisé",IF(AND($Q27&lt;&gt;"",$Q27&gt;=EDATE($AB27,-FenetreFinCarriere*12),$Q27&lt;=$AB27),"Planifié dans la fenêtre",IF(AND(MAX($P27,DateRef)&gt;=EDATE($AB27,-FenetreFinCarriere*12),MAX($P27,DateRef)&lt;=$AB27),"Prochain EPP dans la fenêtre",IF(MAX($P27,DateRef)&gt;$AB27,"À programmer avant 60 ans",""))))))))</f>
        <v/>
      </c>
      <c r="AD27" s="40"/>
      <c r="AE27" s="43" t="str">
        <f aca="false">IF(OR($B27="",$H27="",AND($I27&lt;&gt;"",$I27&lt;=DateRef)),"",MAX($H27,$AD27,IF($A27="",0,SUMPRODUCT(MAX((Journal!$A$6:$A$1005=$A27)*((Journal!$D$6:$D$1005=TypeEDL)+(Journal!$D$6:$D$1005=TypeBilan6))*Journal!$C$6:$C$1005)))))</f>
        <v/>
      </c>
      <c r="AF27" s="43" t="str">
        <f aca="false">IF($AE27="","",IF(AND(ReglesTransitoires="Oui",EDATE($AE27,AnciennePeriodiciteEDL*12)&lt;DateVigueur),EDATE($AE27,AnciennePeriodiciteEDL*12),EDATE($AE27,PeriodiciteEDL*12)))</f>
        <v/>
      </c>
      <c r="AG27" s="42" t="str">
        <f aca="false">IF($AF27="","",IF(AND($I27&lt;&gt;"",$I27&lt;=DateRef),"",IF($AF27&lt;DateRef,"En retard",IF($AF27-DateRef&lt;=SeuilAlerteEDL,"À prévoir","À jour"))))</f>
        <v/>
      </c>
      <c r="AH27" s="39"/>
      <c r="AI27" s="39"/>
      <c r="AJ27" s="42" t="str">
        <f aca="false">IF(OR($B27="",$H27=""),"",IF(AND($I27&lt;&gt;"",$I27&lt;=DateRef),"",IF(Effectif&lt;SeuilEffectif,"Non concerné (&lt; "&amp;SeuilEffectif&amp;" salariés)",IF($AH27="Oui","Pas de risque",IF(AND(OR($AI27="Non",$S27="En retard"),$AH27="Non"),"Risque abondement",IF(OR($AI27="Non",$S27="En retard"),"À vérifier (formation ?)",IF($AI27="Oui","Pas de risque","À compléter")))))))</f>
        <v/>
      </c>
      <c r="AK27" s="39"/>
    </row>
    <row r="28" customFormat="false" ht="15" hidden="false" customHeight="false" outlineLevel="0" collapsed="false">
      <c r="A28" s="39"/>
      <c r="B28" s="39"/>
      <c r="C28" s="39"/>
      <c r="D28" s="39"/>
      <c r="E28" s="39"/>
      <c r="F28" s="39"/>
      <c r="G28" s="40"/>
      <c r="H28" s="40"/>
      <c r="I28" s="40"/>
      <c r="J28" s="41" t="str">
        <f aca="false">IF(OR($B28="",$H28=""),"",IF($H28&gt;DateRef,0,YEARFRAC($H28,DateRef,1)))</f>
        <v/>
      </c>
      <c r="K28" s="42" t="str">
        <f aca="false">IF(OR($B28="",$H28=""),"",IF(EDATE($H28,12)&lt;=DateRef,"Plus d'un an","Moins d'un an"))</f>
        <v/>
      </c>
      <c r="L28" s="40"/>
      <c r="M28" s="43" t="str">
        <f aca="false">IF(OR($B28="",$A28=""),"",IF(SUMPRODUCT(MAX((Journal!$A$6:$A$1005=$A28)*Journal!$C$6:$C$1005))=0,"",SUMPRODUCT(MAX((Journal!$A$6:$A$1005=$A28)*Journal!$C$6:$C$1005))))</f>
        <v/>
      </c>
      <c r="N28" s="43" t="str">
        <f aca="false">IF($B28="","",IF(MAX($L28,$M28)=0,"",MAX($L28,$M28)))</f>
        <v/>
      </c>
      <c r="O28" s="44" t="str">
        <f aca="false">IF(OR($B28="",$H28=""),"",IF($N28="",IF(EDATE($H28,DelaiPremierEPP)&gt;DateRef,"1er EPP (1re année)","Aucun entretien renseigné"),IF(AND(ReglesTransitoires="Oui",EDATE($N28,AnciennePeriodiciteEP*12)&lt;DateVigueur),"Retard antérieur à la réforme","Périodicité "&amp;PeriodiciteEPP&amp;" ans")))</f>
        <v/>
      </c>
      <c r="P28" s="43" t="str">
        <f aca="false">IF(OR($B28="",$H28=""),"",IF($N28="",EDATE($H28,DelaiPremierEPP),IF(AND(ReglesTransitoires="Oui",EDATE($N28,AnciennePeriodiciteEP*12)&lt;DateVigueur),EDATE($N28,AnciennePeriodiciteEP*12),EDATE($N28,PeriodiciteEPP*12))))</f>
        <v/>
      </c>
      <c r="Q28" s="40"/>
      <c r="R28" s="45" t="str">
        <f aca="false">IF(OR($P28="",AND($I28&lt;&gt;"",$I28&lt;=DateRef)),"",$P28-DateRef)</f>
        <v/>
      </c>
      <c r="S28" s="42" t="str">
        <f aca="false">IF($B28="","",IF(AND($I28&lt;&gt;"",$I28&lt;=DateRef),"Sorti",IF($H28="","À compléter",IF(AND($Q28&lt;&gt;"",$Q28&gt;=DateRef,$Q28&lt;=$P28),"Planifié",IF($R28&lt;0,"En retard",IF($R28&lt;=SeuilAlerteEPP,"À planifier","À jour"))))))</f>
        <v/>
      </c>
      <c r="T28" s="46" t="str">
        <f aca="false">IF(OR($B28="",$S28="Sorti"),"",MID(IF($H28=""," | Date d'embauche manquante","")&amp;IF(AND($K28="Plus d'un an",$N28="")," | Précédent entretien à renseigner (ancienneté &gt; 1 an)","")&amp;IF($O28="Retard antérieur à la réforme"," | Ancien délai de 2 ans expiré avant la réforme","")&amp;IF(AND($N28&lt;&gt;"",$H28&lt;&gt;"",$N28&lt;$H28)," | Entretien antérieur à l'embauche ?","")&amp;IF(AND($N28&lt;&gt;"",$N28&gt;DateRef)," | Entretien daté dans le futur ?","")&amp;IF(AND($Q28&lt;&gt;"",$P28&lt;&gt;"",$Q28&gt;$P28)," | Date prévue après l'échéance","")&amp;IF(AND($Q28&lt;&gt;"",$Q28&lt;DateRef,OR($N28="",$N28&lt;$Q28))," | Entretien prévu passé : le consigner au Journal","")&amp;IF(AND($G28&lt;&gt;"",$X28="",YEAR(DateRef)-YEAR($G28)&gt;=AgeMiCarriere-1,YEAR(DateRef)-YEAR($G28)&lt;=AgeMiCarriere+1)," | Visite de mi-carrière à vérifier",""),4,1000))</f>
        <v/>
      </c>
      <c r="U28" s="39"/>
      <c r="V28" s="40"/>
      <c r="W28" s="42" t="str">
        <f aca="false">IF(OR($B28="",$V28=""),"",IF(AND($I28&lt;&gt;"",$I28&lt;=DateRef),"",IF(AND($N28&lt;&gt;"",$N28&gt;=$V28),"Réalisé",IF(AND($N28&lt;&gt;"",$N28&gt;=EDATE($V28,-FenetreRetour)),"Dispensé (EPP récent)",IF($V28&gt;DateRef,"À prévoir à la reprise","À proposer (reprise passée)")))))</f>
        <v/>
      </c>
      <c r="X28" s="40"/>
      <c r="Y28" s="43" t="str">
        <f aca="false">IF(OR($B28="",$X28=""),"",EDATE($X28,DelaiMiCarriere))</f>
        <v/>
      </c>
      <c r="Z28" s="42" t="str">
        <f aca="false">IF(OR($B28="",$X28=""),"",IF(AND($I28&lt;&gt;"",$I28&lt;=DateRef),"",IF(AND($N28&lt;&gt;"",$N28&gt;=$X28),"Réalisé",IF($Y28&lt;DateRef,"En retard","À planifier"))))</f>
        <v/>
      </c>
      <c r="AA28" s="47" t="str">
        <f aca="false">IF(OR($B28="",$G28=""),"",IF($G28&gt;DateRef,"",DATEDIF($G28,DateRef,"y")))</f>
        <v/>
      </c>
      <c r="AB28" s="43" t="str">
        <f aca="false">IF(OR($B28="",$G28=""),"",EDATE($G28,AgeFinCarriere*12))</f>
        <v/>
      </c>
      <c r="AC28" s="42" t="str">
        <f aca="false">IF(OR($B28="",$G28="",$H28=""),"",IF(AND($I28&lt;&gt;"",$I28&lt;=DateRef),"",IF($AB28&lt;DateVigueur,"Non concerné",IF(AND($N28&lt;&gt;"",$N28&gt;=MAX(EDATE($AB28,-FenetreFinCarriere*12),DateVigueur),$N28&lt;=$AB28),"Réalisé",IF(DateRef&gt;$AB28,"Non réalisé",IF(AND($Q28&lt;&gt;"",$Q28&gt;=EDATE($AB28,-FenetreFinCarriere*12),$Q28&lt;=$AB28),"Planifié dans la fenêtre",IF(AND(MAX($P28,DateRef)&gt;=EDATE($AB28,-FenetreFinCarriere*12),MAX($P28,DateRef)&lt;=$AB28),"Prochain EPP dans la fenêtre",IF(MAX($P28,DateRef)&gt;$AB28,"À programmer avant 60 ans",""))))))))</f>
        <v/>
      </c>
      <c r="AD28" s="40"/>
      <c r="AE28" s="43" t="str">
        <f aca="false">IF(OR($B28="",$H28="",AND($I28&lt;&gt;"",$I28&lt;=DateRef)),"",MAX($H28,$AD28,IF($A28="",0,SUMPRODUCT(MAX((Journal!$A$6:$A$1005=$A28)*((Journal!$D$6:$D$1005=TypeEDL)+(Journal!$D$6:$D$1005=TypeBilan6))*Journal!$C$6:$C$1005)))))</f>
        <v/>
      </c>
      <c r="AF28" s="43" t="str">
        <f aca="false">IF($AE28="","",IF(AND(ReglesTransitoires="Oui",EDATE($AE28,AnciennePeriodiciteEDL*12)&lt;DateVigueur),EDATE($AE28,AnciennePeriodiciteEDL*12),EDATE($AE28,PeriodiciteEDL*12)))</f>
        <v/>
      </c>
      <c r="AG28" s="42" t="str">
        <f aca="false">IF($AF28="","",IF(AND($I28&lt;&gt;"",$I28&lt;=DateRef),"",IF($AF28&lt;DateRef,"En retard",IF($AF28-DateRef&lt;=SeuilAlerteEDL,"À prévoir","À jour"))))</f>
        <v/>
      </c>
      <c r="AH28" s="39"/>
      <c r="AI28" s="39"/>
      <c r="AJ28" s="42" t="str">
        <f aca="false">IF(OR($B28="",$H28=""),"",IF(AND($I28&lt;&gt;"",$I28&lt;=DateRef),"",IF(Effectif&lt;SeuilEffectif,"Non concerné (&lt; "&amp;SeuilEffectif&amp;" salariés)",IF($AH28="Oui","Pas de risque",IF(AND(OR($AI28="Non",$S28="En retard"),$AH28="Non"),"Risque abondement",IF(OR($AI28="Non",$S28="En retard"),"À vérifier (formation ?)",IF($AI28="Oui","Pas de risque","À compléter")))))))</f>
        <v/>
      </c>
      <c r="AK28" s="39"/>
    </row>
    <row r="29" customFormat="false" ht="15" hidden="false" customHeight="false" outlineLevel="0" collapsed="false">
      <c r="A29" s="39"/>
      <c r="B29" s="39"/>
      <c r="C29" s="39"/>
      <c r="D29" s="39"/>
      <c r="E29" s="39"/>
      <c r="F29" s="39"/>
      <c r="G29" s="40"/>
      <c r="H29" s="40"/>
      <c r="I29" s="40"/>
      <c r="J29" s="41" t="str">
        <f aca="false">IF(OR($B29="",$H29=""),"",IF($H29&gt;DateRef,0,YEARFRAC($H29,DateRef,1)))</f>
        <v/>
      </c>
      <c r="K29" s="42" t="str">
        <f aca="false">IF(OR($B29="",$H29=""),"",IF(EDATE($H29,12)&lt;=DateRef,"Plus d'un an","Moins d'un an"))</f>
        <v/>
      </c>
      <c r="L29" s="40"/>
      <c r="M29" s="43" t="str">
        <f aca="false">IF(OR($B29="",$A29=""),"",IF(SUMPRODUCT(MAX((Journal!$A$6:$A$1005=$A29)*Journal!$C$6:$C$1005))=0,"",SUMPRODUCT(MAX((Journal!$A$6:$A$1005=$A29)*Journal!$C$6:$C$1005))))</f>
        <v/>
      </c>
      <c r="N29" s="43" t="str">
        <f aca="false">IF($B29="","",IF(MAX($L29,$M29)=0,"",MAX($L29,$M29)))</f>
        <v/>
      </c>
      <c r="O29" s="44" t="str">
        <f aca="false">IF(OR($B29="",$H29=""),"",IF($N29="",IF(EDATE($H29,DelaiPremierEPP)&gt;DateRef,"1er EPP (1re année)","Aucun entretien renseigné"),IF(AND(ReglesTransitoires="Oui",EDATE($N29,AnciennePeriodiciteEP*12)&lt;DateVigueur),"Retard antérieur à la réforme","Périodicité "&amp;PeriodiciteEPP&amp;" ans")))</f>
        <v/>
      </c>
      <c r="P29" s="43" t="str">
        <f aca="false">IF(OR($B29="",$H29=""),"",IF($N29="",EDATE($H29,DelaiPremierEPP),IF(AND(ReglesTransitoires="Oui",EDATE($N29,AnciennePeriodiciteEP*12)&lt;DateVigueur),EDATE($N29,AnciennePeriodiciteEP*12),EDATE($N29,PeriodiciteEPP*12))))</f>
        <v/>
      </c>
      <c r="Q29" s="40"/>
      <c r="R29" s="45" t="str">
        <f aca="false">IF(OR($P29="",AND($I29&lt;&gt;"",$I29&lt;=DateRef)),"",$P29-DateRef)</f>
        <v/>
      </c>
      <c r="S29" s="42" t="str">
        <f aca="false">IF($B29="","",IF(AND($I29&lt;&gt;"",$I29&lt;=DateRef),"Sorti",IF($H29="","À compléter",IF(AND($Q29&lt;&gt;"",$Q29&gt;=DateRef,$Q29&lt;=$P29),"Planifié",IF($R29&lt;0,"En retard",IF($R29&lt;=SeuilAlerteEPP,"À planifier","À jour"))))))</f>
        <v/>
      </c>
      <c r="T29" s="46" t="str">
        <f aca="false">IF(OR($B29="",$S29="Sorti"),"",MID(IF($H29=""," | Date d'embauche manquante","")&amp;IF(AND($K29="Plus d'un an",$N29="")," | Précédent entretien à renseigner (ancienneté &gt; 1 an)","")&amp;IF($O29="Retard antérieur à la réforme"," | Ancien délai de 2 ans expiré avant la réforme","")&amp;IF(AND($N29&lt;&gt;"",$H29&lt;&gt;"",$N29&lt;$H29)," | Entretien antérieur à l'embauche ?","")&amp;IF(AND($N29&lt;&gt;"",$N29&gt;DateRef)," | Entretien daté dans le futur ?","")&amp;IF(AND($Q29&lt;&gt;"",$P29&lt;&gt;"",$Q29&gt;$P29)," | Date prévue après l'échéance","")&amp;IF(AND($Q29&lt;&gt;"",$Q29&lt;DateRef,OR($N29="",$N29&lt;$Q29))," | Entretien prévu passé : le consigner au Journal","")&amp;IF(AND($G29&lt;&gt;"",$X29="",YEAR(DateRef)-YEAR($G29)&gt;=AgeMiCarriere-1,YEAR(DateRef)-YEAR($G29)&lt;=AgeMiCarriere+1)," | Visite de mi-carrière à vérifier",""),4,1000))</f>
        <v/>
      </c>
      <c r="U29" s="39"/>
      <c r="V29" s="40"/>
      <c r="W29" s="42" t="str">
        <f aca="false">IF(OR($B29="",$V29=""),"",IF(AND($I29&lt;&gt;"",$I29&lt;=DateRef),"",IF(AND($N29&lt;&gt;"",$N29&gt;=$V29),"Réalisé",IF(AND($N29&lt;&gt;"",$N29&gt;=EDATE($V29,-FenetreRetour)),"Dispensé (EPP récent)",IF($V29&gt;DateRef,"À prévoir à la reprise","À proposer (reprise passée)")))))</f>
        <v/>
      </c>
      <c r="X29" s="40"/>
      <c r="Y29" s="43" t="str">
        <f aca="false">IF(OR($B29="",$X29=""),"",EDATE($X29,DelaiMiCarriere))</f>
        <v/>
      </c>
      <c r="Z29" s="42" t="str">
        <f aca="false">IF(OR($B29="",$X29=""),"",IF(AND($I29&lt;&gt;"",$I29&lt;=DateRef),"",IF(AND($N29&lt;&gt;"",$N29&gt;=$X29),"Réalisé",IF($Y29&lt;DateRef,"En retard","À planifier"))))</f>
        <v/>
      </c>
      <c r="AA29" s="47" t="str">
        <f aca="false">IF(OR($B29="",$G29=""),"",IF($G29&gt;DateRef,"",DATEDIF($G29,DateRef,"y")))</f>
        <v/>
      </c>
      <c r="AB29" s="43" t="str">
        <f aca="false">IF(OR($B29="",$G29=""),"",EDATE($G29,AgeFinCarriere*12))</f>
        <v/>
      </c>
      <c r="AC29" s="42" t="str">
        <f aca="false">IF(OR($B29="",$G29="",$H29=""),"",IF(AND($I29&lt;&gt;"",$I29&lt;=DateRef),"",IF($AB29&lt;DateVigueur,"Non concerné",IF(AND($N29&lt;&gt;"",$N29&gt;=MAX(EDATE($AB29,-FenetreFinCarriere*12),DateVigueur),$N29&lt;=$AB29),"Réalisé",IF(DateRef&gt;$AB29,"Non réalisé",IF(AND($Q29&lt;&gt;"",$Q29&gt;=EDATE($AB29,-FenetreFinCarriere*12),$Q29&lt;=$AB29),"Planifié dans la fenêtre",IF(AND(MAX($P29,DateRef)&gt;=EDATE($AB29,-FenetreFinCarriere*12),MAX($P29,DateRef)&lt;=$AB29),"Prochain EPP dans la fenêtre",IF(MAX($P29,DateRef)&gt;$AB29,"À programmer avant 60 ans",""))))))))</f>
        <v/>
      </c>
      <c r="AD29" s="40"/>
      <c r="AE29" s="43" t="str">
        <f aca="false">IF(OR($B29="",$H29="",AND($I29&lt;&gt;"",$I29&lt;=DateRef)),"",MAX($H29,$AD29,IF($A29="",0,SUMPRODUCT(MAX((Journal!$A$6:$A$1005=$A29)*((Journal!$D$6:$D$1005=TypeEDL)+(Journal!$D$6:$D$1005=TypeBilan6))*Journal!$C$6:$C$1005)))))</f>
        <v/>
      </c>
      <c r="AF29" s="43" t="str">
        <f aca="false">IF($AE29="","",IF(AND(ReglesTransitoires="Oui",EDATE($AE29,AnciennePeriodiciteEDL*12)&lt;DateVigueur),EDATE($AE29,AnciennePeriodiciteEDL*12),EDATE($AE29,PeriodiciteEDL*12)))</f>
        <v/>
      </c>
      <c r="AG29" s="42" t="str">
        <f aca="false">IF($AF29="","",IF(AND($I29&lt;&gt;"",$I29&lt;=DateRef),"",IF($AF29&lt;DateRef,"En retard",IF($AF29-DateRef&lt;=SeuilAlerteEDL,"À prévoir","À jour"))))</f>
        <v/>
      </c>
      <c r="AH29" s="39"/>
      <c r="AI29" s="39"/>
      <c r="AJ29" s="42" t="str">
        <f aca="false">IF(OR($B29="",$H29=""),"",IF(AND($I29&lt;&gt;"",$I29&lt;=DateRef),"",IF(Effectif&lt;SeuilEffectif,"Non concerné (&lt; "&amp;SeuilEffectif&amp;" salariés)",IF($AH29="Oui","Pas de risque",IF(AND(OR($AI29="Non",$S29="En retard"),$AH29="Non"),"Risque abondement",IF(OR($AI29="Non",$S29="En retard"),"À vérifier (formation ?)",IF($AI29="Oui","Pas de risque","À compléter")))))))</f>
        <v/>
      </c>
      <c r="AK29" s="39"/>
    </row>
    <row r="30" customFormat="false" ht="15" hidden="false" customHeight="false" outlineLevel="0" collapsed="false">
      <c r="A30" s="39"/>
      <c r="B30" s="39"/>
      <c r="C30" s="39"/>
      <c r="D30" s="39"/>
      <c r="E30" s="39"/>
      <c r="F30" s="39"/>
      <c r="G30" s="40"/>
      <c r="H30" s="40"/>
      <c r="I30" s="40"/>
      <c r="J30" s="41" t="str">
        <f aca="false">IF(OR($B30="",$H30=""),"",IF($H30&gt;DateRef,0,YEARFRAC($H30,DateRef,1)))</f>
        <v/>
      </c>
      <c r="K30" s="42" t="str">
        <f aca="false">IF(OR($B30="",$H30=""),"",IF(EDATE($H30,12)&lt;=DateRef,"Plus d'un an","Moins d'un an"))</f>
        <v/>
      </c>
      <c r="L30" s="40"/>
      <c r="M30" s="43" t="str">
        <f aca="false">IF(OR($B30="",$A30=""),"",IF(SUMPRODUCT(MAX((Journal!$A$6:$A$1005=$A30)*Journal!$C$6:$C$1005))=0,"",SUMPRODUCT(MAX((Journal!$A$6:$A$1005=$A30)*Journal!$C$6:$C$1005))))</f>
        <v/>
      </c>
      <c r="N30" s="43" t="str">
        <f aca="false">IF($B30="","",IF(MAX($L30,$M30)=0,"",MAX($L30,$M30)))</f>
        <v/>
      </c>
      <c r="O30" s="44" t="str">
        <f aca="false">IF(OR($B30="",$H30=""),"",IF($N30="",IF(EDATE($H30,DelaiPremierEPP)&gt;DateRef,"1er EPP (1re année)","Aucun entretien renseigné"),IF(AND(ReglesTransitoires="Oui",EDATE($N30,AnciennePeriodiciteEP*12)&lt;DateVigueur),"Retard antérieur à la réforme","Périodicité "&amp;PeriodiciteEPP&amp;" ans")))</f>
        <v/>
      </c>
      <c r="P30" s="43" t="str">
        <f aca="false">IF(OR($B30="",$H30=""),"",IF($N30="",EDATE($H30,DelaiPremierEPP),IF(AND(ReglesTransitoires="Oui",EDATE($N30,AnciennePeriodiciteEP*12)&lt;DateVigueur),EDATE($N30,AnciennePeriodiciteEP*12),EDATE($N30,PeriodiciteEPP*12))))</f>
        <v/>
      </c>
      <c r="Q30" s="40"/>
      <c r="R30" s="45" t="str">
        <f aca="false">IF(OR($P30="",AND($I30&lt;&gt;"",$I30&lt;=DateRef)),"",$P30-DateRef)</f>
        <v/>
      </c>
      <c r="S30" s="42" t="str">
        <f aca="false">IF($B30="","",IF(AND($I30&lt;&gt;"",$I30&lt;=DateRef),"Sorti",IF($H30="","À compléter",IF(AND($Q30&lt;&gt;"",$Q30&gt;=DateRef,$Q30&lt;=$P30),"Planifié",IF($R30&lt;0,"En retard",IF($R30&lt;=SeuilAlerteEPP,"À planifier","À jour"))))))</f>
        <v/>
      </c>
      <c r="T30" s="46" t="str">
        <f aca="false">IF(OR($B30="",$S30="Sorti"),"",MID(IF($H30=""," | Date d'embauche manquante","")&amp;IF(AND($K30="Plus d'un an",$N30="")," | Précédent entretien à renseigner (ancienneté &gt; 1 an)","")&amp;IF($O30="Retard antérieur à la réforme"," | Ancien délai de 2 ans expiré avant la réforme","")&amp;IF(AND($N30&lt;&gt;"",$H30&lt;&gt;"",$N30&lt;$H30)," | Entretien antérieur à l'embauche ?","")&amp;IF(AND($N30&lt;&gt;"",$N30&gt;DateRef)," | Entretien daté dans le futur ?","")&amp;IF(AND($Q30&lt;&gt;"",$P30&lt;&gt;"",$Q30&gt;$P30)," | Date prévue après l'échéance","")&amp;IF(AND($Q30&lt;&gt;"",$Q30&lt;DateRef,OR($N30="",$N30&lt;$Q30))," | Entretien prévu passé : le consigner au Journal","")&amp;IF(AND($G30&lt;&gt;"",$X30="",YEAR(DateRef)-YEAR($G30)&gt;=AgeMiCarriere-1,YEAR(DateRef)-YEAR($G30)&lt;=AgeMiCarriere+1)," | Visite de mi-carrière à vérifier",""),4,1000))</f>
        <v/>
      </c>
      <c r="U30" s="39"/>
      <c r="V30" s="40"/>
      <c r="W30" s="42" t="str">
        <f aca="false">IF(OR($B30="",$V30=""),"",IF(AND($I30&lt;&gt;"",$I30&lt;=DateRef),"",IF(AND($N30&lt;&gt;"",$N30&gt;=$V30),"Réalisé",IF(AND($N30&lt;&gt;"",$N30&gt;=EDATE($V30,-FenetreRetour)),"Dispensé (EPP récent)",IF($V30&gt;DateRef,"À prévoir à la reprise","À proposer (reprise passée)")))))</f>
        <v/>
      </c>
      <c r="X30" s="40"/>
      <c r="Y30" s="43" t="str">
        <f aca="false">IF(OR($B30="",$X30=""),"",EDATE($X30,DelaiMiCarriere))</f>
        <v/>
      </c>
      <c r="Z30" s="42" t="str">
        <f aca="false">IF(OR($B30="",$X30=""),"",IF(AND($I30&lt;&gt;"",$I30&lt;=DateRef),"",IF(AND($N30&lt;&gt;"",$N30&gt;=$X30),"Réalisé",IF($Y30&lt;DateRef,"En retard","À planifier"))))</f>
        <v/>
      </c>
      <c r="AA30" s="47" t="str">
        <f aca="false">IF(OR($B30="",$G30=""),"",IF($G30&gt;DateRef,"",DATEDIF($G30,DateRef,"y")))</f>
        <v/>
      </c>
      <c r="AB30" s="43" t="str">
        <f aca="false">IF(OR($B30="",$G30=""),"",EDATE($G30,AgeFinCarriere*12))</f>
        <v/>
      </c>
      <c r="AC30" s="42" t="str">
        <f aca="false">IF(OR($B30="",$G30="",$H30=""),"",IF(AND($I30&lt;&gt;"",$I30&lt;=DateRef),"",IF($AB30&lt;DateVigueur,"Non concerné",IF(AND($N30&lt;&gt;"",$N30&gt;=MAX(EDATE($AB30,-FenetreFinCarriere*12),DateVigueur),$N30&lt;=$AB30),"Réalisé",IF(DateRef&gt;$AB30,"Non réalisé",IF(AND($Q30&lt;&gt;"",$Q30&gt;=EDATE($AB30,-FenetreFinCarriere*12),$Q30&lt;=$AB30),"Planifié dans la fenêtre",IF(AND(MAX($P30,DateRef)&gt;=EDATE($AB30,-FenetreFinCarriere*12),MAX($P30,DateRef)&lt;=$AB30),"Prochain EPP dans la fenêtre",IF(MAX($P30,DateRef)&gt;$AB30,"À programmer avant 60 ans",""))))))))</f>
        <v/>
      </c>
      <c r="AD30" s="40"/>
      <c r="AE30" s="43" t="str">
        <f aca="false">IF(OR($B30="",$H30="",AND($I30&lt;&gt;"",$I30&lt;=DateRef)),"",MAX($H30,$AD30,IF($A30="",0,SUMPRODUCT(MAX((Journal!$A$6:$A$1005=$A30)*((Journal!$D$6:$D$1005=TypeEDL)+(Journal!$D$6:$D$1005=TypeBilan6))*Journal!$C$6:$C$1005)))))</f>
        <v/>
      </c>
      <c r="AF30" s="43" t="str">
        <f aca="false">IF($AE30="","",IF(AND(ReglesTransitoires="Oui",EDATE($AE30,AnciennePeriodiciteEDL*12)&lt;DateVigueur),EDATE($AE30,AnciennePeriodiciteEDL*12),EDATE($AE30,PeriodiciteEDL*12)))</f>
        <v/>
      </c>
      <c r="AG30" s="42" t="str">
        <f aca="false">IF($AF30="","",IF(AND($I30&lt;&gt;"",$I30&lt;=DateRef),"",IF($AF30&lt;DateRef,"En retard",IF($AF30-DateRef&lt;=SeuilAlerteEDL,"À prévoir","À jour"))))</f>
        <v/>
      </c>
      <c r="AH30" s="39"/>
      <c r="AI30" s="39"/>
      <c r="AJ30" s="42" t="str">
        <f aca="false">IF(OR($B30="",$H30=""),"",IF(AND($I30&lt;&gt;"",$I30&lt;=DateRef),"",IF(Effectif&lt;SeuilEffectif,"Non concerné (&lt; "&amp;SeuilEffectif&amp;" salariés)",IF($AH30="Oui","Pas de risque",IF(AND(OR($AI30="Non",$S30="En retard"),$AH30="Non"),"Risque abondement",IF(OR($AI30="Non",$S30="En retard"),"À vérifier (formation ?)",IF($AI30="Oui","Pas de risque","À compléter")))))))</f>
        <v/>
      </c>
      <c r="AK30" s="39"/>
    </row>
    <row r="31" customFormat="false" ht="15" hidden="false" customHeight="false" outlineLevel="0" collapsed="false">
      <c r="A31" s="39"/>
      <c r="B31" s="39"/>
      <c r="C31" s="39"/>
      <c r="D31" s="39"/>
      <c r="E31" s="39"/>
      <c r="F31" s="39"/>
      <c r="G31" s="40"/>
      <c r="H31" s="40"/>
      <c r="I31" s="40"/>
      <c r="J31" s="41" t="str">
        <f aca="false">IF(OR($B31="",$H31=""),"",IF($H31&gt;DateRef,0,YEARFRAC($H31,DateRef,1)))</f>
        <v/>
      </c>
      <c r="K31" s="42" t="str">
        <f aca="false">IF(OR($B31="",$H31=""),"",IF(EDATE($H31,12)&lt;=DateRef,"Plus d'un an","Moins d'un an"))</f>
        <v/>
      </c>
      <c r="L31" s="40"/>
      <c r="M31" s="43" t="str">
        <f aca="false">IF(OR($B31="",$A31=""),"",IF(SUMPRODUCT(MAX((Journal!$A$6:$A$1005=$A31)*Journal!$C$6:$C$1005))=0,"",SUMPRODUCT(MAX((Journal!$A$6:$A$1005=$A31)*Journal!$C$6:$C$1005))))</f>
        <v/>
      </c>
      <c r="N31" s="43" t="str">
        <f aca="false">IF($B31="","",IF(MAX($L31,$M31)=0,"",MAX($L31,$M31)))</f>
        <v/>
      </c>
      <c r="O31" s="44" t="str">
        <f aca="false">IF(OR($B31="",$H31=""),"",IF($N31="",IF(EDATE($H31,DelaiPremierEPP)&gt;DateRef,"1er EPP (1re année)","Aucun entretien renseigné"),IF(AND(ReglesTransitoires="Oui",EDATE($N31,AnciennePeriodiciteEP*12)&lt;DateVigueur),"Retard antérieur à la réforme","Périodicité "&amp;PeriodiciteEPP&amp;" ans")))</f>
        <v/>
      </c>
      <c r="P31" s="43" t="str">
        <f aca="false">IF(OR($B31="",$H31=""),"",IF($N31="",EDATE($H31,DelaiPremierEPP),IF(AND(ReglesTransitoires="Oui",EDATE($N31,AnciennePeriodiciteEP*12)&lt;DateVigueur),EDATE($N31,AnciennePeriodiciteEP*12),EDATE($N31,PeriodiciteEPP*12))))</f>
        <v/>
      </c>
      <c r="Q31" s="40"/>
      <c r="R31" s="45" t="str">
        <f aca="false">IF(OR($P31="",AND($I31&lt;&gt;"",$I31&lt;=DateRef)),"",$P31-DateRef)</f>
        <v/>
      </c>
      <c r="S31" s="42" t="str">
        <f aca="false">IF($B31="","",IF(AND($I31&lt;&gt;"",$I31&lt;=DateRef),"Sorti",IF($H31="","À compléter",IF(AND($Q31&lt;&gt;"",$Q31&gt;=DateRef,$Q31&lt;=$P31),"Planifié",IF($R31&lt;0,"En retard",IF($R31&lt;=SeuilAlerteEPP,"À planifier","À jour"))))))</f>
        <v/>
      </c>
      <c r="T31" s="46" t="str">
        <f aca="false">IF(OR($B31="",$S31="Sorti"),"",MID(IF($H31=""," | Date d'embauche manquante","")&amp;IF(AND($K31="Plus d'un an",$N31="")," | Précédent entretien à renseigner (ancienneté &gt; 1 an)","")&amp;IF($O31="Retard antérieur à la réforme"," | Ancien délai de 2 ans expiré avant la réforme","")&amp;IF(AND($N31&lt;&gt;"",$H31&lt;&gt;"",$N31&lt;$H31)," | Entretien antérieur à l'embauche ?","")&amp;IF(AND($N31&lt;&gt;"",$N31&gt;DateRef)," | Entretien daté dans le futur ?","")&amp;IF(AND($Q31&lt;&gt;"",$P31&lt;&gt;"",$Q31&gt;$P31)," | Date prévue après l'échéance","")&amp;IF(AND($Q31&lt;&gt;"",$Q31&lt;DateRef,OR($N31="",$N31&lt;$Q31))," | Entretien prévu passé : le consigner au Journal","")&amp;IF(AND($G31&lt;&gt;"",$X31="",YEAR(DateRef)-YEAR($G31)&gt;=AgeMiCarriere-1,YEAR(DateRef)-YEAR($G31)&lt;=AgeMiCarriere+1)," | Visite de mi-carrière à vérifier",""),4,1000))</f>
        <v/>
      </c>
      <c r="U31" s="39"/>
      <c r="V31" s="40"/>
      <c r="W31" s="42" t="str">
        <f aca="false">IF(OR($B31="",$V31=""),"",IF(AND($I31&lt;&gt;"",$I31&lt;=DateRef),"",IF(AND($N31&lt;&gt;"",$N31&gt;=$V31),"Réalisé",IF(AND($N31&lt;&gt;"",$N31&gt;=EDATE($V31,-FenetreRetour)),"Dispensé (EPP récent)",IF($V31&gt;DateRef,"À prévoir à la reprise","À proposer (reprise passée)")))))</f>
        <v/>
      </c>
      <c r="X31" s="40"/>
      <c r="Y31" s="43" t="str">
        <f aca="false">IF(OR($B31="",$X31=""),"",EDATE($X31,DelaiMiCarriere))</f>
        <v/>
      </c>
      <c r="Z31" s="42" t="str">
        <f aca="false">IF(OR($B31="",$X31=""),"",IF(AND($I31&lt;&gt;"",$I31&lt;=DateRef),"",IF(AND($N31&lt;&gt;"",$N31&gt;=$X31),"Réalisé",IF($Y31&lt;DateRef,"En retard","À planifier"))))</f>
        <v/>
      </c>
      <c r="AA31" s="47" t="str">
        <f aca="false">IF(OR($B31="",$G31=""),"",IF($G31&gt;DateRef,"",DATEDIF($G31,DateRef,"y")))</f>
        <v/>
      </c>
      <c r="AB31" s="43" t="str">
        <f aca="false">IF(OR($B31="",$G31=""),"",EDATE($G31,AgeFinCarriere*12))</f>
        <v/>
      </c>
      <c r="AC31" s="42" t="str">
        <f aca="false">IF(OR($B31="",$G31="",$H31=""),"",IF(AND($I31&lt;&gt;"",$I31&lt;=DateRef),"",IF($AB31&lt;DateVigueur,"Non concerné",IF(AND($N31&lt;&gt;"",$N31&gt;=MAX(EDATE($AB31,-FenetreFinCarriere*12),DateVigueur),$N31&lt;=$AB31),"Réalisé",IF(DateRef&gt;$AB31,"Non réalisé",IF(AND($Q31&lt;&gt;"",$Q31&gt;=EDATE($AB31,-FenetreFinCarriere*12),$Q31&lt;=$AB31),"Planifié dans la fenêtre",IF(AND(MAX($P31,DateRef)&gt;=EDATE($AB31,-FenetreFinCarriere*12),MAX($P31,DateRef)&lt;=$AB31),"Prochain EPP dans la fenêtre",IF(MAX($P31,DateRef)&gt;$AB31,"À programmer avant 60 ans",""))))))))</f>
        <v/>
      </c>
      <c r="AD31" s="40"/>
      <c r="AE31" s="43" t="str">
        <f aca="false">IF(OR($B31="",$H31="",AND($I31&lt;&gt;"",$I31&lt;=DateRef)),"",MAX($H31,$AD31,IF($A31="",0,SUMPRODUCT(MAX((Journal!$A$6:$A$1005=$A31)*((Journal!$D$6:$D$1005=TypeEDL)+(Journal!$D$6:$D$1005=TypeBilan6))*Journal!$C$6:$C$1005)))))</f>
        <v/>
      </c>
      <c r="AF31" s="43" t="str">
        <f aca="false">IF($AE31="","",IF(AND(ReglesTransitoires="Oui",EDATE($AE31,AnciennePeriodiciteEDL*12)&lt;DateVigueur),EDATE($AE31,AnciennePeriodiciteEDL*12),EDATE($AE31,PeriodiciteEDL*12)))</f>
        <v/>
      </c>
      <c r="AG31" s="42" t="str">
        <f aca="false">IF($AF31="","",IF(AND($I31&lt;&gt;"",$I31&lt;=DateRef),"",IF($AF31&lt;DateRef,"En retard",IF($AF31-DateRef&lt;=SeuilAlerteEDL,"À prévoir","À jour"))))</f>
        <v/>
      </c>
      <c r="AH31" s="39"/>
      <c r="AI31" s="39"/>
      <c r="AJ31" s="42" t="str">
        <f aca="false">IF(OR($B31="",$H31=""),"",IF(AND($I31&lt;&gt;"",$I31&lt;=DateRef),"",IF(Effectif&lt;SeuilEffectif,"Non concerné (&lt; "&amp;SeuilEffectif&amp;" salariés)",IF($AH31="Oui","Pas de risque",IF(AND(OR($AI31="Non",$S31="En retard"),$AH31="Non"),"Risque abondement",IF(OR($AI31="Non",$S31="En retard"),"À vérifier (formation ?)",IF($AI31="Oui","Pas de risque","À compléter")))))))</f>
        <v/>
      </c>
      <c r="AK31" s="39"/>
    </row>
    <row r="32" customFormat="false" ht="15" hidden="false" customHeight="false" outlineLevel="0" collapsed="false">
      <c r="A32" s="39"/>
      <c r="B32" s="39"/>
      <c r="C32" s="39"/>
      <c r="D32" s="39"/>
      <c r="E32" s="39"/>
      <c r="F32" s="39"/>
      <c r="G32" s="40"/>
      <c r="H32" s="40"/>
      <c r="I32" s="40"/>
      <c r="J32" s="41" t="str">
        <f aca="false">IF(OR($B32="",$H32=""),"",IF($H32&gt;DateRef,0,YEARFRAC($H32,DateRef,1)))</f>
        <v/>
      </c>
      <c r="K32" s="42" t="str">
        <f aca="false">IF(OR($B32="",$H32=""),"",IF(EDATE($H32,12)&lt;=DateRef,"Plus d'un an","Moins d'un an"))</f>
        <v/>
      </c>
      <c r="L32" s="40"/>
      <c r="M32" s="43" t="str">
        <f aca="false">IF(OR($B32="",$A32=""),"",IF(SUMPRODUCT(MAX((Journal!$A$6:$A$1005=$A32)*Journal!$C$6:$C$1005))=0,"",SUMPRODUCT(MAX((Journal!$A$6:$A$1005=$A32)*Journal!$C$6:$C$1005))))</f>
        <v/>
      </c>
      <c r="N32" s="43" t="str">
        <f aca="false">IF($B32="","",IF(MAX($L32,$M32)=0,"",MAX($L32,$M32)))</f>
        <v/>
      </c>
      <c r="O32" s="44" t="str">
        <f aca="false">IF(OR($B32="",$H32=""),"",IF($N32="",IF(EDATE($H32,DelaiPremierEPP)&gt;DateRef,"1er EPP (1re année)","Aucun entretien renseigné"),IF(AND(ReglesTransitoires="Oui",EDATE($N32,AnciennePeriodiciteEP*12)&lt;DateVigueur),"Retard antérieur à la réforme","Périodicité "&amp;PeriodiciteEPP&amp;" ans")))</f>
        <v/>
      </c>
      <c r="P32" s="43" t="str">
        <f aca="false">IF(OR($B32="",$H32=""),"",IF($N32="",EDATE($H32,DelaiPremierEPP),IF(AND(ReglesTransitoires="Oui",EDATE($N32,AnciennePeriodiciteEP*12)&lt;DateVigueur),EDATE($N32,AnciennePeriodiciteEP*12),EDATE($N32,PeriodiciteEPP*12))))</f>
        <v/>
      </c>
      <c r="Q32" s="40"/>
      <c r="R32" s="45" t="str">
        <f aca="false">IF(OR($P32="",AND($I32&lt;&gt;"",$I32&lt;=DateRef)),"",$P32-DateRef)</f>
        <v/>
      </c>
      <c r="S32" s="42" t="str">
        <f aca="false">IF($B32="","",IF(AND($I32&lt;&gt;"",$I32&lt;=DateRef),"Sorti",IF($H32="","À compléter",IF(AND($Q32&lt;&gt;"",$Q32&gt;=DateRef,$Q32&lt;=$P32),"Planifié",IF($R32&lt;0,"En retard",IF($R32&lt;=SeuilAlerteEPP,"À planifier","À jour"))))))</f>
        <v/>
      </c>
      <c r="T32" s="46" t="str">
        <f aca="false">IF(OR($B32="",$S32="Sorti"),"",MID(IF($H32=""," | Date d'embauche manquante","")&amp;IF(AND($K32="Plus d'un an",$N32="")," | Précédent entretien à renseigner (ancienneté &gt; 1 an)","")&amp;IF($O32="Retard antérieur à la réforme"," | Ancien délai de 2 ans expiré avant la réforme","")&amp;IF(AND($N32&lt;&gt;"",$H32&lt;&gt;"",$N32&lt;$H32)," | Entretien antérieur à l'embauche ?","")&amp;IF(AND($N32&lt;&gt;"",$N32&gt;DateRef)," | Entretien daté dans le futur ?","")&amp;IF(AND($Q32&lt;&gt;"",$P32&lt;&gt;"",$Q32&gt;$P32)," | Date prévue après l'échéance","")&amp;IF(AND($Q32&lt;&gt;"",$Q32&lt;DateRef,OR($N32="",$N32&lt;$Q32))," | Entretien prévu passé : le consigner au Journal","")&amp;IF(AND($G32&lt;&gt;"",$X32="",YEAR(DateRef)-YEAR($G32)&gt;=AgeMiCarriere-1,YEAR(DateRef)-YEAR($G32)&lt;=AgeMiCarriere+1)," | Visite de mi-carrière à vérifier",""),4,1000))</f>
        <v/>
      </c>
      <c r="U32" s="39"/>
      <c r="V32" s="40"/>
      <c r="W32" s="42" t="str">
        <f aca="false">IF(OR($B32="",$V32=""),"",IF(AND($I32&lt;&gt;"",$I32&lt;=DateRef),"",IF(AND($N32&lt;&gt;"",$N32&gt;=$V32),"Réalisé",IF(AND($N32&lt;&gt;"",$N32&gt;=EDATE($V32,-FenetreRetour)),"Dispensé (EPP récent)",IF($V32&gt;DateRef,"À prévoir à la reprise","À proposer (reprise passée)")))))</f>
        <v/>
      </c>
      <c r="X32" s="40"/>
      <c r="Y32" s="43" t="str">
        <f aca="false">IF(OR($B32="",$X32=""),"",EDATE($X32,DelaiMiCarriere))</f>
        <v/>
      </c>
      <c r="Z32" s="42" t="str">
        <f aca="false">IF(OR($B32="",$X32=""),"",IF(AND($I32&lt;&gt;"",$I32&lt;=DateRef),"",IF(AND($N32&lt;&gt;"",$N32&gt;=$X32),"Réalisé",IF($Y32&lt;DateRef,"En retard","À planifier"))))</f>
        <v/>
      </c>
      <c r="AA32" s="47" t="str">
        <f aca="false">IF(OR($B32="",$G32=""),"",IF($G32&gt;DateRef,"",DATEDIF($G32,DateRef,"y")))</f>
        <v/>
      </c>
      <c r="AB32" s="43" t="str">
        <f aca="false">IF(OR($B32="",$G32=""),"",EDATE($G32,AgeFinCarriere*12))</f>
        <v/>
      </c>
      <c r="AC32" s="42" t="str">
        <f aca="false">IF(OR($B32="",$G32="",$H32=""),"",IF(AND($I32&lt;&gt;"",$I32&lt;=DateRef),"",IF($AB32&lt;DateVigueur,"Non concerné",IF(AND($N32&lt;&gt;"",$N32&gt;=MAX(EDATE($AB32,-FenetreFinCarriere*12),DateVigueur),$N32&lt;=$AB32),"Réalisé",IF(DateRef&gt;$AB32,"Non réalisé",IF(AND($Q32&lt;&gt;"",$Q32&gt;=EDATE($AB32,-FenetreFinCarriere*12),$Q32&lt;=$AB32),"Planifié dans la fenêtre",IF(AND(MAX($P32,DateRef)&gt;=EDATE($AB32,-FenetreFinCarriere*12),MAX($P32,DateRef)&lt;=$AB32),"Prochain EPP dans la fenêtre",IF(MAX($P32,DateRef)&gt;$AB32,"À programmer avant 60 ans",""))))))))</f>
        <v/>
      </c>
      <c r="AD32" s="40"/>
      <c r="AE32" s="43" t="str">
        <f aca="false">IF(OR($B32="",$H32="",AND($I32&lt;&gt;"",$I32&lt;=DateRef)),"",MAX($H32,$AD32,IF($A32="",0,SUMPRODUCT(MAX((Journal!$A$6:$A$1005=$A32)*((Journal!$D$6:$D$1005=TypeEDL)+(Journal!$D$6:$D$1005=TypeBilan6))*Journal!$C$6:$C$1005)))))</f>
        <v/>
      </c>
      <c r="AF32" s="43" t="str">
        <f aca="false">IF($AE32="","",IF(AND(ReglesTransitoires="Oui",EDATE($AE32,AnciennePeriodiciteEDL*12)&lt;DateVigueur),EDATE($AE32,AnciennePeriodiciteEDL*12),EDATE($AE32,PeriodiciteEDL*12)))</f>
        <v/>
      </c>
      <c r="AG32" s="42" t="str">
        <f aca="false">IF($AF32="","",IF(AND($I32&lt;&gt;"",$I32&lt;=DateRef),"",IF($AF32&lt;DateRef,"En retard",IF($AF32-DateRef&lt;=SeuilAlerteEDL,"À prévoir","À jour"))))</f>
        <v/>
      </c>
      <c r="AH32" s="39"/>
      <c r="AI32" s="39"/>
      <c r="AJ32" s="42" t="str">
        <f aca="false">IF(OR($B32="",$H32=""),"",IF(AND($I32&lt;&gt;"",$I32&lt;=DateRef),"",IF(Effectif&lt;SeuilEffectif,"Non concerné (&lt; "&amp;SeuilEffectif&amp;" salariés)",IF($AH32="Oui","Pas de risque",IF(AND(OR($AI32="Non",$S32="En retard"),$AH32="Non"),"Risque abondement",IF(OR($AI32="Non",$S32="En retard"),"À vérifier (formation ?)",IF($AI32="Oui","Pas de risque","À compléter")))))))</f>
        <v/>
      </c>
      <c r="AK32" s="39"/>
    </row>
    <row r="33" customFormat="false" ht="15" hidden="false" customHeight="false" outlineLevel="0" collapsed="false">
      <c r="A33" s="39"/>
      <c r="B33" s="39"/>
      <c r="C33" s="39"/>
      <c r="D33" s="39"/>
      <c r="E33" s="39"/>
      <c r="F33" s="39"/>
      <c r="G33" s="40"/>
      <c r="H33" s="40"/>
      <c r="I33" s="40"/>
      <c r="J33" s="41" t="str">
        <f aca="false">IF(OR($B33="",$H33=""),"",IF($H33&gt;DateRef,0,YEARFRAC($H33,DateRef,1)))</f>
        <v/>
      </c>
      <c r="K33" s="42" t="str">
        <f aca="false">IF(OR($B33="",$H33=""),"",IF(EDATE($H33,12)&lt;=DateRef,"Plus d'un an","Moins d'un an"))</f>
        <v/>
      </c>
      <c r="L33" s="40"/>
      <c r="M33" s="43" t="str">
        <f aca="false">IF(OR($B33="",$A33=""),"",IF(SUMPRODUCT(MAX((Journal!$A$6:$A$1005=$A33)*Journal!$C$6:$C$1005))=0,"",SUMPRODUCT(MAX((Journal!$A$6:$A$1005=$A33)*Journal!$C$6:$C$1005))))</f>
        <v/>
      </c>
      <c r="N33" s="43" t="str">
        <f aca="false">IF($B33="","",IF(MAX($L33,$M33)=0,"",MAX($L33,$M33)))</f>
        <v/>
      </c>
      <c r="O33" s="44" t="str">
        <f aca="false">IF(OR($B33="",$H33=""),"",IF($N33="",IF(EDATE($H33,DelaiPremierEPP)&gt;DateRef,"1er EPP (1re année)","Aucun entretien renseigné"),IF(AND(ReglesTransitoires="Oui",EDATE($N33,AnciennePeriodiciteEP*12)&lt;DateVigueur),"Retard antérieur à la réforme","Périodicité "&amp;PeriodiciteEPP&amp;" ans")))</f>
        <v/>
      </c>
      <c r="P33" s="43" t="str">
        <f aca="false">IF(OR($B33="",$H33=""),"",IF($N33="",EDATE($H33,DelaiPremierEPP),IF(AND(ReglesTransitoires="Oui",EDATE($N33,AnciennePeriodiciteEP*12)&lt;DateVigueur),EDATE($N33,AnciennePeriodiciteEP*12),EDATE($N33,PeriodiciteEPP*12))))</f>
        <v/>
      </c>
      <c r="Q33" s="40"/>
      <c r="R33" s="45" t="str">
        <f aca="false">IF(OR($P33="",AND($I33&lt;&gt;"",$I33&lt;=DateRef)),"",$P33-DateRef)</f>
        <v/>
      </c>
      <c r="S33" s="42" t="str">
        <f aca="false">IF($B33="","",IF(AND($I33&lt;&gt;"",$I33&lt;=DateRef),"Sorti",IF($H33="","À compléter",IF(AND($Q33&lt;&gt;"",$Q33&gt;=DateRef,$Q33&lt;=$P33),"Planifié",IF($R33&lt;0,"En retard",IF($R33&lt;=SeuilAlerteEPP,"À planifier","À jour"))))))</f>
        <v/>
      </c>
      <c r="T33" s="46" t="str">
        <f aca="false">IF(OR($B33="",$S33="Sorti"),"",MID(IF($H33=""," | Date d'embauche manquante","")&amp;IF(AND($K33="Plus d'un an",$N33="")," | Précédent entretien à renseigner (ancienneté &gt; 1 an)","")&amp;IF($O33="Retard antérieur à la réforme"," | Ancien délai de 2 ans expiré avant la réforme","")&amp;IF(AND($N33&lt;&gt;"",$H33&lt;&gt;"",$N33&lt;$H33)," | Entretien antérieur à l'embauche ?","")&amp;IF(AND($N33&lt;&gt;"",$N33&gt;DateRef)," | Entretien daté dans le futur ?","")&amp;IF(AND($Q33&lt;&gt;"",$P33&lt;&gt;"",$Q33&gt;$P33)," | Date prévue après l'échéance","")&amp;IF(AND($Q33&lt;&gt;"",$Q33&lt;DateRef,OR($N33="",$N33&lt;$Q33))," | Entretien prévu passé : le consigner au Journal","")&amp;IF(AND($G33&lt;&gt;"",$X33="",YEAR(DateRef)-YEAR($G33)&gt;=AgeMiCarriere-1,YEAR(DateRef)-YEAR($G33)&lt;=AgeMiCarriere+1)," | Visite de mi-carrière à vérifier",""),4,1000))</f>
        <v/>
      </c>
      <c r="U33" s="39"/>
      <c r="V33" s="40"/>
      <c r="W33" s="42" t="str">
        <f aca="false">IF(OR($B33="",$V33=""),"",IF(AND($I33&lt;&gt;"",$I33&lt;=DateRef),"",IF(AND($N33&lt;&gt;"",$N33&gt;=$V33),"Réalisé",IF(AND($N33&lt;&gt;"",$N33&gt;=EDATE($V33,-FenetreRetour)),"Dispensé (EPP récent)",IF($V33&gt;DateRef,"À prévoir à la reprise","À proposer (reprise passée)")))))</f>
        <v/>
      </c>
      <c r="X33" s="40"/>
      <c r="Y33" s="43" t="str">
        <f aca="false">IF(OR($B33="",$X33=""),"",EDATE($X33,DelaiMiCarriere))</f>
        <v/>
      </c>
      <c r="Z33" s="42" t="str">
        <f aca="false">IF(OR($B33="",$X33=""),"",IF(AND($I33&lt;&gt;"",$I33&lt;=DateRef),"",IF(AND($N33&lt;&gt;"",$N33&gt;=$X33),"Réalisé",IF($Y33&lt;DateRef,"En retard","À planifier"))))</f>
        <v/>
      </c>
      <c r="AA33" s="47" t="str">
        <f aca="false">IF(OR($B33="",$G33=""),"",IF($G33&gt;DateRef,"",DATEDIF($G33,DateRef,"y")))</f>
        <v/>
      </c>
      <c r="AB33" s="43" t="str">
        <f aca="false">IF(OR($B33="",$G33=""),"",EDATE($G33,AgeFinCarriere*12))</f>
        <v/>
      </c>
      <c r="AC33" s="42" t="str">
        <f aca="false">IF(OR($B33="",$G33="",$H33=""),"",IF(AND($I33&lt;&gt;"",$I33&lt;=DateRef),"",IF($AB33&lt;DateVigueur,"Non concerné",IF(AND($N33&lt;&gt;"",$N33&gt;=MAX(EDATE($AB33,-FenetreFinCarriere*12),DateVigueur),$N33&lt;=$AB33),"Réalisé",IF(DateRef&gt;$AB33,"Non réalisé",IF(AND($Q33&lt;&gt;"",$Q33&gt;=EDATE($AB33,-FenetreFinCarriere*12),$Q33&lt;=$AB33),"Planifié dans la fenêtre",IF(AND(MAX($P33,DateRef)&gt;=EDATE($AB33,-FenetreFinCarriere*12),MAX($P33,DateRef)&lt;=$AB33),"Prochain EPP dans la fenêtre",IF(MAX($P33,DateRef)&gt;$AB33,"À programmer avant 60 ans",""))))))))</f>
        <v/>
      </c>
      <c r="AD33" s="40"/>
      <c r="AE33" s="43" t="str">
        <f aca="false">IF(OR($B33="",$H33="",AND($I33&lt;&gt;"",$I33&lt;=DateRef)),"",MAX($H33,$AD33,IF($A33="",0,SUMPRODUCT(MAX((Journal!$A$6:$A$1005=$A33)*((Journal!$D$6:$D$1005=TypeEDL)+(Journal!$D$6:$D$1005=TypeBilan6))*Journal!$C$6:$C$1005)))))</f>
        <v/>
      </c>
      <c r="AF33" s="43" t="str">
        <f aca="false">IF($AE33="","",IF(AND(ReglesTransitoires="Oui",EDATE($AE33,AnciennePeriodiciteEDL*12)&lt;DateVigueur),EDATE($AE33,AnciennePeriodiciteEDL*12),EDATE($AE33,PeriodiciteEDL*12)))</f>
        <v/>
      </c>
      <c r="AG33" s="42" t="str">
        <f aca="false">IF($AF33="","",IF(AND($I33&lt;&gt;"",$I33&lt;=DateRef),"",IF($AF33&lt;DateRef,"En retard",IF($AF33-DateRef&lt;=SeuilAlerteEDL,"À prévoir","À jour"))))</f>
        <v/>
      </c>
      <c r="AH33" s="39"/>
      <c r="AI33" s="39"/>
      <c r="AJ33" s="42" t="str">
        <f aca="false">IF(OR($B33="",$H33=""),"",IF(AND($I33&lt;&gt;"",$I33&lt;=DateRef),"",IF(Effectif&lt;SeuilEffectif,"Non concerné (&lt; "&amp;SeuilEffectif&amp;" salariés)",IF($AH33="Oui","Pas de risque",IF(AND(OR($AI33="Non",$S33="En retard"),$AH33="Non"),"Risque abondement",IF(OR($AI33="Non",$S33="En retard"),"À vérifier (formation ?)",IF($AI33="Oui","Pas de risque","À compléter")))))))</f>
        <v/>
      </c>
      <c r="AK33" s="39"/>
    </row>
    <row r="34" customFormat="false" ht="15" hidden="false" customHeight="false" outlineLevel="0" collapsed="false">
      <c r="A34" s="39"/>
      <c r="B34" s="39"/>
      <c r="C34" s="39"/>
      <c r="D34" s="39"/>
      <c r="E34" s="39"/>
      <c r="F34" s="39"/>
      <c r="G34" s="40"/>
      <c r="H34" s="40"/>
      <c r="I34" s="40"/>
      <c r="J34" s="41" t="str">
        <f aca="false">IF(OR($B34="",$H34=""),"",IF($H34&gt;DateRef,0,YEARFRAC($H34,DateRef,1)))</f>
        <v/>
      </c>
      <c r="K34" s="42" t="str">
        <f aca="false">IF(OR($B34="",$H34=""),"",IF(EDATE($H34,12)&lt;=DateRef,"Plus d'un an","Moins d'un an"))</f>
        <v/>
      </c>
      <c r="L34" s="40"/>
      <c r="M34" s="43" t="str">
        <f aca="false">IF(OR($B34="",$A34=""),"",IF(SUMPRODUCT(MAX((Journal!$A$6:$A$1005=$A34)*Journal!$C$6:$C$1005))=0,"",SUMPRODUCT(MAX((Journal!$A$6:$A$1005=$A34)*Journal!$C$6:$C$1005))))</f>
        <v/>
      </c>
      <c r="N34" s="43" t="str">
        <f aca="false">IF($B34="","",IF(MAX($L34,$M34)=0,"",MAX($L34,$M34)))</f>
        <v/>
      </c>
      <c r="O34" s="44" t="str">
        <f aca="false">IF(OR($B34="",$H34=""),"",IF($N34="",IF(EDATE($H34,DelaiPremierEPP)&gt;DateRef,"1er EPP (1re année)","Aucun entretien renseigné"),IF(AND(ReglesTransitoires="Oui",EDATE($N34,AnciennePeriodiciteEP*12)&lt;DateVigueur),"Retard antérieur à la réforme","Périodicité "&amp;PeriodiciteEPP&amp;" ans")))</f>
        <v/>
      </c>
      <c r="P34" s="43" t="str">
        <f aca="false">IF(OR($B34="",$H34=""),"",IF($N34="",EDATE($H34,DelaiPremierEPP),IF(AND(ReglesTransitoires="Oui",EDATE($N34,AnciennePeriodiciteEP*12)&lt;DateVigueur),EDATE($N34,AnciennePeriodiciteEP*12),EDATE($N34,PeriodiciteEPP*12))))</f>
        <v/>
      </c>
      <c r="Q34" s="40"/>
      <c r="R34" s="45" t="str">
        <f aca="false">IF(OR($P34="",AND($I34&lt;&gt;"",$I34&lt;=DateRef)),"",$P34-DateRef)</f>
        <v/>
      </c>
      <c r="S34" s="42" t="str">
        <f aca="false">IF($B34="","",IF(AND($I34&lt;&gt;"",$I34&lt;=DateRef),"Sorti",IF($H34="","À compléter",IF(AND($Q34&lt;&gt;"",$Q34&gt;=DateRef,$Q34&lt;=$P34),"Planifié",IF($R34&lt;0,"En retard",IF($R34&lt;=SeuilAlerteEPP,"À planifier","À jour"))))))</f>
        <v/>
      </c>
      <c r="T34" s="46" t="str">
        <f aca="false">IF(OR($B34="",$S34="Sorti"),"",MID(IF($H34=""," | Date d'embauche manquante","")&amp;IF(AND($K34="Plus d'un an",$N34="")," | Précédent entretien à renseigner (ancienneté &gt; 1 an)","")&amp;IF($O34="Retard antérieur à la réforme"," | Ancien délai de 2 ans expiré avant la réforme","")&amp;IF(AND($N34&lt;&gt;"",$H34&lt;&gt;"",$N34&lt;$H34)," | Entretien antérieur à l'embauche ?","")&amp;IF(AND($N34&lt;&gt;"",$N34&gt;DateRef)," | Entretien daté dans le futur ?","")&amp;IF(AND($Q34&lt;&gt;"",$P34&lt;&gt;"",$Q34&gt;$P34)," | Date prévue après l'échéance","")&amp;IF(AND($Q34&lt;&gt;"",$Q34&lt;DateRef,OR($N34="",$N34&lt;$Q34))," | Entretien prévu passé : le consigner au Journal","")&amp;IF(AND($G34&lt;&gt;"",$X34="",YEAR(DateRef)-YEAR($G34)&gt;=AgeMiCarriere-1,YEAR(DateRef)-YEAR($G34)&lt;=AgeMiCarriere+1)," | Visite de mi-carrière à vérifier",""),4,1000))</f>
        <v/>
      </c>
      <c r="U34" s="39"/>
      <c r="V34" s="40"/>
      <c r="W34" s="42" t="str">
        <f aca="false">IF(OR($B34="",$V34=""),"",IF(AND($I34&lt;&gt;"",$I34&lt;=DateRef),"",IF(AND($N34&lt;&gt;"",$N34&gt;=$V34),"Réalisé",IF(AND($N34&lt;&gt;"",$N34&gt;=EDATE($V34,-FenetreRetour)),"Dispensé (EPP récent)",IF($V34&gt;DateRef,"À prévoir à la reprise","À proposer (reprise passée)")))))</f>
        <v/>
      </c>
      <c r="X34" s="40"/>
      <c r="Y34" s="43" t="str">
        <f aca="false">IF(OR($B34="",$X34=""),"",EDATE($X34,DelaiMiCarriere))</f>
        <v/>
      </c>
      <c r="Z34" s="42" t="str">
        <f aca="false">IF(OR($B34="",$X34=""),"",IF(AND($I34&lt;&gt;"",$I34&lt;=DateRef),"",IF(AND($N34&lt;&gt;"",$N34&gt;=$X34),"Réalisé",IF($Y34&lt;DateRef,"En retard","À planifier"))))</f>
        <v/>
      </c>
      <c r="AA34" s="47" t="str">
        <f aca="false">IF(OR($B34="",$G34=""),"",IF($G34&gt;DateRef,"",DATEDIF($G34,DateRef,"y")))</f>
        <v/>
      </c>
      <c r="AB34" s="43" t="str">
        <f aca="false">IF(OR($B34="",$G34=""),"",EDATE($G34,AgeFinCarriere*12))</f>
        <v/>
      </c>
      <c r="AC34" s="42" t="str">
        <f aca="false">IF(OR($B34="",$G34="",$H34=""),"",IF(AND($I34&lt;&gt;"",$I34&lt;=DateRef),"",IF($AB34&lt;DateVigueur,"Non concerné",IF(AND($N34&lt;&gt;"",$N34&gt;=MAX(EDATE($AB34,-FenetreFinCarriere*12),DateVigueur),$N34&lt;=$AB34),"Réalisé",IF(DateRef&gt;$AB34,"Non réalisé",IF(AND($Q34&lt;&gt;"",$Q34&gt;=EDATE($AB34,-FenetreFinCarriere*12),$Q34&lt;=$AB34),"Planifié dans la fenêtre",IF(AND(MAX($P34,DateRef)&gt;=EDATE($AB34,-FenetreFinCarriere*12),MAX($P34,DateRef)&lt;=$AB34),"Prochain EPP dans la fenêtre",IF(MAX($P34,DateRef)&gt;$AB34,"À programmer avant 60 ans",""))))))))</f>
        <v/>
      </c>
      <c r="AD34" s="40"/>
      <c r="AE34" s="43" t="str">
        <f aca="false">IF(OR($B34="",$H34="",AND($I34&lt;&gt;"",$I34&lt;=DateRef)),"",MAX($H34,$AD34,IF($A34="",0,SUMPRODUCT(MAX((Journal!$A$6:$A$1005=$A34)*((Journal!$D$6:$D$1005=TypeEDL)+(Journal!$D$6:$D$1005=TypeBilan6))*Journal!$C$6:$C$1005)))))</f>
        <v/>
      </c>
      <c r="AF34" s="43" t="str">
        <f aca="false">IF($AE34="","",IF(AND(ReglesTransitoires="Oui",EDATE($AE34,AnciennePeriodiciteEDL*12)&lt;DateVigueur),EDATE($AE34,AnciennePeriodiciteEDL*12),EDATE($AE34,PeriodiciteEDL*12)))</f>
        <v/>
      </c>
      <c r="AG34" s="42" t="str">
        <f aca="false">IF($AF34="","",IF(AND($I34&lt;&gt;"",$I34&lt;=DateRef),"",IF($AF34&lt;DateRef,"En retard",IF($AF34-DateRef&lt;=SeuilAlerteEDL,"À prévoir","À jour"))))</f>
        <v/>
      </c>
      <c r="AH34" s="39"/>
      <c r="AI34" s="39"/>
      <c r="AJ34" s="42" t="str">
        <f aca="false">IF(OR($B34="",$H34=""),"",IF(AND($I34&lt;&gt;"",$I34&lt;=DateRef),"",IF(Effectif&lt;SeuilEffectif,"Non concerné (&lt; "&amp;SeuilEffectif&amp;" salariés)",IF($AH34="Oui","Pas de risque",IF(AND(OR($AI34="Non",$S34="En retard"),$AH34="Non"),"Risque abondement",IF(OR($AI34="Non",$S34="En retard"),"À vérifier (formation ?)",IF($AI34="Oui","Pas de risque","À compléter")))))))</f>
        <v/>
      </c>
      <c r="AK34" s="39"/>
    </row>
    <row r="35" customFormat="false" ht="15" hidden="false" customHeight="false" outlineLevel="0" collapsed="false">
      <c r="A35" s="39"/>
      <c r="B35" s="39"/>
      <c r="C35" s="39"/>
      <c r="D35" s="39"/>
      <c r="E35" s="39"/>
      <c r="F35" s="39"/>
      <c r="G35" s="40"/>
      <c r="H35" s="40"/>
      <c r="I35" s="40"/>
      <c r="J35" s="41" t="str">
        <f aca="false">IF(OR($B35="",$H35=""),"",IF($H35&gt;DateRef,0,YEARFRAC($H35,DateRef,1)))</f>
        <v/>
      </c>
      <c r="K35" s="42" t="str">
        <f aca="false">IF(OR($B35="",$H35=""),"",IF(EDATE($H35,12)&lt;=DateRef,"Plus d'un an","Moins d'un an"))</f>
        <v/>
      </c>
      <c r="L35" s="40"/>
      <c r="M35" s="43" t="str">
        <f aca="false">IF(OR($B35="",$A35=""),"",IF(SUMPRODUCT(MAX((Journal!$A$6:$A$1005=$A35)*Journal!$C$6:$C$1005))=0,"",SUMPRODUCT(MAX((Journal!$A$6:$A$1005=$A35)*Journal!$C$6:$C$1005))))</f>
        <v/>
      </c>
      <c r="N35" s="43" t="str">
        <f aca="false">IF($B35="","",IF(MAX($L35,$M35)=0,"",MAX($L35,$M35)))</f>
        <v/>
      </c>
      <c r="O35" s="44" t="str">
        <f aca="false">IF(OR($B35="",$H35=""),"",IF($N35="",IF(EDATE($H35,DelaiPremierEPP)&gt;DateRef,"1er EPP (1re année)","Aucun entretien renseigné"),IF(AND(ReglesTransitoires="Oui",EDATE($N35,AnciennePeriodiciteEP*12)&lt;DateVigueur),"Retard antérieur à la réforme","Périodicité "&amp;PeriodiciteEPP&amp;" ans")))</f>
        <v/>
      </c>
      <c r="P35" s="43" t="str">
        <f aca="false">IF(OR($B35="",$H35=""),"",IF($N35="",EDATE($H35,DelaiPremierEPP),IF(AND(ReglesTransitoires="Oui",EDATE($N35,AnciennePeriodiciteEP*12)&lt;DateVigueur),EDATE($N35,AnciennePeriodiciteEP*12),EDATE($N35,PeriodiciteEPP*12))))</f>
        <v/>
      </c>
      <c r="Q35" s="40"/>
      <c r="R35" s="45" t="str">
        <f aca="false">IF(OR($P35="",AND($I35&lt;&gt;"",$I35&lt;=DateRef)),"",$P35-DateRef)</f>
        <v/>
      </c>
      <c r="S35" s="42" t="str">
        <f aca="false">IF($B35="","",IF(AND($I35&lt;&gt;"",$I35&lt;=DateRef),"Sorti",IF($H35="","À compléter",IF(AND($Q35&lt;&gt;"",$Q35&gt;=DateRef,$Q35&lt;=$P35),"Planifié",IF($R35&lt;0,"En retard",IF($R35&lt;=SeuilAlerteEPP,"À planifier","À jour"))))))</f>
        <v/>
      </c>
      <c r="T35" s="46" t="str">
        <f aca="false">IF(OR($B35="",$S35="Sorti"),"",MID(IF($H35=""," | Date d'embauche manquante","")&amp;IF(AND($K35="Plus d'un an",$N35="")," | Précédent entretien à renseigner (ancienneté &gt; 1 an)","")&amp;IF($O35="Retard antérieur à la réforme"," | Ancien délai de 2 ans expiré avant la réforme","")&amp;IF(AND($N35&lt;&gt;"",$H35&lt;&gt;"",$N35&lt;$H35)," | Entretien antérieur à l'embauche ?","")&amp;IF(AND($N35&lt;&gt;"",$N35&gt;DateRef)," | Entretien daté dans le futur ?","")&amp;IF(AND($Q35&lt;&gt;"",$P35&lt;&gt;"",$Q35&gt;$P35)," | Date prévue après l'échéance","")&amp;IF(AND($Q35&lt;&gt;"",$Q35&lt;DateRef,OR($N35="",$N35&lt;$Q35))," | Entretien prévu passé : le consigner au Journal","")&amp;IF(AND($G35&lt;&gt;"",$X35="",YEAR(DateRef)-YEAR($G35)&gt;=AgeMiCarriere-1,YEAR(DateRef)-YEAR($G35)&lt;=AgeMiCarriere+1)," | Visite de mi-carrière à vérifier",""),4,1000))</f>
        <v/>
      </c>
      <c r="U35" s="39"/>
      <c r="V35" s="40"/>
      <c r="W35" s="42" t="str">
        <f aca="false">IF(OR($B35="",$V35=""),"",IF(AND($I35&lt;&gt;"",$I35&lt;=DateRef),"",IF(AND($N35&lt;&gt;"",$N35&gt;=$V35),"Réalisé",IF(AND($N35&lt;&gt;"",$N35&gt;=EDATE($V35,-FenetreRetour)),"Dispensé (EPP récent)",IF($V35&gt;DateRef,"À prévoir à la reprise","À proposer (reprise passée)")))))</f>
        <v/>
      </c>
      <c r="X35" s="40"/>
      <c r="Y35" s="43" t="str">
        <f aca="false">IF(OR($B35="",$X35=""),"",EDATE($X35,DelaiMiCarriere))</f>
        <v/>
      </c>
      <c r="Z35" s="42" t="str">
        <f aca="false">IF(OR($B35="",$X35=""),"",IF(AND($I35&lt;&gt;"",$I35&lt;=DateRef),"",IF(AND($N35&lt;&gt;"",$N35&gt;=$X35),"Réalisé",IF($Y35&lt;DateRef,"En retard","À planifier"))))</f>
        <v/>
      </c>
      <c r="AA35" s="47" t="str">
        <f aca="false">IF(OR($B35="",$G35=""),"",IF($G35&gt;DateRef,"",DATEDIF($G35,DateRef,"y")))</f>
        <v/>
      </c>
      <c r="AB35" s="43" t="str">
        <f aca="false">IF(OR($B35="",$G35=""),"",EDATE($G35,AgeFinCarriere*12))</f>
        <v/>
      </c>
      <c r="AC35" s="42" t="str">
        <f aca="false">IF(OR($B35="",$G35="",$H35=""),"",IF(AND($I35&lt;&gt;"",$I35&lt;=DateRef),"",IF($AB35&lt;DateVigueur,"Non concerné",IF(AND($N35&lt;&gt;"",$N35&gt;=MAX(EDATE($AB35,-FenetreFinCarriere*12),DateVigueur),$N35&lt;=$AB35),"Réalisé",IF(DateRef&gt;$AB35,"Non réalisé",IF(AND($Q35&lt;&gt;"",$Q35&gt;=EDATE($AB35,-FenetreFinCarriere*12),$Q35&lt;=$AB35),"Planifié dans la fenêtre",IF(AND(MAX($P35,DateRef)&gt;=EDATE($AB35,-FenetreFinCarriere*12),MAX($P35,DateRef)&lt;=$AB35),"Prochain EPP dans la fenêtre",IF(MAX($P35,DateRef)&gt;$AB35,"À programmer avant 60 ans",""))))))))</f>
        <v/>
      </c>
      <c r="AD35" s="40"/>
      <c r="AE35" s="43" t="str">
        <f aca="false">IF(OR($B35="",$H35="",AND($I35&lt;&gt;"",$I35&lt;=DateRef)),"",MAX($H35,$AD35,IF($A35="",0,SUMPRODUCT(MAX((Journal!$A$6:$A$1005=$A35)*((Journal!$D$6:$D$1005=TypeEDL)+(Journal!$D$6:$D$1005=TypeBilan6))*Journal!$C$6:$C$1005)))))</f>
        <v/>
      </c>
      <c r="AF35" s="43" t="str">
        <f aca="false">IF($AE35="","",IF(AND(ReglesTransitoires="Oui",EDATE($AE35,AnciennePeriodiciteEDL*12)&lt;DateVigueur),EDATE($AE35,AnciennePeriodiciteEDL*12),EDATE($AE35,PeriodiciteEDL*12)))</f>
        <v/>
      </c>
      <c r="AG35" s="42" t="str">
        <f aca="false">IF($AF35="","",IF(AND($I35&lt;&gt;"",$I35&lt;=DateRef),"",IF($AF35&lt;DateRef,"En retard",IF($AF35-DateRef&lt;=SeuilAlerteEDL,"À prévoir","À jour"))))</f>
        <v/>
      </c>
      <c r="AH35" s="39"/>
      <c r="AI35" s="39"/>
      <c r="AJ35" s="42" t="str">
        <f aca="false">IF(OR($B35="",$H35=""),"",IF(AND($I35&lt;&gt;"",$I35&lt;=DateRef),"",IF(Effectif&lt;SeuilEffectif,"Non concerné (&lt; "&amp;SeuilEffectif&amp;" salariés)",IF($AH35="Oui","Pas de risque",IF(AND(OR($AI35="Non",$S35="En retard"),$AH35="Non"),"Risque abondement",IF(OR($AI35="Non",$S35="En retard"),"À vérifier (formation ?)",IF($AI35="Oui","Pas de risque","À compléter")))))))</f>
        <v/>
      </c>
      <c r="AK35" s="39"/>
    </row>
    <row r="36" customFormat="false" ht="15" hidden="false" customHeight="false" outlineLevel="0" collapsed="false">
      <c r="A36" s="39"/>
      <c r="B36" s="39"/>
      <c r="C36" s="39"/>
      <c r="D36" s="39"/>
      <c r="E36" s="39"/>
      <c r="F36" s="39"/>
      <c r="G36" s="40"/>
      <c r="H36" s="40"/>
      <c r="I36" s="40"/>
      <c r="J36" s="41" t="str">
        <f aca="false">IF(OR($B36="",$H36=""),"",IF($H36&gt;DateRef,0,YEARFRAC($H36,DateRef,1)))</f>
        <v/>
      </c>
      <c r="K36" s="42" t="str">
        <f aca="false">IF(OR($B36="",$H36=""),"",IF(EDATE($H36,12)&lt;=DateRef,"Plus d'un an","Moins d'un an"))</f>
        <v/>
      </c>
      <c r="L36" s="40"/>
      <c r="M36" s="43" t="str">
        <f aca="false">IF(OR($B36="",$A36=""),"",IF(SUMPRODUCT(MAX((Journal!$A$6:$A$1005=$A36)*Journal!$C$6:$C$1005))=0,"",SUMPRODUCT(MAX((Journal!$A$6:$A$1005=$A36)*Journal!$C$6:$C$1005))))</f>
        <v/>
      </c>
      <c r="N36" s="43" t="str">
        <f aca="false">IF($B36="","",IF(MAX($L36,$M36)=0,"",MAX($L36,$M36)))</f>
        <v/>
      </c>
      <c r="O36" s="44" t="str">
        <f aca="false">IF(OR($B36="",$H36=""),"",IF($N36="",IF(EDATE($H36,DelaiPremierEPP)&gt;DateRef,"1er EPP (1re année)","Aucun entretien renseigné"),IF(AND(ReglesTransitoires="Oui",EDATE($N36,AnciennePeriodiciteEP*12)&lt;DateVigueur),"Retard antérieur à la réforme","Périodicité "&amp;PeriodiciteEPP&amp;" ans")))</f>
        <v/>
      </c>
      <c r="P36" s="43" t="str">
        <f aca="false">IF(OR($B36="",$H36=""),"",IF($N36="",EDATE($H36,DelaiPremierEPP),IF(AND(ReglesTransitoires="Oui",EDATE($N36,AnciennePeriodiciteEP*12)&lt;DateVigueur),EDATE($N36,AnciennePeriodiciteEP*12),EDATE($N36,PeriodiciteEPP*12))))</f>
        <v/>
      </c>
      <c r="Q36" s="40"/>
      <c r="R36" s="45" t="str">
        <f aca="false">IF(OR($P36="",AND($I36&lt;&gt;"",$I36&lt;=DateRef)),"",$P36-DateRef)</f>
        <v/>
      </c>
      <c r="S36" s="42" t="str">
        <f aca="false">IF($B36="","",IF(AND($I36&lt;&gt;"",$I36&lt;=DateRef),"Sorti",IF($H36="","À compléter",IF(AND($Q36&lt;&gt;"",$Q36&gt;=DateRef,$Q36&lt;=$P36),"Planifié",IF($R36&lt;0,"En retard",IF($R36&lt;=SeuilAlerteEPP,"À planifier","À jour"))))))</f>
        <v/>
      </c>
      <c r="T36" s="46" t="str">
        <f aca="false">IF(OR($B36="",$S36="Sorti"),"",MID(IF($H36=""," | Date d'embauche manquante","")&amp;IF(AND($K36="Plus d'un an",$N36="")," | Précédent entretien à renseigner (ancienneté &gt; 1 an)","")&amp;IF($O36="Retard antérieur à la réforme"," | Ancien délai de 2 ans expiré avant la réforme","")&amp;IF(AND($N36&lt;&gt;"",$H36&lt;&gt;"",$N36&lt;$H36)," | Entretien antérieur à l'embauche ?","")&amp;IF(AND($N36&lt;&gt;"",$N36&gt;DateRef)," | Entretien daté dans le futur ?","")&amp;IF(AND($Q36&lt;&gt;"",$P36&lt;&gt;"",$Q36&gt;$P36)," | Date prévue après l'échéance","")&amp;IF(AND($Q36&lt;&gt;"",$Q36&lt;DateRef,OR($N36="",$N36&lt;$Q36))," | Entretien prévu passé : le consigner au Journal","")&amp;IF(AND($G36&lt;&gt;"",$X36="",YEAR(DateRef)-YEAR($G36)&gt;=AgeMiCarriere-1,YEAR(DateRef)-YEAR($G36)&lt;=AgeMiCarriere+1)," | Visite de mi-carrière à vérifier",""),4,1000))</f>
        <v/>
      </c>
      <c r="U36" s="39"/>
      <c r="V36" s="40"/>
      <c r="W36" s="42" t="str">
        <f aca="false">IF(OR($B36="",$V36=""),"",IF(AND($I36&lt;&gt;"",$I36&lt;=DateRef),"",IF(AND($N36&lt;&gt;"",$N36&gt;=$V36),"Réalisé",IF(AND($N36&lt;&gt;"",$N36&gt;=EDATE($V36,-FenetreRetour)),"Dispensé (EPP récent)",IF($V36&gt;DateRef,"À prévoir à la reprise","À proposer (reprise passée)")))))</f>
        <v/>
      </c>
      <c r="X36" s="40"/>
      <c r="Y36" s="43" t="str">
        <f aca="false">IF(OR($B36="",$X36=""),"",EDATE($X36,DelaiMiCarriere))</f>
        <v/>
      </c>
      <c r="Z36" s="42" t="str">
        <f aca="false">IF(OR($B36="",$X36=""),"",IF(AND($I36&lt;&gt;"",$I36&lt;=DateRef),"",IF(AND($N36&lt;&gt;"",$N36&gt;=$X36),"Réalisé",IF($Y36&lt;DateRef,"En retard","À planifier"))))</f>
        <v/>
      </c>
      <c r="AA36" s="47" t="str">
        <f aca="false">IF(OR($B36="",$G36=""),"",IF($G36&gt;DateRef,"",DATEDIF($G36,DateRef,"y")))</f>
        <v/>
      </c>
      <c r="AB36" s="43" t="str">
        <f aca="false">IF(OR($B36="",$G36=""),"",EDATE($G36,AgeFinCarriere*12))</f>
        <v/>
      </c>
      <c r="AC36" s="42" t="str">
        <f aca="false">IF(OR($B36="",$G36="",$H36=""),"",IF(AND($I36&lt;&gt;"",$I36&lt;=DateRef),"",IF($AB36&lt;DateVigueur,"Non concerné",IF(AND($N36&lt;&gt;"",$N36&gt;=MAX(EDATE($AB36,-FenetreFinCarriere*12),DateVigueur),$N36&lt;=$AB36),"Réalisé",IF(DateRef&gt;$AB36,"Non réalisé",IF(AND($Q36&lt;&gt;"",$Q36&gt;=EDATE($AB36,-FenetreFinCarriere*12),$Q36&lt;=$AB36),"Planifié dans la fenêtre",IF(AND(MAX($P36,DateRef)&gt;=EDATE($AB36,-FenetreFinCarriere*12),MAX($P36,DateRef)&lt;=$AB36),"Prochain EPP dans la fenêtre",IF(MAX($P36,DateRef)&gt;$AB36,"À programmer avant 60 ans",""))))))))</f>
        <v/>
      </c>
      <c r="AD36" s="40"/>
      <c r="AE36" s="43" t="str">
        <f aca="false">IF(OR($B36="",$H36="",AND($I36&lt;&gt;"",$I36&lt;=DateRef)),"",MAX($H36,$AD36,IF($A36="",0,SUMPRODUCT(MAX((Journal!$A$6:$A$1005=$A36)*((Journal!$D$6:$D$1005=TypeEDL)+(Journal!$D$6:$D$1005=TypeBilan6))*Journal!$C$6:$C$1005)))))</f>
        <v/>
      </c>
      <c r="AF36" s="43" t="str">
        <f aca="false">IF($AE36="","",IF(AND(ReglesTransitoires="Oui",EDATE($AE36,AnciennePeriodiciteEDL*12)&lt;DateVigueur),EDATE($AE36,AnciennePeriodiciteEDL*12),EDATE($AE36,PeriodiciteEDL*12)))</f>
        <v/>
      </c>
      <c r="AG36" s="42" t="str">
        <f aca="false">IF($AF36="","",IF(AND($I36&lt;&gt;"",$I36&lt;=DateRef),"",IF($AF36&lt;DateRef,"En retard",IF($AF36-DateRef&lt;=SeuilAlerteEDL,"À prévoir","À jour"))))</f>
        <v/>
      </c>
      <c r="AH36" s="39"/>
      <c r="AI36" s="39"/>
      <c r="AJ36" s="42" t="str">
        <f aca="false">IF(OR($B36="",$H36=""),"",IF(AND($I36&lt;&gt;"",$I36&lt;=DateRef),"",IF(Effectif&lt;SeuilEffectif,"Non concerné (&lt; "&amp;SeuilEffectif&amp;" salariés)",IF($AH36="Oui","Pas de risque",IF(AND(OR($AI36="Non",$S36="En retard"),$AH36="Non"),"Risque abondement",IF(OR($AI36="Non",$S36="En retard"),"À vérifier (formation ?)",IF($AI36="Oui","Pas de risque","À compléter")))))))</f>
        <v/>
      </c>
      <c r="AK36" s="39"/>
    </row>
    <row r="37" customFormat="false" ht="15" hidden="false" customHeight="false" outlineLevel="0" collapsed="false">
      <c r="A37" s="39"/>
      <c r="B37" s="39"/>
      <c r="C37" s="39"/>
      <c r="D37" s="39"/>
      <c r="E37" s="39"/>
      <c r="F37" s="39"/>
      <c r="G37" s="40"/>
      <c r="H37" s="40"/>
      <c r="I37" s="40"/>
      <c r="J37" s="41" t="str">
        <f aca="false">IF(OR($B37="",$H37=""),"",IF($H37&gt;DateRef,0,YEARFRAC($H37,DateRef,1)))</f>
        <v/>
      </c>
      <c r="K37" s="42" t="str">
        <f aca="false">IF(OR($B37="",$H37=""),"",IF(EDATE($H37,12)&lt;=DateRef,"Plus d'un an","Moins d'un an"))</f>
        <v/>
      </c>
      <c r="L37" s="40"/>
      <c r="M37" s="43" t="str">
        <f aca="false">IF(OR($B37="",$A37=""),"",IF(SUMPRODUCT(MAX((Journal!$A$6:$A$1005=$A37)*Journal!$C$6:$C$1005))=0,"",SUMPRODUCT(MAX((Journal!$A$6:$A$1005=$A37)*Journal!$C$6:$C$1005))))</f>
        <v/>
      </c>
      <c r="N37" s="43" t="str">
        <f aca="false">IF($B37="","",IF(MAX($L37,$M37)=0,"",MAX($L37,$M37)))</f>
        <v/>
      </c>
      <c r="O37" s="44" t="str">
        <f aca="false">IF(OR($B37="",$H37=""),"",IF($N37="",IF(EDATE($H37,DelaiPremierEPP)&gt;DateRef,"1er EPP (1re année)","Aucun entretien renseigné"),IF(AND(ReglesTransitoires="Oui",EDATE($N37,AnciennePeriodiciteEP*12)&lt;DateVigueur),"Retard antérieur à la réforme","Périodicité "&amp;PeriodiciteEPP&amp;" ans")))</f>
        <v/>
      </c>
      <c r="P37" s="43" t="str">
        <f aca="false">IF(OR($B37="",$H37=""),"",IF($N37="",EDATE($H37,DelaiPremierEPP),IF(AND(ReglesTransitoires="Oui",EDATE($N37,AnciennePeriodiciteEP*12)&lt;DateVigueur),EDATE($N37,AnciennePeriodiciteEP*12),EDATE($N37,PeriodiciteEPP*12))))</f>
        <v/>
      </c>
      <c r="Q37" s="40"/>
      <c r="R37" s="45" t="str">
        <f aca="false">IF(OR($P37="",AND($I37&lt;&gt;"",$I37&lt;=DateRef)),"",$P37-DateRef)</f>
        <v/>
      </c>
      <c r="S37" s="42" t="str">
        <f aca="false">IF($B37="","",IF(AND($I37&lt;&gt;"",$I37&lt;=DateRef),"Sorti",IF($H37="","À compléter",IF(AND($Q37&lt;&gt;"",$Q37&gt;=DateRef,$Q37&lt;=$P37),"Planifié",IF($R37&lt;0,"En retard",IF($R37&lt;=SeuilAlerteEPP,"À planifier","À jour"))))))</f>
        <v/>
      </c>
      <c r="T37" s="46" t="str">
        <f aca="false">IF(OR($B37="",$S37="Sorti"),"",MID(IF($H37=""," | Date d'embauche manquante","")&amp;IF(AND($K37="Plus d'un an",$N37="")," | Précédent entretien à renseigner (ancienneté &gt; 1 an)","")&amp;IF($O37="Retard antérieur à la réforme"," | Ancien délai de 2 ans expiré avant la réforme","")&amp;IF(AND($N37&lt;&gt;"",$H37&lt;&gt;"",$N37&lt;$H37)," | Entretien antérieur à l'embauche ?","")&amp;IF(AND($N37&lt;&gt;"",$N37&gt;DateRef)," | Entretien daté dans le futur ?","")&amp;IF(AND($Q37&lt;&gt;"",$P37&lt;&gt;"",$Q37&gt;$P37)," | Date prévue après l'échéance","")&amp;IF(AND($Q37&lt;&gt;"",$Q37&lt;DateRef,OR($N37="",$N37&lt;$Q37))," | Entretien prévu passé : le consigner au Journal","")&amp;IF(AND($G37&lt;&gt;"",$X37="",YEAR(DateRef)-YEAR($G37)&gt;=AgeMiCarriere-1,YEAR(DateRef)-YEAR($G37)&lt;=AgeMiCarriere+1)," | Visite de mi-carrière à vérifier",""),4,1000))</f>
        <v/>
      </c>
      <c r="U37" s="39"/>
      <c r="V37" s="40"/>
      <c r="W37" s="42" t="str">
        <f aca="false">IF(OR($B37="",$V37=""),"",IF(AND($I37&lt;&gt;"",$I37&lt;=DateRef),"",IF(AND($N37&lt;&gt;"",$N37&gt;=$V37),"Réalisé",IF(AND($N37&lt;&gt;"",$N37&gt;=EDATE($V37,-FenetreRetour)),"Dispensé (EPP récent)",IF($V37&gt;DateRef,"À prévoir à la reprise","À proposer (reprise passée)")))))</f>
        <v/>
      </c>
      <c r="X37" s="40"/>
      <c r="Y37" s="43" t="str">
        <f aca="false">IF(OR($B37="",$X37=""),"",EDATE($X37,DelaiMiCarriere))</f>
        <v/>
      </c>
      <c r="Z37" s="42" t="str">
        <f aca="false">IF(OR($B37="",$X37=""),"",IF(AND($I37&lt;&gt;"",$I37&lt;=DateRef),"",IF(AND($N37&lt;&gt;"",$N37&gt;=$X37),"Réalisé",IF($Y37&lt;DateRef,"En retard","À planifier"))))</f>
        <v/>
      </c>
      <c r="AA37" s="47" t="str">
        <f aca="false">IF(OR($B37="",$G37=""),"",IF($G37&gt;DateRef,"",DATEDIF($G37,DateRef,"y")))</f>
        <v/>
      </c>
      <c r="AB37" s="43" t="str">
        <f aca="false">IF(OR($B37="",$G37=""),"",EDATE($G37,AgeFinCarriere*12))</f>
        <v/>
      </c>
      <c r="AC37" s="42" t="str">
        <f aca="false">IF(OR($B37="",$G37="",$H37=""),"",IF(AND($I37&lt;&gt;"",$I37&lt;=DateRef),"",IF($AB37&lt;DateVigueur,"Non concerné",IF(AND($N37&lt;&gt;"",$N37&gt;=MAX(EDATE($AB37,-FenetreFinCarriere*12),DateVigueur),$N37&lt;=$AB37),"Réalisé",IF(DateRef&gt;$AB37,"Non réalisé",IF(AND($Q37&lt;&gt;"",$Q37&gt;=EDATE($AB37,-FenetreFinCarriere*12),$Q37&lt;=$AB37),"Planifié dans la fenêtre",IF(AND(MAX($P37,DateRef)&gt;=EDATE($AB37,-FenetreFinCarriere*12),MAX($P37,DateRef)&lt;=$AB37),"Prochain EPP dans la fenêtre",IF(MAX($P37,DateRef)&gt;$AB37,"À programmer avant 60 ans",""))))))))</f>
        <v/>
      </c>
      <c r="AD37" s="40"/>
      <c r="AE37" s="43" t="str">
        <f aca="false">IF(OR($B37="",$H37="",AND($I37&lt;&gt;"",$I37&lt;=DateRef)),"",MAX($H37,$AD37,IF($A37="",0,SUMPRODUCT(MAX((Journal!$A$6:$A$1005=$A37)*((Journal!$D$6:$D$1005=TypeEDL)+(Journal!$D$6:$D$1005=TypeBilan6))*Journal!$C$6:$C$1005)))))</f>
        <v/>
      </c>
      <c r="AF37" s="43" t="str">
        <f aca="false">IF($AE37="","",IF(AND(ReglesTransitoires="Oui",EDATE($AE37,AnciennePeriodiciteEDL*12)&lt;DateVigueur),EDATE($AE37,AnciennePeriodiciteEDL*12),EDATE($AE37,PeriodiciteEDL*12)))</f>
        <v/>
      </c>
      <c r="AG37" s="42" t="str">
        <f aca="false">IF($AF37="","",IF(AND($I37&lt;&gt;"",$I37&lt;=DateRef),"",IF($AF37&lt;DateRef,"En retard",IF($AF37-DateRef&lt;=SeuilAlerteEDL,"À prévoir","À jour"))))</f>
        <v/>
      </c>
      <c r="AH37" s="39"/>
      <c r="AI37" s="39"/>
      <c r="AJ37" s="42" t="str">
        <f aca="false">IF(OR($B37="",$H37=""),"",IF(AND($I37&lt;&gt;"",$I37&lt;=DateRef),"",IF(Effectif&lt;SeuilEffectif,"Non concerné (&lt; "&amp;SeuilEffectif&amp;" salariés)",IF($AH37="Oui","Pas de risque",IF(AND(OR($AI37="Non",$S37="En retard"),$AH37="Non"),"Risque abondement",IF(OR($AI37="Non",$S37="En retard"),"À vérifier (formation ?)",IF($AI37="Oui","Pas de risque","À compléter")))))))</f>
        <v/>
      </c>
      <c r="AK37" s="39"/>
    </row>
    <row r="38" customFormat="false" ht="15" hidden="false" customHeight="false" outlineLevel="0" collapsed="false">
      <c r="A38" s="39"/>
      <c r="B38" s="39"/>
      <c r="C38" s="39"/>
      <c r="D38" s="39"/>
      <c r="E38" s="39"/>
      <c r="F38" s="39"/>
      <c r="G38" s="40"/>
      <c r="H38" s="40"/>
      <c r="I38" s="40"/>
      <c r="J38" s="41" t="str">
        <f aca="false">IF(OR($B38="",$H38=""),"",IF($H38&gt;DateRef,0,YEARFRAC($H38,DateRef,1)))</f>
        <v/>
      </c>
      <c r="K38" s="42" t="str">
        <f aca="false">IF(OR($B38="",$H38=""),"",IF(EDATE($H38,12)&lt;=DateRef,"Plus d'un an","Moins d'un an"))</f>
        <v/>
      </c>
      <c r="L38" s="40"/>
      <c r="M38" s="43" t="str">
        <f aca="false">IF(OR($B38="",$A38=""),"",IF(SUMPRODUCT(MAX((Journal!$A$6:$A$1005=$A38)*Journal!$C$6:$C$1005))=0,"",SUMPRODUCT(MAX((Journal!$A$6:$A$1005=$A38)*Journal!$C$6:$C$1005))))</f>
        <v/>
      </c>
      <c r="N38" s="43" t="str">
        <f aca="false">IF($B38="","",IF(MAX($L38,$M38)=0,"",MAX($L38,$M38)))</f>
        <v/>
      </c>
      <c r="O38" s="44" t="str">
        <f aca="false">IF(OR($B38="",$H38=""),"",IF($N38="",IF(EDATE($H38,DelaiPremierEPP)&gt;DateRef,"1er EPP (1re année)","Aucun entretien renseigné"),IF(AND(ReglesTransitoires="Oui",EDATE($N38,AnciennePeriodiciteEP*12)&lt;DateVigueur),"Retard antérieur à la réforme","Périodicité "&amp;PeriodiciteEPP&amp;" ans")))</f>
        <v/>
      </c>
      <c r="P38" s="43" t="str">
        <f aca="false">IF(OR($B38="",$H38=""),"",IF($N38="",EDATE($H38,DelaiPremierEPP),IF(AND(ReglesTransitoires="Oui",EDATE($N38,AnciennePeriodiciteEP*12)&lt;DateVigueur),EDATE($N38,AnciennePeriodiciteEP*12),EDATE($N38,PeriodiciteEPP*12))))</f>
        <v/>
      </c>
      <c r="Q38" s="40"/>
      <c r="R38" s="45" t="str">
        <f aca="false">IF(OR($P38="",AND($I38&lt;&gt;"",$I38&lt;=DateRef)),"",$P38-DateRef)</f>
        <v/>
      </c>
      <c r="S38" s="42" t="str">
        <f aca="false">IF($B38="","",IF(AND($I38&lt;&gt;"",$I38&lt;=DateRef),"Sorti",IF($H38="","À compléter",IF(AND($Q38&lt;&gt;"",$Q38&gt;=DateRef,$Q38&lt;=$P38),"Planifié",IF($R38&lt;0,"En retard",IF($R38&lt;=SeuilAlerteEPP,"À planifier","À jour"))))))</f>
        <v/>
      </c>
      <c r="T38" s="46" t="str">
        <f aca="false">IF(OR($B38="",$S38="Sorti"),"",MID(IF($H38=""," | Date d'embauche manquante","")&amp;IF(AND($K38="Plus d'un an",$N38="")," | Précédent entretien à renseigner (ancienneté &gt; 1 an)","")&amp;IF($O38="Retard antérieur à la réforme"," | Ancien délai de 2 ans expiré avant la réforme","")&amp;IF(AND($N38&lt;&gt;"",$H38&lt;&gt;"",$N38&lt;$H38)," | Entretien antérieur à l'embauche ?","")&amp;IF(AND($N38&lt;&gt;"",$N38&gt;DateRef)," | Entretien daté dans le futur ?","")&amp;IF(AND($Q38&lt;&gt;"",$P38&lt;&gt;"",$Q38&gt;$P38)," | Date prévue après l'échéance","")&amp;IF(AND($Q38&lt;&gt;"",$Q38&lt;DateRef,OR($N38="",$N38&lt;$Q38))," | Entretien prévu passé : le consigner au Journal","")&amp;IF(AND($G38&lt;&gt;"",$X38="",YEAR(DateRef)-YEAR($G38)&gt;=AgeMiCarriere-1,YEAR(DateRef)-YEAR($G38)&lt;=AgeMiCarriere+1)," | Visite de mi-carrière à vérifier",""),4,1000))</f>
        <v/>
      </c>
      <c r="U38" s="39"/>
      <c r="V38" s="40"/>
      <c r="W38" s="42" t="str">
        <f aca="false">IF(OR($B38="",$V38=""),"",IF(AND($I38&lt;&gt;"",$I38&lt;=DateRef),"",IF(AND($N38&lt;&gt;"",$N38&gt;=$V38),"Réalisé",IF(AND($N38&lt;&gt;"",$N38&gt;=EDATE($V38,-FenetreRetour)),"Dispensé (EPP récent)",IF($V38&gt;DateRef,"À prévoir à la reprise","À proposer (reprise passée)")))))</f>
        <v/>
      </c>
      <c r="X38" s="40"/>
      <c r="Y38" s="43" t="str">
        <f aca="false">IF(OR($B38="",$X38=""),"",EDATE($X38,DelaiMiCarriere))</f>
        <v/>
      </c>
      <c r="Z38" s="42" t="str">
        <f aca="false">IF(OR($B38="",$X38=""),"",IF(AND($I38&lt;&gt;"",$I38&lt;=DateRef),"",IF(AND($N38&lt;&gt;"",$N38&gt;=$X38),"Réalisé",IF($Y38&lt;DateRef,"En retard","À planifier"))))</f>
        <v/>
      </c>
      <c r="AA38" s="47" t="str">
        <f aca="false">IF(OR($B38="",$G38=""),"",IF($G38&gt;DateRef,"",DATEDIF($G38,DateRef,"y")))</f>
        <v/>
      </c>
      <c r="AB38" s="43" t="str">
        <f aca="false">IF(OR($B38="",$G38=""),"",EDATE($G38,AgeFinCarriere*12))</f>
        <v/>
      </c>
      <c r="AC38" s="42" t="str">
        <f aca="false">IF(OR($B38="",$G38="",$H38=""),"",IF(AND($I38&lt;&gt;"",$I38&lt;=DateRef),"",IF($AB38&lt;DateVigueur,"Non concerné",IF(AND($N38&lt;&gt;"",$N38&gt;=MAX(EDATE($AB38,-FenetreFinCarriere*12),DateVigueur),$N38&lt;=$AB38),"Réalisé",IF(DateRef&gt;$AB38,"Non réalisé",IF(AND($Q38&lt;&gt;"",$Q38&gt;=EDATE($AB38,-FenetreFinCarriere*12),$Q38&lt;=$AB38),"Planifié dans la fenêtre",IF(AND(MAX($P38,DateRef)&gt;=EDATE($AB38,-FenetreFinCarriere*12),MAX($P38,DateRef)&lt;=$AB38),"Prochain EPP dans la fenêtre",IF(MAX($P38,DateRef)&gt;$AB38,"À programmer avant 60 ans",""))))))))</f>
        <v/>
      </c>
      <c r="AD38" s="40"/>
      <c r="AE38" s="43" t="str">
        <f aca="false">IF(OR($B38="",$H38="",AND($I38&lt;&gt;"",$I38&lt;=DateRef)),"",MAX($H38,$AD38,IF($A38="",0,SUMPRODUCT(MAX((Journal!$A$6:$A$1005=$A38)*((Journal!$D$6:$D$1005=TypeEDL)+(Journal!$D$6:$D$1005=TypeBilan6))*Journal!$C$6:$C$1005)))))</f>
        <v/>
      </c>
      <c r="AF38" s="43" t="str">
        <f aca="false">IF($AE38="","",IF(AND(ReglesTransitoires="Oui",EDATE($AE38,AnciennePeriodiciteEDL*12)&lt;DateVigueur),EDATE($AE38,AnciennePeriodiciteEDL*12),EDATE($AE38,PeriodiciteEDL*12)))</f>
        <v/>
      </c>
      <c r="AG38" s="42" t="str">
        <f aca="false">IF($AF38="","",IF(AND($I38&lt;&gt;"",$I38&lt;=DateRef),"",IF($AF38&lt;DateRef,"En retard",IF($AF38-DateRef&lt;=SeuilAlerteEDL,"À prévoir","À jour"))))</f>
        <v/>
      </c>
      <c r="AH38" s="39"/>
      <c r="AI38" s="39"/>
      <c r="AJ38" s="42" t="str">
        <f aca="false">IF(OR($B38="",$H38=""),"",IF(AND($I38&lt;&gt;"",$I38&lt;=DateRef),"",IF(Effectif&lt;SeuilEffectif,"Non concerné (&lt; "&amp;SeuilEffectif&amp;" salariés)",IF($AH38="Oui","Pas de risque",IF(AND(OR($AI38="Non",$S38="En retard"),$AH38="Non"),"Risque abondement",IF(OR($AI38="Non",$S38="En retard"),"À vérifier (formation ?)",IF($AI38="Oui","Pas de risque","À compléter")))))))</f>
        <v/>
      </c>
      <c r="AK38" s="39"/>
    </row>
    <row r="39" customFormat="false" ht="15" hidden="false" customHeight="false" outlineLevel="0" collapsed="false">
      <c r="A39" s="39"/>
      <c r="B39" s="39"/>
      <c r="C39" s="39"/>
      <c r="D39" s="39"/>
      <c r="E39" s="39"/>
      <c r="F39" s="39"/>
      <c r="G39" s="40"/>
      <c r="H39" s="40"/>
      <c r="I39" s="40"/>
      <c r="J39" s="41" t="str">
        <f aca="false">IF(OR($B39="",$H39=""),"",IF($H39&gt;DateRef,0,YEARFRAC($H39,DateRef,1)))</f>
        <v/>
      </c>
      <c r="K39" s="42" t="str">
        <f aca="false">IF(OR($B39="",$H39=""),"",IF(EDATE($H39,12)&lt;=DateRef,"Plus d'un an","Moins d'un an"))</f>
        <v/>
      </c>
      <c r="L39" s="40"/>
      <c r="M39" s="43" t="str">
        <f aca="false">IF(OR($B39="",$A39=""),"",IF(SUMPRODUCT(MAX((Journal!$A$6:$A$1005=$A39)*Journal!$C$6:$C$1005))=0,"",SUMPRODUCT(MAX((Journal!$A$6:$A$1005=$A39)*Journal!$C$6:$C$1005))))</f>
        <v/>
      </c>
      <c r="N39" s="43" t="str">
        <f aca="false">IF($B39="","",IF(MAX($L39,$M39)=0,"",MAX($L39,$M39)))</f>
        <v/>
      </c>
      <c r="O39" s="44" t="str">
        <f aca="false">IF(OR($B39="",$H39=""),"",IF($N39="",IF(EDATE($H39,DelaiPremierEPP)&gt;DateRef,"1er EPP (1re année)","Aucun entretien renseigné"),IF(AND(ReglesTransitoires="Oui",EDATE($N39,AnciennePeriodiciteEP*12)&lt;DateVigueur),"Retard antérieur à la réforme","Périodicité "&amp;PeriodiciteEPP&amp;" ans")))</f>
        <v/>
      </c>
      <c r="P39" s="43" t="str">
        <f aca="false">IF(OR($B39="",$H39=""),"",IF($N39="",EDATE($H39,DelaiPremierEPP),IF(AND(ReglesTransitoires="Oui",EDATE($N39,AnciennePeriodiciteEP*12)&lt;DateVigueur),EDATE($N39,AnciennePeriodiciteEP*12),EDATE($N39,PeriodiciteEPP*12))))</f>
        <v/>
      </c>
      <c r="Q39" s="40"/>
      <c r="R39" s="45" t="str">
        <f aca="false">IF(OR($P39="",AND($I39&lt;&gt;"",$I39&lt;=DateRef)),"",$P39-DateRef)</f>
        <v/>
      </c>
      <c r="S39" s="42" t="str">
        <f aca="false">IF($B39="","",IF(AND($I39&lt;&gt;"",$I39&lt;=DateRef),"Sorti",IF($H39="","À compléter",IF(AND($Q39&lt;&gt;"",$Q39&gt;=DateRef,$Q39&lt;=$P39),"Planifié",IF($R39&lt;0,"En retard",IF($R39&lt;=SeuilAlerteEPP,"À planifier","À jour"))))))</f>
        <v/>
      </c>
      <c r="T39" s="46" t="str">
        <f aca="false">IF(OR($B39="",$S39="Sorti"),"",MID(IF($H39=""," | Date d'embauche manquante","")&amp;IF(AND($K39="Plus d'un an",$N39="")," | Précédent entretien à renseigner (ancienneté &gt; 1 an)","")&amp;IF($O39="Retard antérieur à la réforme"," | Ancien délai de 2 ans expiré avant la réforme","")&amp;IF(AND($N39&lt;&gt;"",$H39&lt;&gt;"",$N39&lt;$H39)," | Entretien antérieur à l'embauche ?","")&amp;IF(AND($N39&lt;&gt;"",$N39&gt;DateRef)," | Entretien daté dans le futur ?","")&amp;IF(AND($Q39&lt;&gt;"",$P39&lt;&gt;"",$Q39&gt;$P39)," | Date prévue après l'échéance","")&amp;IF(AND($Q39&lt;&gt;"",$Q39&lt;DateRef,OR($N39="",$N39&lt;$Q39))," | Entretien prévu passé : le consigner au Journal","")&amp;IF(AND($G39&lt;&gt;"",$X39="",YEAR(DateRef)-YEAR($G39)&gt;=AgeMiCarriere-1,YEAR(DateRef)-YEAR($G39)&lt;=AgeMiCarriere+1)," | Visite de mi-carrière à vérifier",""),4,1000))</f>
        <v/>
      </c>
      <c r="U39" s="39"/>
      <c r="V39" s="40"/>
      <c r="W39" s="42" t="str">
        <f aca="false">IF(OR($B39="",$V39=""),"",IF(AND($I39&lt;&gt;"",$I39&lt;=DateRef),"",IF(AND($N39&lt;&gt;"",$N39&gt;=$V39),"Réalisé",IF(AND($N39&lt;&gt;"",$N39&gt;=EDATE($V39,-FenetreRetour)),"Dispensé (EPP récent)",IF($V39&gt;DateRef,"À prévoir à la reprise","À proposer (reprise passée)")))))</f>
        <v/>
      </c>
      <c r="X39" s="40"/>
      <c r="Y39" s="43" t="str">
        <f aca="false">IF(OR($B39="",$X39=""),"",EDATE($X39,DelaiMiCarriere))</f>
        <v/>
      </c>
      <c r="Z39" s="42" t="str">
        <f aca="false">IF(OR($B39="",$X39=""),"",IF(AND($I39&lt;&gt;"",$I39&lt;=DateRef),"",IF(AND($N39&lt;&gt;"",$N39&gt;=$X39),"Réalisé",IF($Y39&lt;DateRef,"En retard","À planifier"))))</f>
        <v/>
      </c>
      <c r="AA39" s="47" t="str">
        <f aca="false">IF(OR($B39="",$G39=""),"",IF($G39&gt;DateRef,"",DATEDIF($G39,DateRef,"y")))</f>
        <v/>
      </c>
      <c r="AB39" s="43" t="str">
        <f aca="false">IF(OR($B39="",$G39=""),"",EDATE($G39,AgeFinCarriere*12))</f>
        <v/>
      </c>
      <c r="AC39" s="42" t="str">
        <f aca="false">IF(OR($B39="",$G39="",$H39=""),"",IF(AND($I39&lt;&gt;"",$I39&lt;=DateRef),"",IF($AB39&lt;DateVigueur,"Non concerné",IF(AND($N39&lt;&gt;"",$N39&gt;=MAX(EDATE($AB39,-FenetreFinCarriere*12),DateVigueur),$N39&lt;=$AB39),"Réalisé",IF(DateRef&gt;$AB39,"Non réalisé",IF(AND($Q39&lt;&gt;"",$Q39&gt;=EDATE($AB39,-FenetreFinCarriere*12),$Q39&lt;=$AB39),"Planifié dans la fenêtre",IF(AND(MAX($P39,DateRef)&gt;=EDATE($AB39,-FenetreFinCarriere*12),MAX($P39,DateRef)&lt;=$AB39),"Prochain EPP dans la fenêtre",IF(MAX($P39,DateRef)&gt;$AB39,"À programmer avant 60 ans",""))))))))</f>
        <v/>
      </c>
      <c r="AD39" s="40"/>
      <c r="AE39" s="43" t="str">
        <f aca="false">IF(OR($B39="",$H39="",AND($I39&lt;&gt;"",$I39&lt;=DateRef)),"",MAX($H39,$AD39,IF($A39="",0,SUMPRODUCT(MAX((Journal!$A$6:$A$1005=$A39)*((Journal!$D$6:$D$1005=TypeEDL)+(Journal!$D$6:$D$1005=TypeBilan6))*Journal!$C$6:$C$1005)))))</f>
        <v/>
      </c>
      <c r="AF39" s="43" t="str">
        <f aca="false">IF($AE39="","",IF(AND(ReglesTransitoires="Oui",EDATE($AE39,AnciennePeriodiciteEDL*12)&lt;DateVigueur),EDATE($AE39,AnciennePeriodiciteEDL*12),EDATE($AE39,PeriodiciteEDL*12)))</f>
        <v/>
      </c>
      <c r="AG39" s="42" t="str">
        <f aca="false">IF($AF39="","",IF(AND($I39&lt;&gt;"",$I39&lt;=DateRef),"",IF($AF39&lt;DateRef,"En retard",IF($AF39-DateRef&lt;=SeuilAlerteEDL,"À prévoir","À jour"))))</f>
        <v/>
      </c>
      <c r="AH39" s="39"/>
      <c r="AI39" s="39"/>
      <c r="AJ39" s="42" t="str">
        <f aca="false">IF(OR($B39="",$H39=""),"",IF(AND($I39&lt;&gt;"",$I39&lt;=DateRef),"",IF(Effectif&lt;SeuilEffectif,"Non concerné (&lt; "&amp;SeuilEffectif&amp;" salariés)",IF($AH39="Oui","Pas de risque",IF(AND(OR($AI39="Non",$S39="En retard"),$AH39="Non"),"Risque abondement",IF(OR($AI39="Non",$S39="En retard"),"À vérifier (formation ?)",IF($AI39="Oui","Pas de risque","À compléter")))))))</f>
        <v/>
      </c>
      <c r="AK39" s="39"/>
    </row>
    <row r="40" customFormat="false" ht="15" hidden="false" customHeight="false" outlineLevel="0" collapsed="false">
      <c r="A40" s="39"/>
      <c r="B40" s="39"/>
      <c r="C40" s="39"/>
      <c r="D40" s="39"/>
      <c r="E40" s="39"/>
      <c r="F40" s="39"/>
      <c r="G40" s="40"/>
      <c r="H40" s="40"/>
      <c r="I40" s="40"/>
      <c r="J40" s="41" t="str">
        <f aca="false">IF(OR($B40="",$H40=""),"",IF($H40&gt;DateRef,0,YEARFRAC($H40,DateRef,1)))</f>
        <v/>
      </c>
      <c r="K40" s="42" t="str">
        <f aca="false">IF(OR($B40="",$H40=""),"",IF(EDATE($H40,12)&lt;=DateRef,"Plus d'un an","Moins d'un an"))</f>
        <v/>
      </c>
      <c r="L40" s="40"/>
      <c r="M40" s="43" t="str">
        <f aca="false">IF(OR($B40="",$A40=""),"",IF(SUMPRODUCT(MAX((Journal!$A$6:$A$1005=$A40)*Journal!$C$6:$C$1005))=0,"",SUMPRODUCT(MAX((Journal!$A$6:$A$1005=$A40)*Journal!$C$6:$C$1005))))</f>
        <v/>
      </c>
      <c r="N40" s="43" t="str">
        <f aca="false">IF($B40="","",IF(MAX($L40,$M40)=0,"",MAX($L40,$M40)))</f>
        <v/>
      </c>
      <c r="O40" s="44" t="str">
        <f aca="false">IF(OR($B40="",$H40=""),"",IF($N40="",IF(EDATE($H40,DelaiPremierEPP)&gt;DateRef,"1er EPP (1re année)","Aucun entretien renseigné"),IF(AND(ReglesTransitoires="Oui",EDATE($N40,AnciennePeriodiciteEP*12)&lt;DateVigueur),"Retard antérieur à la réforme","Périodicité "&amp;PeriodiciteEPP&amp;" ans")))</f>
        <v/>
      </c>
      <c r="P40" s="43" t="str">
        <f aca="false">IF(OR($B40="",$H40=""),"",IF($N40="",EDATE($H40,DelaiPremierEPP),IF(AND(ReglesTransitoires="Oui",EDATE($N40,AnciennePeriodiciteEP*12)&lt;DateVigueur),EDATE($N40,AnciennePeriodiciteEP*12),EDATE($N40,PeriodiciteEPP*12))))</f>
        <v/>
      </c>
      <c r="Q40" s="40"/>
      <c r="R40" s="45" t="str">
        <f aca="false">IF(OR($P40="",AND($I40&lt;&gt;"",$I40&lt;=DateRef)),"",$P40-DateRef)</f>
        <v/>
      </c>
      <c r="S40" s="42" t="str">
        <f aca="false">IF($B40="","",IF(AND($I40&lt;&gt;"",$I40&lt;=DateRef),"Sorti",IF($H40="","À compléter",IF(AND($Q40&lt;&gt;"",$Q40&gt;=DateRef,$Q40&lt;=$P40),"Planifié",IF($R40&lt;0,"En retard",IF($R40&lt;=SeuilAlerteEPP,"À planifier","À jour"))))))</f>
        <v/>
      </c>
      <c r="T40" s="46" t="str">
        <f aca="false">IF(OR($B40="",$S40="Sorti"),"",MID(IF($H40=""," | Date d'embauche manquante","")&amp;IF(AND($K40="Plus d'un an",$N40="")," | Précédent entretien à renseigner (ancienneté &gt; 1 an)","")&amp;IF($O40="Retard antérieur à la réforme"," | Ancien délai de 2 ans expiré avant la réforme","")&amp;IF(AND($N40&lt;&gt;"",$H40&lt;&gt;"",$N40&lt;$H40)," | Entretien antérieur à l'embauche ?","")&amp;IF(AND($N40&lt;&gt;"",$N40&gt;DateRef)," | Entretien daté dans le futur ?","")&amp;IF(AND($Q40&lt;&gt;"",$P40&lt;&gt;"",$Q40&gt;$P40)," | Date prévue après l'échéance","")&amp;IF(AND($Q40&lt;&gt;"",$Q40&lt;DateRef,OR($N40="",$N40&lt;$Q40))," | Entretien prévu passé : le consigner au Journal","")&amp;IF(AND($G40&lt;&gt;"",$X40="",YEAR(DateRef)-YEAR($G40)&gt;=AgeMiCarriere-1,YEAR(DateRef)-YEAR($G40)&lt;=AgeMiCarriere+1)," | Visite de mi-carrière à vérifier",""),4,1000))</f>
        <v/>
      </c>
      <c r="U40" s="39"/>
      <c r="V40" s="40"/>
      <c r="W40" s="42" t="str">
        <f aca="false">IF(OR($B40="",$V40=""),"",IF(AND($I40&lt;&gt;"",$I40&lt;=DateRef),"",IF(AND($N40&lt;&gt;"",$N40&gt;=$V40),"Réalisé",IF(AND($N40&lt;&gt;"",$N40&gt;=EDATE($V40,-FenetreRetour)),"Dispensé (EPP récent)",IF($V40&gt;DateRef,"À prévoir à la reprise","À proposer (reprise passée)")))))</f>
        <v/>
      </c>
      <c r="X40" s="40"/>
      <c r="Y40" s="43" t="str">
        <f aca="false">IF(OR($B40="",$X40=""),"",EDATE($X40,DelaiMiCarriere))</f>
        <v/>
      </c>
      <c r="Z40" s="42" t="str">
        <f aca="false">IF(OR($B40="",$X40=""),"",IF(AND($I40&lt;&gt;"",$I40&lt;=DateRef),"",IF(AND($N40&lt;&gt;"",$N40&gt;=$X40),"Réalisé",IF($Y40&lt;DateRef,"En retard","À planifier"))))</f>
        <v/>
      </c>
      <c r="AA40" s="47" t="str">
        <f aca="false">IF(OR($B40="",$G40=""),"",IF($G40&gt;DateRef,"",DATEDIF($G40,DateRef,"y")))</f>
        <v/>
      </c>
      <c r="AB40" s="43" t="str">
        <f aca="false">IF(OR($B40="",$G40=""),"",EDATE($G40,AgeFinCarriere*12))</f>
        <v/>
      </c>
      <c r="AC40" s="42" t="str">
        <f aca="false">IF(OR($B40="",$G40="",$H40=""),"",IF(AND($I40&lt;&gt;"",$I40&lt;=DateRef),"",IF($AB40&lt;DateVigueur,"Non concerné",IF(AND($N40&lt;&gt;"",$N40&gt;=MAX(EDATE($AB40,-FenetreFinCarriere*12),DateVigueur),$N40&lt;=$AB40),"Réalisé",IF(DateRef&gt;$AB40,"Non réalisé",IF(AND($Q40&lt;&gt;"",$Q40&gt;=EDATE($AB40,-FenetreFinCarriere*12),$Q40&lt;=$AB40),"Planifié dans la fenêtre",IF(AND(MAX($P40,DateRef)&gt;=EDATE($AB40,-FenetreFinCarriere*12),MAX($P40,DateRef)&lt;=$AB40),"Prochain EPP dans la fenêtre",IF(MAX($P40,DateRef)&gt;$AB40,"À programmer avant 60 ans",""))))))))</f>
        <v/>
      </c>
      <c r="AD40" s="40"/>
      <c r="AE40" s="43" t="str">
        <f aca="false">IF(OR($B40="",$H40="",AND($I40&lt;&gt;"",$I40&lt;=DateRef)),"",MAX($H40,$AD40,IF($A40="",0,SUMPRODUCT(MAX((Journal!$A$6:$A$1005=$A40)*((Journal!$D$6:$D$1005=TypeEDL)+(Journal!$D$6:$D$1005=TypeBilan6))*Journal!$C$6:$C$1005)))))</f>
        <v/>
      </c>
      <c r="AF40" s="43" t="str">
        <f aca="false">IF($AE40="","",IF(AND(ReglesTransitoires="Oui",EDATE($AE40,AnciennePeriodiciteEDL*12)&lt;DateVigueur),EDATE($AE40,AnciennePeriodiciteEDL*12),EDATE($AE40,PeriodiciteEDL*12)))</f>
        <v/>
      </c>
      <c r="AG40" s="42" t="str">
        <f aca="false">IF($AF40="","",IF(AND($I40&lt;&gt;"",$I40&lt;=DateRef),"",IF($AF40&lt;DateRef,"En retard",IF($AF40-DateRef&lt;=SeuilAlerteEDL,"À prévoir","À jour"))))</f>
        <v/>
      </c>
      <c r="AH40" s="39"/>
      <c r="AI40" s="39"/>
      <c r="AJ40" s="42" t="str">
        <f aca="false">IF(OR($B40="",$H40=""),"",IF(AND($I40&lt;&gt;"",$I40&lt;=DateRef),"",IF(Effectif&lt;SeuilEffectif,"Non concerné (&lt; "&amp;SeuilEffectif&amp;" salariés)",IF($AH40="Oui","Pas de risque",IF(AND(OR($AI40="Non",$S40="En retard"),$AH40="Non"),"Risque abondement",IF(OR($AI40="Non",$S40="En retard"),"À vérifier (formation ?)",IF($AI40="Oui","Pas de risque","À compléter")))))))</f>
        <v/>
      </c>
      <c r="AK40" s="39"/>
    </row>
    <row r="41" customFormat="false" ht="15" hidden="false" customHeight="false" outlineLevel="0" collapsed="false">
      <c r="A41" s="39"/>
      <c r="B41" s="39"/>
      <c r="C41" s="39"/>
      <c r="D41" s="39"/>
      <c r="E41" s="39"/>
      <c r="F41" s="39"/>
      <c r="G41" s="40"/>
      <c r="H41" s="40"/>
      <c r="I41" s="40"/>
      <c r="J41" s="41" t="str">
        <f aca="false">IF(OR($B41="",$H41=""),"",IF($H41&gt;DateRef,0,YEARFRAC($H41,DateRef,1)))</f>
        <v/>
      </c>
      <c r="K41" s="42" t="str">
        <f aca="false">IF(OR($B41="",$H41=""),"",IF(EDATE($H41,12)&lt;=DateRef,"Plus d'un an","Moins d'un an"))</f>
        <v/>
      </c>
      <c r="L41" s="40"/>
      <c r="M41" s="43" t="str">
        <f aca="false">IF(OR($B41="",$A41=""),"",IF(SUMPRODUCT(MAX((Journal!$A$6:$A$1005=$A41)*Journal!$C$6:$C$1005))=0,"",SUMPRODUCT(MAX((Journal!$A$6:$A$1005=$A41)*Journal!$C$6:$C$1005))))</f>
        <v/>
      </c>
      <c r="N41" s="43" t="str">
        <f aca="false">IF($B41="","",IF(MAX($L41,$M41)=0,"",MAX($L41,$M41)))</f>
        <v/>
      </c>
      <c r="O41" s="44" t="str">
        <f aca="false">IF(OR($B41="",$H41=""),"",IF($N41="",IF(EDATE($H41,DelaiPremierEPP)&gt;DateRef,"1er EPP (1re année)","Aucun entretien renseigné"),IF(AND(ReglesTransitoires="Oui",EDATE($N41,AnciennePeriodiciteEP*12)&lt;DateVigueur),"Retard antérieur à la réforme","Périodicité "&amp;PeriodiciteEPP&amp;" ans")))</f>
        <v/>
      </c>
      <c r="P41" s="43" t="str">
        <f aca="false">IF(OR($B41="",$H41=""),"",IF($N41="",EDATE($H41,DelaiPremierEPP),IF(AND(ReglesTransitoires="Oui",EDATE($N41,AnciennePeriodiciteEP*12)&lt;DateVigueur),EDATE($N41,AnciennePeriodiciteEP*12),EDATE($N41,PeriodiciteEPP*12))))</f>
        <v/>
      </c>
      <c r="Q41" s="40"/>
      <c r="R41" s="45" t="str">
        <f aca="false">IF(OR($P41="",AND($I41&lt;&gt;"",$I41&lt;=DateRef)),"",$P41-DateRef)</f>
        <v/>
      </c>
      <c r="S41" s="42" t="str">
        <f aca="false">IF($B41="","",IF(AND($I41&lt;&gt;"",$I41&lt;=DateRef),"Sorti",IF($H41="","À compléter",IF(AND($Q41&lt;&gt;"",$Q41&gt;=DateRef,$Q41&lt;=$P41),"Planifié",IF($R41&lt;0,"En retard",IF($R41&lt;=SeuilAlerteEPP,"À planifier","À jour"))))))</f>
        <v/>
      </c>
      <c r="T41" s="46" t="str">
        <f aca="false">IF(OR($B41="",$S41="Sorti"),"",MID(IF($H41=""," | Date d'embauche manquante","")&amp;IF(AND($K41="Plus d'un an",$N41="")," | Précédent entretien à renseigner (ancienneté &gt; 1 an)","")&amp;IF($O41="Retard antérieur à la réforme"," | Ancien délai de 2 ans expiré avant la réforme","")&amp;IF(AND($N41&lt;&gt;"",$H41&lt;&gt;"",$N41&lt;$H41)," | Entretien antérieur à l'embauche ?","")&amp;IF(AND($N41&lt;&gt;"",$N41&gt;DateRef)," | Entretien daté dans le futur ?","")&amp;IF(AND($Q41&lt;&gt;"",$P41&lt;&gt;"",$Q41&gt;$P41)," | Date prévue après l'échéance","")&amp;IF(AND($Q41&lt;&gt;"",$Q41&lt;DateRef,OR($N41="",$N41&lt;$Q41))," | Entretien prévu passé : le consigner au Journal","")&amp;IF(AND($G41&lt;&gt;"",$X41="",YEAR(DateRef)-YEAR($G41)&gt;=AgeMiCarriere-1,YEAR(DateRef)-YEAR($G41)&lt;=AgeMiCarriere+1)," | Visite de mi-carrière à vérifier",""),4,1000))</f>
        <v/>
      </c>
      <c r="U41" s="39"/>
      <c r="V41" s="40"/>
      <c r="W41" s="42" t="str">
        <f aca="false">IF(OR($B41="",$V41=""),"",IF(AND($I41&lt;&gt;"",$I41&lt;=DateRef),"",IF(AND($N41&lt;&gt;"",$N41&gt;=$V41),"Réalisé",IF(AND($N41&lt;&gt;"",$N41&gt;=EDATE($V41,-FenetreRetour)),"Dispensé (EPP récent)",IF($V41&gt;DateRef,"À prévoir à la reprise","À proposer (reprise passée)")))))</f>
        <v/>
      </c>
      <c r="X41" s="40"/>
      <c r="Y41" s="43" t="str">
        <f aca="false">IF(OR($B41="",$X41=""),"",EDATE($X41,DelaiMiCarriere))</f>
        <v/>
      </c>
      <c r="Z41" s="42" t="str">
        <f aca="false">IF(OR($B41="",$X41=""),"",IF(AND($I41&lt;&gt;"",$I41&lt;=DateRef),"",IF(AND($N41&lt;&gt;"",$N41&gt;=$X41),"Réalisé",IF($Y41&lt;DateRef,"En retard","À planifier"))))</f>
        <v/>
      </c>
      <c r="AA41" s="47" t="str">
        <f aca="false">IF(OR($B41="",$G41=""),"",IF($G41&gt;DateRef,"",DATEDIF($G41,DateRef,"y")))</f>
        <v/>
      </c>
      <c r="AB41" s="43" t="str">
        <f aca="false">IF(OR($B41="",$G41=""),"",EDATE($G41,AgeFinCarriere*12))</f>
        <v/>
      </c>
      <c r="AC41" s="42" t="str">
        <f aca="false">IF(OR($B41="",$G41="",$H41=""),"",IF(AND($I41&lt;&gt;"",$I41&lt;=DateRef),"",IF($AB41&lt;DateVigueur,"Non concerné",IF(AND($N41&lt;&gt;"",$N41&gt;=MAX(EDATE($AB41,-FenetreFinCarriere*12),DateVigueur),$N41&lt;=$AB41),"Réalisé",IF(DateRef&gt;$AB41,"Non réalisé",IF(AND($Q41&lt;&gt;"",$Q41&gt;=EDATE($AB41,-FenetreFinCarriere*12),$Q41&lt;=$AB41),"Planifié dans la fenêtre",IF(AND(MAX($P41,DateRef)&gt;=EDATE($AB41,-FenetreFinCarriere*12),MAX($P41,DateRef)&lt;=$AB41),"Prochain EPP dans la fenêtre",IF(MAX($P41,DateRef)&gt;$AB41,"À programmer avant 60 ans",""))))))))</f>
        <v/>
      </c>
      <c r="AD41" s="40"/>
      <c r="AE41" s="43" t="str">
        <f aca="false">IF(OR($B41="",$H41="",AND($I41&lt;&gt;"",$I41&lt;=DateRef)),"",MAX($H41,$AD41,IF($A41="",0,SUMPRODUCT(MAX((Journal!$A$6:$A$1005=$A41)*((Journal!$D$6:$D$1005=TypeEDL)+(Journal!$D$6:$D$1005=TypeBilan6))*Journal!$C$6:$C$1005)))))</f>
        <v/>
      </c>
      <c r="AF41" s="43" t="str">
        <f aca="false">IF($AE41="","",IF(AND(ReglesTransitoires="Oui",EDATE($AE41,AnciennePeriodiciteEDL*12)&lt;DateVigueur),EDATE($AE41,AnciennePeriodiciteEDL*12),EDATE($AE41,PeriodiciteEDL*12)))</f>
        <v/>
      </c>
      <c r="AG41" s="42" t="str">
        <f aca="false">IF($AF41="","",IF(AND($I41&lt;&gt;"",$I41&lt;=DateRef),"",IF($AF41&lt;DateRef,"En retard",IF($AF41-DateRef&lt;=SeuilAlerteEDL,"À prévoir","À jour"))))</f>
        <v/>
      </c>
      <c r="AH41" s="39"/>
      <c r="AI41" s="39"/>
      <c r="AJ41" s="42" t="str">
        <f aca="false">IF(OR($B41="",$H41=""),"",IF(AND($I41&lt;&gt;"",$I41&lt;=DateRef),"",IF(Effectif&lt;SeuilEffectif,"Non concerné (&lt; "&amp;SeuilEffectif&amp;" salariés)",IF($AH41="Oui","Pas de risque",IF(AND(OR($AI41="Non",$S41="En retard"),$AH41="Non"),"Risque abondement",IF(OR($AI41="Non",$S41="En retard"),"À vérifier (formation ?)",IF($AI41="Oui","Pas de risque","À compléter")))))))</f>
        <v/>
      </c>
      <c r="AK41" s="39"/>
    </row>
    <row r="42" customFormat="false" ht="15" hidden="false" customHeight="false" outlineLevel="0" collapsed="false">
      <c r="A42" s="39"/>
      <c r="B42" s="39"/>
      <c r="C42" s="39"/>
      <c r="D42" s="39"/>
      <c r="E42" s="39"/>
      <c r="F42" s="39"/>
      <c r="G42" s="40"/>
      <c r="H42" s="40"/>
      <c r="I42" s="40"/>
      <c r="J42" s="41" t="str">
        <f aca="false">IF(OR($B42="",$H42=""),"",IF($H42&gt;DateRef,0,YEARFRAC($H42,DateRef,1)))</f>
        <v/>
      </c>
      <c r="K42" s="42" t="str">
        <f aca="false">IF(OR($B42="",$H42=""),"",IF(EDATE($H42,12)&lt;=DateRef,"Plus d'un an","Moins d'un an"))</f>
        <v/>
      </c>
      <c r="L42" s="40"/>
      <c r="M42" s="43" t="str">
        <f aca="false">IF(OR($B42="",$A42=""),"",IF(SUMPRODUCT(MAX((Journal!$A$6:$A$1005=$A42)*Journal!$C$6:$C$1005))=0,"",SUMPRODUCT(MAX((Journal!$A$6:$A$1005=$A42)*Journal!$C$6:$C$1005))))</f>
        <v/>
      </c>
      <c r="N42" s="43" t="str">
        <f aca="false">IF($B42="","",IF(MAX($L42,$M42)=0,"",MAX($L42,$M42)))</f>
        <v/>
      </c>
      <c r="O42" s="44" t="str">
        <f aca="false">IF(OR($B42="",$H42=""),"",IF($N42="",IF(EDATE($H42,DelaiPremierEPP)&gt;DateRef,"1er EPP (1re année)","Aucun entretien renseigné"),IF(AND(ReglesTransitoires="Oui",EDATE($N42,AnciennePeriodiciteEP*12)&lt;DateVigueur),"Retard antérieur à la réforme","Périodicité "&amp;PeriodiciteEPP&amp;" ans")))</f>
        <v/>
      </c>
      <c r="P42" s="43" t="str">
        <f aca="false">IF(OR($B42="",$H42=""),"",IF($N42="",EDATE($H42,DelaiPremierEPP),IF(AND(ReglesTransitoires="Oui",EDATE($N42,AnciennePeriodiciteEP*12)&lt;DateVigueur),EDATE($N42,AnciennePeriodiciteEP*12),EDATE($N42,PeriodiciteEPP*12))))</f>
        <v/>
      </c>
      <c r="Q42" s="40"/>
      <c r="R42" s="45" t="str">
        <f aca="false">IF(OR($P42="",AND($I42&lt;&gt;"",$I42&lt;=DateRef)),"",$P42-DateRef)</f>
        <v/>
      </c>
      <c r="S42" s="42" t="str">
        <f aca="false">IF($B42="","",IF(AND($I42&lt;&gt;"",$I42&lt;=DateRef),"Sorti",IF($H42="","À compléter",IF(AND($Q42&lt;&gt;"",$Q42&gt;=DateRef,$Q42&lt;=$P42),"Planifié",IF($R42&lt;0,"En retard",IF($R42&lt;=SeuilAlerteEPP,"À planifier","À jour"))))))</f>
        <v/>
      </c>
      <c r="T42" s="46" t="str">
        <f aca="false">IF(OR($B42="",$S42="Sorti"),"",MID(IF($H42=""," | Date d'embauche manquante","")&amp;IF(AND($K42="Plus d'un an",$N42="")," | Précédent entretien à renseigner (ancienneté &gt; 1 an)","")&amp;IF($O42="Retard antérieur à la réforme"," | Ancien délai de 2 ans expiré avant la réforme","")&amp;IF(AND($N42&lt;&gt;"",$H42&lt;&gt;"",$N42&lt;$H42)," | Entretien antérieur à l'embauche ?","")&amp;IF(AND($N42&lt;&gt;"",$N42&gt;DateRef)," | Entretien daté dans le futur ?","")&amp;IF(AND($Q42&lt;&gt;"",$P42&lt;&gt;"",$Q42&gt;$P42)," | Date prévue après l'échéance","")&amp;IF(AND($Q42&lt;&gt;"",$Q42&lt;DateRef,OR($N42="",$N42&lt;$Q42))," | Entretien prévu passé : le consigner au Journal","")&amp;IF(AND($G42&lt;&gt;"",$X42="",YEAR(DateRef)-YEAR($G42)&gt;=AgeMiCarriere-1,YEAR(DateRef)-YEAR($G42)&lt;=AgeMiCarriere+1)," | Visite de mi-carrière à vérifier",""),4,1000))</f>
        <v/>
      </c>
      <c r="U42" s="39"/>
      <c r="V42" s="40"/>
      <c r="W42" s="42" t="str">
        <f aca="false">IF(OR($B42="",$V42=""),"",IF(AND($I42&lt;&gt;"",$I42&lt;=DateRef),"",IF(AND($N42&lt;&gt;"",$N42&gt;=$V42),"Réalisé",IF(AND($N42&lt;&gt;"",$N42&gt;=EDATE($V42,-FenetreRetour)),"Dispensé (EPP récent)",IF($V42&gt;DateRef,"À prévoir à la reprise","À proposer (reprise passée)")))))</f>
        <v/>
      </c>
      <c r="X42" s="40"/>
      <c r="Y42" s="43" t="str">
        <f aca="false">IF(OR($B42="",$X42=""),"",EDATE($X42,DelaiMiCarriere))</f>
        <v/>
      </c>
      <c r="Z42" s="42" t="str">
        <f aca="false">IF(OR($B42="",$X42=""),"",IF(AND($I42&lt;&gt;"",$I42&lt;=DateRef),"",IF(AND($N42&lt;&gt;"",$N42&gt;=$X42),"Réalisé",IF($Y42&lt;DateRef,"En retard","À planifier"))))</f>
        <v/>
      </c>
      <c r="AA42" s="47" t="str">
        <f aca="false">IF(OR($B42="",$G42=""),"",IF($G42&gt;DateRef,"",DATEDIF($G42,DateRef,"y")))</f>
        <v/>
      </c>
      <c r="AB42" s="43" t="str">
        <f aca="false">IF(OR($B42="",$G42=""),"",EDATE($G42,AgeFinCarriere*12))</f>
        <v/>
      </c>
      <c r="AC42" s="42" t="str">
        <f aca="false">IF(OR($B42="",$G42="",$H42=""),"",IF(AND($I42&lt;&gt;"",$I42&lt;=DateRef),"",IF($AB42&lt;DateVigueur,"Non concerné",IF(AND($N42&lt;&gt;"",$N42&gt;=MAX(EDATE($AB42,-FenetreFinCarriere*12),DateVigueur),$N42&lt;=$AB42),"Réalisé",IF(DateRef&gt;$AB42,"Non réalisé",IF(AND($Q42&lt;&gt;"",$Q42&gt;=EDATE($AB42,-FenetreFinCarriere*12),$Q42&lt;=$AB42),"Planifié dans la fenêtre",IF(AND(MAX($P42,DateRef)&gt;=EDATE($AB42,-FenetreFinCarriere*12),MAX($P42,DateRef)&lt;=$AB42),"Prochain EPP dans la fenêtre",IF(MAX($P42,DateRef)&gt;$AB42,"À programmer avant 60 ans",""))))))))</f>
        <v/>
      </c>
      <c r="AD42" s="40"/>
      <c r="AE42" s="43" t="str">
        <f aca="false">IF(OR($B42="",$H42="",AND($I42&lt;&gt;"",$I42&lt;=DateRef)),"",MAX($H42,$AD42,IF($A42="",0,SUMPRODUCT(MAX((Journal!$A$6:$A$1005=$A42)*((Journal!$D$6:$D$1005=TypeEDL)+(Journal!$D$6:$D$1005=TypeBilan6))*Journal!$C$6:$C$1005)))))</f>
        <v/>
      </c>
      <c r="AF42" s="43" t="str">
        <f aca="false">IF($AE42="","",IF(AND(ReglesTransitoires="Oui",EDATE($AE42,AnciennePeriodiciteEDL*12)&lt;DateVigueur),EDATE($AE42,AnciennePeriodiciteEDL*12),EDATE($AE42,PeriodiciteEDL*12)))</f>
        <v/>
      </c>
      <c r="AG42" s="42" t="str">
        <f aca="false">IF($AF42="","",IF(AND($I42&lt;&gt;"",$I42&lt;=DateRef),"",IF($AF42&lt;DateRef,"En retard",IF($AF42-DateRef&lt;=SeuilAlerteEDL,"À prévoir","À jour"))))</f>
        <v/>
      </c>
      <c r="AH42" s="39"/>
      <c r="AI42" s="39"/>
      <c r="AJ42" s="42" t="str">
        <f aca="false">IF(OR($B42="",$H42=""),"",IF(AND($I42&lt;&gt;"",$I42&lt;=DateRef),"",IF(Effectif&lt;SeuilEffectif,"Non concerné (&lt; "&amp;SeuilEffectif&amp;" salariés)",IF($AH42="Oui","Pas de risque",IF(AND(OR($AI42="Non",$S42="En retard"),$AH42="Non"),"Risque abondement",IF(OR($AI42="Non",$S42="En retard"),"À vérifier (formation ?)",IF($AI42="Oui","Pas de risque","À compléter")))))))</f>
        <v/>
      </c>
      <c r="AK42" s="39"/>
    </row>
    <row r="43" customFormat="false" ht="15" hidden="false" customHeight="false" outlineLevel="0" collapsed="false">
      <c r="A43" s="39"/>
      <c r="B43" s="39"/>
      <c r="C43" s="39"/>
      <c r="D43" s="39"/>
      <c r="E43" s="39"/>
      <c r="F43" s="39"/>
      <c r="G43" s="40"/>
      <c r="H43" s="40"/>
      <c r="I43" s="40"/>
      <c r="J43" s="41" t="str">
        <f aca="false">IF(OR($B43="",$H43=""),"",IF($H43&gt;DateRef,0,YEARFRAC($H43,DateRef,1)))</f>
        <v/>
      </c>
      <c r="K43" s="42" t="str">
        <f aca="false">IF(OR($B43="",$H43=""),"",IF(EDATE($H43,12)&lt;=DateRef,"Plus d'un an","Moins d'un an"))</f>
        <v/>
      </c>
      <c r="L43" s="40"/>
      <c r="M43" s="43" t="str">
        <f aca="false">IF(OR($B43="",$A43=""),"",IF(SUMPRODUCT(MAX((Journal!$A$6:$A$1005=$A43)*Journal!$C$6:$C$1005))=0,"",SUMPRODUCT(MAX((Journal!$A$6:$A$1005=$A43)*Journal!$C$6:$C$1005))))</f>
        <v/>
      </c>
      <c r="N43" s="43" t="str">
        <f aca="false">IF($B43="","",IF(MAX($L43,$M43)=0,"",MAX($L43,$M43)))</f>
        <v/>
      </c>
      <c r="O43" s="44" t="str">
        <f aca="false">IF(OR($B43="",$H43=""),"",IF($N43="",IF(EDATE($H43,DelaiPremierEPP)&gt;DateRef,"1er EPP (1re année)","Aucun entretien renseigné"),IF(AND(ReglesTransitoires="Oui",EDATE($N43,AnciennePeriodiciteEP*12)&lt;DateVigueur),"Retard antérieur à la réforme","Périodicité "&amp;PeriodiciteEPP&amp;" ans")))</f>
        <v/>
      </c>
      <c r="P43" s="43" t="str">
        <f aca="false">IF(OR($B43="",$H43=""),"",IF($N43="",EDATE($H43,DelaiPremierEPP),IF(AND(ReglesTransitoires="Oui",EDATE($N43,AnciennePeriodiciteEP*12)&lt;DateVigueur),EDATE($N43,AnciennePeriodiciteEP*12),EDATE($N43,PeriodiciteEPP*12))))</f>
        <v/>
      </c>
      <c r="Q43" s="40"/>
      <c r="R43" s="45" t="str">
        <f aca="false">IF(OR($P43="",AND($I43&lt;&gt;"",$I43&lt;=DateRef)),"",$P43-DateRef)</f>
        <v/>
      </c>
      <c r="S43" s="42" t="str">
        <f aca="false">IF($B43="","",IF(AND($I43&lt;&gt;"",$I43&lt;=DateRef),"Sorti",IF($H43="","À compléter",IF(AND($Q43&lt;&gt;"",$Q43&gt;=DateRef,$Q43&lt;=$P43),"Planifié",IF($R43&lt;0,"En retard",IF($R43&lt;=SeuilAlerteEPP,"À planifier","À jour"))))))</f>
        <v/>
      </c>
      <c r="T43" s="46" t="str">
        <f aca="false">IF(OR($B43="",$S43="Sorti"),"",MID(IF($H43=""," | Date d'embauche manquante","")&amp;IF(AND($K43="Plus d'un an",$N43="")," | Précédent entretien à renseigner (ancienneté &gt; 1 an)","")&amp;IF($O43="Retard antérieur à la réforme"," | Ancien délai de 2 ans expiré avant la réforme","")&amp;IF(AND($N43&lt;&gt;"",$H43&lt;&gt;"",$N43&lt;$H43)," | Entretien antérieur à l'embauche ?","")&amp;IF(AND($N43&lt;&gt;"",$N43&gt;DateRef)," | Entretien daté dans le futur ?","")&amp;IF(AND($Q43&lt;&gt;"",$P43&lt;&gt;"",$Q43&gt;$P43)," | Date prévue après l'échéance","")&amp;IF(AND($Q43&lt;&gt;"",$Q43&lt;DateRef,OR($N43="",$N43&lt;$Q43))," | Entretien prévu passé : le consigner au Journal","")&amp;IF(AND($G43&lt;&gt;"",$X43="",YEAR(DateRef)-YEAR($G43)&gt;=AgeMiCarriere-1,YEAR(DateRef)-YEAR($G43)&lt;=AgeMiCarriere+1)," | Visite de mi-carrière à vérifier",""),4,1000))</f>
        <v/>
      </c>
      <c r="U43" s="39"/>
      <c r="V43" s="40"/>
      <c r="W43" s="42" t="str">
        <f aca="false">IF(OR($B43="",$V43=""),"",IF(AND($I43&lt;&gt;"",$I43&lt;=DateRef),"",IF(AND($N43&lt;&gt;"",$N43&gt;=$V43),"Réalisé",IF(AND($N43&lt;&gt;"",$N43&gt;=EDATE($V43,-FenetreRetour)),"Dispensé (EPP récent)",IF($V43&gt;DateRef,"À prévoir à la reprise","À proposer (reprise passée)")))))</f>
        <v/>
      </c>
      <c r="X43" s="40"/>
      <c r="Y43" s="43" t="str">
        <f aca="false">IF(OR($B43="",$X43=""),"",EDATE($X43,DelaiMiCarriere))</f>
        <v/>
      </c>
      <c r="Z43" s="42" t="str">
        <f aca="false">IF(OR($B43="",$X43=""),"",IF(AND($I43&lt;&gt;"",$I43&lt;=DateRef),"",IF(AND($N43&lt;&gt;"",$N43&gt;=$X43),"Réalisé",IF($Y43&lt;DateRef,"En retard","À planifier"))))</f>
        <v/>
      </c>
      <c r="AA43" s="47" t="str">
        <f aca="false">IF(OR($B43="",$G43=""),"",IF($G43&gt;DateRef,"",DATEDIF($G43,DateRef,"y")))</f>
        <v/>
      </c>
      <c r="AB43" s="43" t="str">
        <f aca="false">IF(OR($B43="",$G43=""),"",EDATE($G43,AgeFinCarriere*12))</f>
        <v/>
      </c>
      <c r="AC43" s="42" t="str">
        <f aca="false">IF(OR($B43="",$G43="",$H43=""),"",IF(AND($I43&lt;&gt;"",$I43&lt;=DateRef),"",IF($AB43&lt;DateVigueur,"Non concerné",IF(AND($N43&lt;&gt;"",$N43&gt;=MAX(EDATE($AB43,-FenetreFinCarriere*12),DateVigueur),$N43&lt;=$AB43),"Réalisé",IF(DateRef&gt;$AB43,"Non réalisé",IF(AND($Q43&lt;&gt;"",$Q43&gt;=EDATE($AB43,-FenetreFinCarriere*12),$Q43&lt;=$AB43),"Planifié dans la fenêtre",IF(AND(MAX($P43,DateRef)&gt;=EDATE($AB43,-FenetreFinCarriere*12),MAX($P43,DateRef)&lt;=$AB43),"Prochain EPP dans la fenêtre",IF(MAX($P43,DateRef)&gt;$AB43,"À programmer avant 60 ans",""))))))))</f>
        <v/>
      </c>
      <c r="AD43" s="40"/>
      <c r="AE43" s="43" t="str">
        <f aca="false">IF(OR($B43="",$H43="",AND($I43&lt;&gt;"",$I43&lt;=DateRef)),"",MAX($H43,$AD43,IF($A43="",0,SUMPRODUCT(MAX((Journal!$A$6:$A$1005=$A43)*((Journal!$D$6:$D$1005=TypeEDL)+(Journal!$D$6:$D$1005=TypeBilan6))*Journal!$C$6:$C$1005)))))</f>
        <v/>
      </c>
      <c r="AF43" s="43" t="str">
        <f aca="false">IF($AE43="","",IF(AND(ReglesTransitoires="Oui",EDATE($AE43,AnciennePeriodiciteEDL*12)&lt;DateVigueur),EDATE($AE43,AnciennePeriodiciteEDL*12),EDATE($AE43,PeriodiciteEDL*12)))</f>
        <v/>
      </c>
      <c r="AG43" s="42" t="str">
        <f aca="false">IF($AF43="","",IF(AND($I43&lt;&gt;"",$I43&lt;=DateRef),"",IF($AF43&lt;DateRef,"En retard",IF($AF43-DateRef&lt;=SeuilAlerteEDL,"À prévoir","À jour"))))</f>
        <v/>
      </c>
      <c r="AH43" s="39"/>
      <c r="AI43" s="39"/>
      <c r="AJ43" s="42" t="str">
        <f aca="false">IF(OR($B43="",$H43=""),"",IF(AND($I43&lt;&gt;"",$I43&lt;=DateRef),"",IF(Effectif&lt;SeuilEffectif,"Non concerné (&lt; "&amp;SeuilEffectif&amp;" salariés)",IF($AH43="Oui","Pas de risque",IF(AND(OR($AI43="Non",$S43="En retard"),$AH43="Non"),"Risque abondement",IF(OR($AI43="Non",$S43="En retard"),"À vérifier (formation ?)",IF($AI43="Oui","Pas de risque","À compléter")))))))</f>
        <v/>
      </c>
      <c r="AK43" s="39"/>
    </row>
    <row r="44" customFormat="false" ht="15" hidden="false" customHeight="false" outlineLevel="0" collapsed="false">
      <c r="A44" s="39"/>
      <c r="B44" s="39"/>
      <c r="C44" s="39"/>
      <c r="D44" s="39"/>
      <c r="E44" s="39"/>
      <c r="F44" s="39"/>
      <c r="G44" s="40"/>
      <c r="H44" s="40"/>
      <c r="I44" s="40"/>
      <c r="J44" s="41" t="str">
        <f aca="false">IF(OR($B44="",$H44=""),"",IF($H44&gt;DateRef,0,YEARFRAC($H44,DateRef,1)))</f>
        <v/>
      </c>
      <c r="K44" s="42" t="str">
        <f aca="false">IF(OR($B44="",$H44=""),"",IF(EDATE($H44,12)&lt;=DateRef,"Plus d'un an","Moins d'un an"))</f>
        <v/>
      </c>
      <c r="L44" s="40"/>
      <c r="M44" s="43" t="str">
        <f aca="false">IF(OR($B44="",$A44=""),"",IF(SUMPRODUCT(MAX((Journal!$A$6:$A$1005=$A44)*Journal!$C$6:$C$1005))=0,"",SUMPRODUCT(MAX((Journal!$A$6:$A$1005=$A44)*Journal!$C$6:$C$1005))))</f>
        <v/>
      </c>
      <c r="N44" s="43" t="str">
        <f aca="false">IF($B44="","",IF(MAX($L44,$M44)=0,"",MAX($L44,$M44)))</f>
        <v/>
      </c>
      <c r="O44" s="44" t="str">
        <f aca="false">IF(OR($B44="",$H44=""),"",IF($N44="",IF(EDATE($H44,DelaiPremierEPP)&gt;DateRef,"1er EPP (1re année)","Aucun entretien renseigné"),IF(AND(ReglesTransitoires="Oui",EDATE($N44,AnciennePeriodiciteEP*12)&lt;DateVigueur),"Retard antérieur à la réforme","Périodicité "&amp;PeriodiciteEPP&amp;" ans")))</f>
        <v/>
      </c>
      <c r="P44" s="43" t="str">
        <f aca="false">IF(OR($B44="",$H44=""),"",IF($N44="",EDATE($H44,DelaiPremierEPP),IF(AND(ReglesTransitoires="Oui",EDATE($N44,AnciennePeriodiciteEP*12)&lt;DateVigueur),EDATE($N44,AnciennePeriodiciteEP*12),EDATE($N44,PeriodiciteEPP*12))))</f>
        <v/>
      </c>
      <c r="Q44" s="40"/>
      <c r="R44" s="45" t="str">
        <f aca="false">IF(OR($P44="",AND($I44&lt;&gt;"",$I44&lt;=DateRef)),"",$P44-DateRef)</f>
        <v/>
      </c>
      <c r="S44" s="42" t="str">
        <f aca="false">IF($B44="","",IF(AND($I44&lt;&gt;"",$I44&lt;=DateRef),"Sorti",IF($H44="","À compléter",IF(AND($Q44&lt;&gt;"",$Q44&gt;=DateRef,$Q44&lt;=$P44),"Planifié",IF($R44&lt;0,"En retard",IF($R44&lt;=SeuilAlerteEPP,"À planifier","À jour"))))))</f>
        <v/>
      </c>
      <c r="T44" s="46" t="str">
        <f aca="false">IF(OR($B44="",$S44="Sorti"),"",MID(IF($H44=""," | Date d'embauche manquante","")&amp;IF(AND($K44="Plus d'un an",$N44="")," | Précédent entretien à renseigner (ancienneté &gt; 1 an)","")&amp;IF($O44="Retard antérieur à la réforme"," | Ancien délai de 2 ans expiré avant la réforme","")&amp;IF(AND($N44&lt;&gt;"",$H44&lt;&gt;"",$N44&lt;$H44)," | Entretien antérieur à l'embauche ?","")&amp;IF(AND($N44&lt;&gt;"",$N44&gt;DateRef)," | Entretien daté dans le futur ?","")&amp;IF(AND($Q44&lt;&gt;"",$P44&lt;&gt;"",$Q44&gt;$P44)," | Date prévue après l'échéance","")&amp;IF(AND($Q44&lt;&gt;"",$Q44&lt;DateRef,OR($N44="",$N44&lt;$Q44))," | Entretien prévu passé : le consigner au Journal","")&amp;IF(AND($G44&lt;&gt;"",$X44="",YEAR(DateRef)-YEAR($G44)&gt;=AgeMiCarriere-1,YEAR(DateRef)-YEAR($G44)&lt;=AgeMiCarriere+1)," | Visite de mi-carrière à vérifier",""),4,1000))</f>
        <v/>
      </c>
      <c r="U44" s="39"/>
      <c r="V44" s="40"/>
      <c r="W44" s="42" t="str">
        <f aca="false">IF(OR($B44="",$V44=""),"",IF(AND($I44&lt;&gt;"",$I44&lt;=DateRef),"",IF(AND($N44&lt;&gt;"",$N44&gt;=$V44),"Réalisé",IF(AND($N44&lt;&gt;"",$N44&gt;=EDATE($V44,-FenetreRetour)),"Dispensé (EPP récent)",IF($V44&gt;DateRef,"À prévoir à la reprise","À proposer (reprise passée)")))))</f>
        <v/>
      </c>
      <c r="X44" s="40"/>
      <c r="Y44" s="43" t="str">
        <f aca="false">IF(OR($B44="",$X44=""),"",EDATE($X44,DelaiMiCarriere))</f>
        <v/>
      </c>
      <c r="Z44" s="42" t="str">
        <f aca="false">IF(OR($B44="",$X44=""),"",IF(AND($I44&lt;&gt;"",$I44&lt;=DateRef),"",IF(AND($N44&lt;&gt;"",$N44&gt;=$X44),"Réalisé",IF($Y44&lt;DateRef,"En retard","À planifier"))))</f>
        <v/>
      </c>
      <c r="AA44" s="47" t="str">
        <f aca="false">IF(OR($B44="",$G44=""),"",IF($G44&gt;DateRef,"",DATEDIF($G44,DateRef,"y")))</f>
        <v/>
      </c>
      <c r="AB44" s="43" t="str">
        <f aca="false">IF(OR($B44="",$G44=""),"",EDATE($G44,AgeFinCarriere*12))</f>
        <v/>
      </c>
      <c r="AC44" s="42" t="str">
        <f aca="false">IF(OR($B44="",$G44="",$H44=""),"",IF(AND($I44&lt;&gt;"",$I44&lt;=DateRef),"",IF($AB44&lt;DateVigueur,"Non concerné",IF(AND($N44&lt;&gt;"",$N44&gt;=MAX(EDATE($AB44,-FenetreFinCarriere*12),DateVigueur),$N44&lt;=$AB44),"Réalisé",IF(DateRef&gt;$AB44,"Non réalisé",IF(AND($Q44&lt;&gt;"",$Q44&gt;=EDATE($AB44,-FenetreFinCarriere*12),$Q44&lt;=$AB44),"Planifié dans la fenêtre",IF(AND(MAX($P44,DateRef)&gt;=EDATE($AB44,-FenetreFinCarriere*12),MAX($P44,DateRef)&lt;=$AB44),"Prochain EPP dans la fenêtre",IF(MAX($P44,DateRef)&gt;$AB44,"À programmer avant 60 ans",""))))))))</f>
        <v/>
      </c>
      <c r="AD44" s="40"/>
      <c r="AE44" s="43" t="str">
        <f aca="false">IF(OR($B44="",$H44="",AND($I44&lt;&gt;"",$I44&lt;=DateRef)),"",MAX($H44,$AD44,IF($A44="",0,SUMPRODUCT(MAX((Journal!$A$6:$A$1005=$A44)*((Journal!$D$6:$D$1005=TypeEDL)+(Journal!$D$6:$D$1005=TypeBilan6))*Journal!$C$6:$C$1005)))))</f>
        <v/>
      </c>
      <c r="AF44" s="43" t="str">
        <f aca="false">IF($AE44="","",IF(AND(ReglesTransitoires="Oui",EDATE($AE44,AnciennePeriodiciteEDL*12)&lt;DateVigueur),EDATE($AE44,AnciennePeriodiciteEDL*12),EDATE($AE44,PeriodiciteEDL*12)))</f>
        <v/>
      </c>
      <c r="AG44" s="42" t="str">
        <f aca="false">IF($AF44="","",IF(AND($I44&lt;&gt;"",$I44&lt;=DateRef),"",IF($AF44&lt;DateRef,"En retard",IF($AF44-DateRef&lt;=SeuilAlerteEDL,"À prévoir","À jour"))))</f>
        <v/>
      </c>
      <c r="AH44" s="39"/>
      <c r="AI44" s="39"/>
      <c r="AJ44" s="42" t="str">
        <f aca="false">IF(OR($B44="",$H44=""),"",IF(AND($I44&lt;&gt;"",$I44&lt;=DateRef),"",IF(Effectif&lt;SeuilEffectif,"Non concerné (&lt; "&amp;SeuilEffectif&amp;" salariés)",IF($AH44="Oui","Pas de risque",IF(AND(OR($AI44="Non",$S44="En retard"),$AH44="Non"),"Risque abondement",IF(OR($AI44="Non",$S44="En retard"),"À vérifier (formation ?)",IF($AI44="Oui","Pas de risque","À compléter")))))))</f>
        <v/>
      </c>
      <c r="AK44" s="39"/>
    </row>
    <row r="45" customFormat="false" ht="15" hidden="false" customHeight="false" outlineLevel="0" collapsed="false">
      <c r="A45" s="39"/>
      <c r="B45" s="39"/>
      <c r="C45" s="39"/>
      <c r="D45" s="39"/>
      <c r="E45" s="39"/>
      <c r="F45" s="39"/>
      <c r="G45" s="40"/>
      <c r="H45" s="40"/>
      <c r="I45" s="40"/>
      <c r="J45" s="41" t="str">
        <f aca="false">IF(OR($B45="",$H45=""),"",IF($H45&gt;DateRef,0,YEARFRAC($H45,DateRef,1)))</f>
        <v/>
      </c>
      <c r="K45" s="42" t="str">
        <f aca="false">IF(OR($B45="",$H45=""),"",IF(EDATE($H45,12)&lt;=DateRef,"Plus d'un an","Moins d'un an"))</f>
        <v/>
      </c>
      <c r="L45" s="40"/>
      <c r="M45" s="43" t="str">
        <f aca="false">IF(OR($B45="",$A45=""),"",IF(SUMPRODUCT(MAX((Journal!$A$6:$A$1005=$A45)*Journal!$C$6:$C$1005))=0,"",SUMPRODUCT(MAX((Journal!$A$6:$A$1005=$A45)*Journal!$C$6:$C$1005))))</f>
        <v/>
      </c>
      <c r="N45" s="43" t="str">
        <f aca="false">IF($B45="","",IF(MAX($L45,$M45)=0,"",MAX($L45,$M45)))</f>
        <v/>
      </c>
      <c r="O45" s="44" t="str">
        <f aca="false">IF(OR($B45="",$H45=""),"",IF($N45="",IF(EDATE($H45,DelaiPremierEPP)&gt;DateRef,"1er EPP (1re année)","Aucun entretien renseigné"),IF(AND(ReglesTransitoires="Oui",EDATE($N45,AnciennePeriodiciteEP*12)&lt;DateVigueur),"Retard antérieur à la réforme","Périodicité "&amp;PeriodiciteEPP&amp;" ans")))</f>
        <v/>
      </c>
      <c r="P45" s="43" t="str">
        <f aca="false">IF(OR($B45="",$H45=""),"",IF($N45="",EDATE($H45,DelaiPremierEPP),IF(AND(ReglesTransitoires="Oui",EDATE($N45,AnciennePeriodiciteEP*12)&lt;DateVigueur),EDATE($N45,AnciennePeriodiciteEP*12),EDATE($N45,PeriodiciteEPP*12))))</f>
        <v/>
      </c>
      <c r="Q45" s="40"/>
      <c r="R45" s="45" t="str">
        <f aca="false">IF(OR($P45="",AND($I45&lt;&gt;"",$I45&lt;=DateRef)),"",$P45-DateRef)</f>
        <v/>
      </c>
      <c r="S45" s="42" t="str">
        <f aca="false">IF($B45="","",IF(AND($I45&lt;&gt;"",$I45&lt;=DateRef),"Sorti",IF($H45="","À compléter",IF(AND($Q45&lt;&gt;"",$Q45&gt;=DateRef,$Q45&lt;=$P45),"Planifié",IF($R45&lt;0,"En retard",IF($R45&lt;=SeuilAlerteEPP,"À planifier","À jour"))))))</f>
        <v/>
      </c>
      <c r="T45" s="46" t="str">
        <f aca="false">IF(OR($B45="",$S45="Sorti"),"",MID(IF($H45=""," | Date d'embauche manquante","")&amp;IF(AND($K45="Plus d'un an",$N45="")," | Précédent entretien à renseigner (ancienneté &gt; 1 an)","")&amp;IF($O45="Retard antérieur à la réforme"," | Ancien délai de 2 ans expiré avant la réforme","")&amp;IF(AND($N45&lt;&gt;"",$H45&lt;&gt;"",$N45&lt;$H45)," | Entretien antérieur à l'embauche ?","")&amp;IF(AND($N45&lt;&gt;"",$N45&gt;DateRef)," | Entretien daté dans le futur ?","")&amp;IF(AND($Q45&lt;&gt;"",$P45&lt;&gt;"",$Q45&gt;$P45)," | Date prévue après l'échéance","")&amp;IF(AND($Q45&lt;&gt;"",$Q45&lt;DateRef,OR($N45="",$N45&lt;$Q45))," | Entretien prévu passé : le consigner au Journal","")&amp;IF(AND($G45&lt;&gt;"",$X45="",YEAR(DateRef)-YEAR($G45)&gt;=AgeMiCarriere-1,YEAR(DateRef)-YEAR($G45)&lt;=AgeMiCarriere+1)," | Visite de mi-carrière à vérifier",""),4,1000))</f>
        <v/>
      </c>
      <c r="U45" s="39"/>
      <c r="V45" s="40"/>
      <c r="W45" s="42" t="str">
        <f aca="false">IF(OR($B45="",$V45=""),"",IF(AND($I45&lt;&gt;"",$I45&lt;=DateRef),"",IF(AND($N45&lt;&gt;"",$N45&gt;=$V45),"Réalisé",IF(AND($N45&lt;&gt;"",$N45&gt;=EDATE($V45,-FenetreRetour)),"Dispensé (EPP récent)",IF($V45&gt;DateRef,"À prévoir à la reprise","À proposer (reprise passée)")))))</f>
        <v/>
      </c>
      <c r="X45" s="40"/>
      <c r="Y45" s="43" t="str">
        <f aca="false">IF(OR($B45="",$X45=""),"",EDATE($X45,DelaiMiCarriere))</f>
        <v/>
      </c>
      <c r="Z45" s="42" t="str">
        <f aca="false">IF(OR($B45="",$X45=""),"",IF(AND($I45&lt;&gt;"",$I45&lt;=DateRef),"",IF(AND($N45&lt;&gt;"",$N45&gt;=$X45),"Réalisé",IF($Y45&lt;DateRef,"En retard","À planifier"))))</f>
        <v/>
      </c>
      <c r="AA45" s="47" t="str">
        <f aca="false">IF(OR($B45="",$G45=""),"",IF($G45&gt;DateRef,"",DATEDIF($G45,DateRef,"y")))</f>
        <v/>
      </c>
      <c r="AB45" s="43" t="str">
        <f aca="false">IF(OR($B45="",$G45=""),"",EDATE($G45,AgeFinCarriere*12))</f>
        <v/>
      </c>
      <c r="AC45" s="42" t="str">
        <f aca="false">IF(OR($B45="",$G45="",$H45=""),"",IF(AND($I45&lt;&gt;"",$I45&lt;=DateRef),"",IF($AB45&lt;DateVigueur,"Non concerné",IF(AND($N45&lt;&gt;"",$N45&gt;=MAX(EDATE($AB45,-FenetreFinCarriere*12),DateVigueur),$N45&lt;=$AB45),"Réalisé",IF(DateRef&gt;$AB45,"Non réalisé",IF(AND($Q45&lt;&gt;"",$Q45&gt;=EDATE($AB45,-FenetreFinCarriere*12),$Q45&lt;=$AB45),"Planifié dans la fenêtre",IF(AND(MAX($P45,DateRef)&gt;=EDATE($AB45,-FenetreFinCarriere*12),MAX($P45,DateRef)&lt;=$AB45),"Prochain EPP dans la fenêtre",IF(MAX($P45,DateRef)&gt;$AB45,"À programmer avant 60 ans",""))))))))</f>
        <v/>
      </c>
      <c r="AD45" s="40"/>
      <c r="AE45" s="43" t="str">
        <f aca="false">IF(OR($B45="",$H45="",AND($I45&lt;&gt;"",$I45&lt;=DateRef)),"",MAX($H45,$AD45,IF($A45="",0,SUMPRODUCT(MAX((Journal!$A$6:$A$1005=$A45)*((Journal!$D$6:$D$1005=TypeEDL)+(Journal!$D$6:$D$1005=TypeBilan6))*Journal!$C$6:$C$1005)))))</f>
        <v/>
      </c>
      <c r="AF45" s="43" t="str">
        <f aca="false">IF($AE45="","",IF(AND(ReglesTransitoires="Oui",EDATE($AE45,AnciennePeriodiciteEDL*12)&lt;DateVigueur),EDATE($AE45,AnciennePeriodiciteEDL*12),EDATE($AE45,PeriodiciteEDL*12)))</f>
        <v/>
      </c>
      <c r="AG45" s="42" t="str">
        <f aca="false">IF($AF45="","",IF(AND($I45&lt;&gt;"",$I45&lt;=DateRef),"",IF($AF45&lt;DateRef,"En retard",IF($AF45-DateRef&lt;=SeuilAlerteEDL,"À prévoir","À jour"))))</f>
        <v/>
      </c>
      <c r="AH45" s="39"/>
      <c r="AI45" s="39"/>
      <c r="AJ45" s="42" t="str">
        <f aca="false">IF(OR($B45="",$H45=""),"",IF(AND($I45&lt;&gt;"",$I45&lt;=DateRef),"",IF(Effectif&lt;SeuilEffectif,"Non concerné (&lt; "&amp;SeuilEffectif&amp;" salariés)",IF($AH45="Oui","Pas de risque",IF(AND(OR($AI45="Non",$S45="En retard"),$AH45="Non"),"Risque abondement",IF(OR($AI45="Non",$S45="En retard"),"À vérifier (formation ?)",IF($AI45="Oui","Pas de risque","À compléter")))))))</f>
        <v/>
      </c>
      <c r="AK45" s="39"/>
    </row>
    <row r="46" customFormat="false" ht="15" hidden="false" customHeight="false" outlineLevel="0" collapsed="false">
      <c r="A46" s="39"/>
      <c r="B46" s="39"/>
      <c r="C46" s="39"/>
      <c r="D46" s="39"/>
      <c r="E46" s="39"/>
      <c r="F46" s="39"/>
      <c r="G46" s="40"/>
      <c r="H46" s="40"/>
      <c r="I46" s="40"/>
      <c r="J46" s="41" t="str">
        <f aca="false">IF(OR($B46="",$H46=""),"",IF($H46&gt;DateRef,0,YEARFRAC($H46,DateRef,1)))</f>
        <v/>
      </c>
      <c r="K46" s="42" t="str">
        <f aca="false">IF(OR($B46="",$H46=""),"",IF(EDATE($H46,12)&lt;=DateRef,"Plus d'un an","Moins d'un an"))</f>
        <v/>
      </c>
      <c r="L46" s="40"/>
      <c r="M46" s="43" t="str">
        <f aca="false">IF(OR($B46="",$A46=""),"",IF(SUMPRODUCT(MAX((Journal!$A$6:$A$1005=$A46)*Journal!$C$6:$C$1005))=0,"",SUMPRODUCT(MAX((Journal!$A$6:$A$1005=$A46)*Journal!$C$6:$C$1005))))</f>
        <v/>
      </c>
      <c r="N46" s="43" t="str">
        <f aca="false">IF($B46="","",IF(MAX($L46,$M46)=0,"",MAX($L46,$M46)))</f>
        <v/>
      </c>
      <c r="O46" s="44" t="str">
        <f aca="false">IF(OR($B46="",$H46=""),"",IF($N46="",IF(EDATE($H46,DelaiPremierEPP)&gt;DateRef,"1er EPP (1re année)","Aucun entretien renseigné"),IF(AND(ReglesTransitoires="Oui",EDATE($N46,AnciennePeriodiciteEP*12)&lt;DateVigueur),"Retard antérieur à la réforme","Périodicité "&amp;PeriodiciteEPP&amp;" ans")))</f>
        <v/>
      </c>
      <c r="P46" s="43" t="str">
        <f aca="false">IF(OR($B46="",$H46=""),"",IF($N46="",EDATE($H46,DelaiPremierEPP),IF(AND(ReglesTransitoires="Oui",EDATE($N46,AnciennePeriodiciteEP*12)&lt;DateVigueur),EDATE($N46,AnciennePeriodiciteEP*12),EDATE($N46,PeriodiciteEPP*12))))</f>
        <v/>
      </c>
      <c r="Q46" s="40"/>
      <c r="R46" s="45" t="str">
        <f aca="false">IF(OR($P46="",AND($I46&lt;&gt;"",$I46&lt;=DateRef)),"",$P46-DateRef)</f>
        <v/>
      </c>
      <c r="S46" s="42" t="str">
        <f aca="false">IF($B46="","",IF(AND($I46&lt;&gt;"",$I46&lt;=DateRef),"Sorti",IF($H46="","À compléter",IF(AND($Q46&lt;&gt;"",$Q46&gt;=DateRef,$Q46&lt;=$P46),"Planifié",IF($R46&lt;0,"En retard",IF($R46&lt;=SeuilAlerteEPP,"À planifier","À jour"))))))</f>
        <v/>
      </c>
      <c r="T46" s="46" t="str">
        <f aca="false">IF(OR($B46="",$S46="Sorti"),"",MID(IF($H46=""," | Date d'embauche manquante","")&amp;IF(AND($K46="Plus d'un an",$N46="")," | Précédent entretien à renseigner (ancienneté &gt; 1 an)","")&amp;IF($O46="Retard antérieur à la réforme"," | Ancien délai de 2 ans expiré avant la réforme","")&amp;IF(AND($N46&lt;&gt;"",$H46&lt;&gt;"",$N46&lt;$H46)," | Entretien antérieur à l'embauche ?","")&amp;IF(AND($N46&lt;&gt;"",$N46&gt;DateRef)," | Entretien daté dans le futur ?","")&amp;IF(AND($Q46&lt;&gt;"",$P46&lt;&gt;"",$Q46&gt;$P46)," | Date prévue après l'échéance","")&amp;IF(AND($Q46&lt;&gt;"",$Q46&lt;DateRef,OR($N46="",$N46&lt;$Q46))," | Entretien prévu passé : le consigner au Journal","")&amp;IF(AND($G46&lt;&gt;"",$X46="",YEAR(DateRef)-YEAR($G46)&gt;=AgeMiCarriere-1,YEAR(DateRef)-YEAR($G46)&lt;=AgeMiCarriere+1)," | Visite de mi-carrière à vérifier",""),4,1000))</f>
        <v/>
      </c>
      <c r="U46" s="39"/>
      <c r="V46" s="40"/>
      <c r="W46" s="42" t="str">
        <f aca="false">IF(OR($B46="",$V46=""),"",IF(AND($I46&lt;&gt;"",$I46&lt;=DateRef),"",IF(AND($N46&lt;&gt;"",$N46&gt;=$V46),"Réalisé",IF(AND($N46&lt;&gt;"",$N46&gt;=EDATE($V46,-FenetreRetour)),"Dispensé (EPP récent)",IF($V46&gt;DateRef,"À prévoir à la reprise","À proposer (reprise passée)")))))</f>
        <v/>
      </c>
      <c r="X46" s="40"/>
      <c r="Y46" s="43" t="str">
        <f aca="false">IF(OR($B46="",$X46=""),"",EDATE($X46,DelaiMiCarriere))</f>
        <v/>
      </c>
      <c r="Z46" s="42" t="str">
        <f aca="false">IF(OR($B46="",$X46=""),"",IF(AND($I46&lt;&gt;"",$I46&lt;=DateRef),"",IF(AND($N46&lt;&gt;"",$N46&gt;=$X46),"Réalisé",IF($Y46&lt;DateRef,"En retard","À planifier"))))</f>
        <v/>
      </c>
      <c r="AA46" s="47" t="str">
        <f aca="false">IF(OR($B46="",$G46=""),"",IF($G46&gt;DateRef,"",DATEDIF($G46,DateRef,"y")))</f>
        <v/>
      </c>
      <c r="AB46" s="43" t="str">
        <f aca="false">IF(OR($B46="",$G46=""),"",EDATE($G46,AgeFinCarriere*12))</f>
        <v/>
      </c>
      <c r="AC46" s="42" t="str">
        <f aca="false">IF(OR($B46="",$G46="",$H46=""),"",IF(AND($I46&lt;&gt;"",$I46&lt;=DateRef),"",IF($AB46&lt;DateVigueur,"Non concerné",IF(AND($N46&lt;&gt;"",$N46&gt;=MAX(EDATE($AB46,-FenetreFinCarriere*12),DateVigueur),$N46&lt;=$AB46),"Réalisé",IF(DateRef&gt;$AB46,"Non réalisé",IF(AND($Q46&lt;&gt;"",$Q46&gt;=EDATE($AB46,-FenetreFinCarriere*12),$Q46&lt;=$AB46),"Planifié dans la fenêtre",IF(AND(MAX($P46,DateRef)&gt;=EDATE($AB46,-FenetreFinCarriere*12),MAX($P46,DateRef)&lt;=$AB46),"Prochain EPP dans la fenêtre",IF(MAX($P46,DateRef)&gt;$AB46,"À programmer avant 60 ans",""))))))))</f>
        <v/>
      </c>
      <c r="AD46" s="40"/>
      <c r="AE46" s="43" t="str">
        <f aca="false">IF(OR($B46="",$H46="",AND($I46&lt;&gt;"",$I46&lt;=DateRef)),"",MAX($H46,$AD46,IF($A46="",0,SUMPRODUCT(MAX((Journal!$A$6:$A$1005=$A46)*((Journal!$D$6:$D$1005=TypeEDL)+(Journal!$D$6:$D$1005=TypeBilan6))*Journal!$C$6:$C$1005)))))</f>
        <v/>
      </c>
      <c r="AF46" s="43" t="str">
        <f aca="false">IF($AE46="","",IF(AND(ReglesTransitoires="Oui",EDATE($AE46,AnciennePeriodiciteEDL*12)&lt;DateVigueur),EDATE($AE46,AnciennePeriodiciteEDL*12),EDATE($AE46,PeriodiciteEDL*12)))</f>
        <v/>
      </c>
      <c r="AG46" s="42" t="str">
        <f aca="false">IF($AF46="","",IF(AND($I46&lt;&gt;"",$I46&lt;=DateRef),"",IF($AF46&lt;DateRef,"En retard",IF($AF46-DateRef&lt;=SeuilAlerteEDL,"À prévoir","À jour"))))</f>
        <v/>
      </c>
      <c r="AH46" s="39"/>
      <c r="AI46" s="39"/>
      <c r="AJ46" s="42" t="str">
        <f aca="false">IF(OR($B46="",$H46=""),"",IF(AND($I46&lt;&gt;"",$I46&lt;=DateRef),"",IF(Effectif&lt;SeuilEffectif,"Non concerné (&lt; "&amp;SeuilEffectif&amp;" salariés)",IF($AH46="Oui","Pas de risque",IF(AND(OR($AI46="Non",$S46="En retard"),$AH46="Non"),"Risque abondement",IF(OR($AI46="Non",$S46="En retard"),"À vérifier (formation ?)",IF($AI46="Oui","Pas de risque","À compléter")))))))</f>
        <v/>
      </c>
      <c r="AK46" s="39"/>
    </row>
    <row r="47" customFormat="false" ht="15" hidden="false" customHeight="false" outlineLevel="0" collapsed="false">
      <c r="A47" s="39"/>
      <c r="B47" s="39"/>
      <c r="C47" s="39"/>
      <c r="D47" s="39"/>
      <c r="E47" s="39"/>
      <c r="F47" s="39"/>
      <c r="G47" s="40"/>
      <c r="H47" s="40"/>
      <c r="I47" s="40"/>
      <c r="J47" s="41" t="str">
        <f aca="false">IF(OR($B47="",$H47=""),"",IF($H47&gt;DateRef,0,YEARFRAC($H47,DateRef,1)))</f>
        <v/>
      </c>
      <c r="K47" s="42" t="str">
        <f aca="false">IF(OR($B47="",$H47=""),"",IF(EDATE($H47,12)&lt;=DateRef,"Plus d'un an","Moins d'un an"))</f>
        <v/>
      </c>
      <c r="L47" s="40"/>
      <c r="M47" s="43" t="str">
        <f aca="false">IF(OR($B47="",$A47=""),"",IF(SUMPRODUCT(MAX((Journal!$A$6:$A$1005=$A47)*Journal!$C$6:$C$1005))=0,"",SUMPRODUCT(MAX((Journal!$A$6:$A$1005=$A47)*Journal!$C$6:$C$1005))))</f>
        <v/>
      </c>
      <c r="N47" s="43" t="str">
        <f aca="false">IF($B47="","",IF(MAX($L47,$M47)=0,"",MAX($L47,$M47)))</f>
        <v/>
      </c>
      <c r="O47" s="44" t="str">
        <f aca="false">IF(OR($B47="",$H47=""),"",IF($N47="",IF(EDATE($H47,DelaiPremierEPP)&gt;DateRef,"1er EPP (1re année)","Aucun entretien renseigné"),IF(AND(ReglesTransitoires="Oui",EDATE($N47,AnciennePeriodiciteEP*12)&lt;DateVigueur),"Retard antérieur à la réforme","Périodicité "&amp;PeriodiciteEPP&amp;" ans")))</f>
        <v/>
      </c>
      <c r="P47" s="43" t="str">
        <f aca="false">IF(OR($B47="",$H47=""),"",IF($N47="",EDATE($H47,DelaiPremierEPP),IF(AND(ReglesTransitoires="Oui",EDATE($N47,AnciennePeriodiciteEP*12)&lt;DateVigueur),EDATE($N47,AnciennePeriodiciteEP*12),EDATE($N47,PeriodiciteEPP*12))))</f>
        <v/>
      </c>
      <c r="Q47" s="40"/>
      <c r="R47" s="45" t="str">
        <f aca="false">IF(OR($P47="",AND($I47&lt;&gt;"",$I47&lt;=DateRef)),"",$P47-DateRef)</f>
        <v/>
      </c>
      <c r="S47" s="42" t="str">
        <f aca="false">IF($B47="","",IF(AND($I47&lt;&gt;"",$I47&lt;=DateRef),"Sorti",IF($H47="","À compléter",IF(AND($Q47&lt;&gt;"",$Q47&gt;=DateRef,$Q47&lt;=$P47),"Planifié",IF($R47&lt;0,"En retard",IF($R47&lt;=SeuilAlerteEPP,"À planifier","À jour"))))))</f>
        <v/>
      </c>
      <c r="T47" s="46" t="str">
        <f aca="false">IF(OR($B47="",$S47="Sorti"),"",MID(IF($H47=""," | Date d'embauche manquante","")&amp;IF(AND($K47="Plus d'un an",$N47="")," | Précédent entretien à renseigner (ancienneté &gt; 1 an)","")&amp;IF($O47="Retard antérieur à la réforme"," | Ancien délai de 2 ans expiré avant la réforme","")&amp;IF(AND($N47&lt;&gt;"",$H47&lt;&gt;"",$N47&lt;$H47)," | Entretien antérieur à l'embauche ?","")&amp;IF(AND($N47&lt;&gt;"",$N47&gt;DateRef)," | Entretien daté dans le futur ?","")&amp;IF(AND($Q47&lt;&gt;"",$P47&lt;&gt;"",$Q47&gt;$P47)," | Date prévue après l'échéance","")&amp;IF(AND($Q47&lt;&gt;"",$Q47&lt;DateRef,OR($N47="",$N47&lt;$Q47))," | Entretien prévu passé : le consigner au Journal","")&amp;IF(AND($G47&lt;&gt;"",$X47="",YEAR(DateRef)-YEAR($G47)&gt;=AgeMiCarriere-1,YEAR(DateRef)-YEAR($G47)&lt;=AgeMiCarriere+1)," | Visite de mi-carrière à vérifier",""),4,1000))</f>
        <v/>
      </c>
      <c r="U47" s="39"/>
      <c r="V47" s="40"/>
      <c r="W47" s="42" t="str">
        <f aca="false">IF(OR($B47="",$V47=""),"",IF(AND($I47&lt;&gt;"",$I47&lt;=DateRef),"",IF(AND($N47&lt;&gt;"",$N47&gt;=$V47),"Réalisé",IF(AND($N47&lt;&gt;"",$N47&gt;=EDATE($V47,-FenetreRetour)),"Dispensé (EPP récent)",IF($V47&gt;DateRef,"À prévoir à la reprise","À proposer (reprise passée)")))))</f>
        <v/>
      </c>
      <c r="X47" s="40"/>
      <c r="Y47" s="43" t="str">
        <f aca="false">IF(OR($B47="",$X47=""),"",EDATE($X47,DelaiMiCarriere))</f>
        <v/>
      </c>
      <c r="Z47" s="42" t="str">
        <f aca="false">IF(OR($B47="",$X47=""),"",IF(AND($I47&lt;&gt;"",$I47&lt;=DateRef),"",IF(AND($N47&lt;&gt;"",$N47&gt;=$X47),"Réalisé",IF($Y47&lt;DateRef,"En retard","À planifier"))))</f>
        <v/>
      </c>
      <c r="AA47" s="47" t="str">
        <f aca="false">IF(OR($B47="",$G47=""),"",IF($G47&gt;DateRef,"",DATEDIF($G47,DateRef,"y")))</f>
        <v/>
      </c>
      <c r="AB47" s="43" t="str">
        <f aca="false">IF(OR($B47="",$G47=""),"",EDATE($G47,AgeFinCarriere*12))</f>
        <v/>
      </c>
      <c r="AC47" s="42" t="str">
        <f aca="false">IF(OR($B47="",$G47="",$H47=""),"",IF(AND($I47&lt;&gt;"",$I47&lt;=DateRef),"",IF($AB47&lt;DateVigueur,"Non concerné",IF(AND($N47&lt;&gt;"",$N47&gt;=MAX(EDATE($AB47,-FenetreFinCarriere*12),DateVigueur),$N47&lt;=$AB47),"Réalisé",IF(DateRef&gt;$AB47,"Non réalisé",IF(AND($Q47&lt;&gt;"",$Q47&gt;=EDATE($AB47,-FenetreFinCarriere*12),$Q47&lt;=$AB47),"Planifié dans la fenêtre",IF(AND(MAX($P47,DateRef)&gt;=EDATE($AB47,-FenetreFinCarriere*12),MAX($P47,DateRef)&lt;=$AB47),"Prochain EPP dans la fenêtre",IF(MAX($P47,DateRef)&gt;$AB47,"À programmer avant 60 ans",""))))))))</f>
        <v/>
      </c>
      <c r="AD47" s="40"/>
      <c r="AE47" s="43" t="str">
        <f aca="false">IF(OR($B47="",$H47="",AND($I47&lt;&gt;"",$I47&lt;=DateRef)),"",MAX($H47,$AD47,IF($A47="",0,SUMPRODUCT(MAX((Journal!$A$6:$A$1005=$A47)*((Journal!$D$6:$D$1005=TypeEDL)+(Journal!$D$6:$D$1005=TypeBilan6))*Journal!$C$6:$C$1005)))))</f>
        <v/>
      </c>
      <c r="AF47" s="43" t="str">
        <f aca="false">IF($AE47="","",IF(AND(ReglesTransitoires="Oui",EDATE($AE47,AnciennePeriodiciteEDL*12)&lt;DateVigueur),EDATE($AE47,AnciennePeriodiciteEDL*12),EDATE($AE47,PeriodiciteEDL*12)))</f>
        <v/>
      </c>
      <c r="AG47" s="42" t="str">
        <f aca="false">IF($AF47="","",IF(AND($I47&lt;&gt;"",$I47&lt;=DateRef),"",IF($AF47&lt;DateRef,"En retard",IF($AF47-DateRef&lt;=SeuilAlerteEDL,"À prévoir","À jour"))))</f>
        <v/>
      </c>
      <c r="AH47" s="39"/>
      <c r="AI47" s="39"/>
      <c r="AJ47" s="42" t="str">
        <f aca="false">IF(OR($B47="",$H47=""),"",IF(AND($I47&lt;&gt;"",$I47&lt;=DateRef),"",IF(Effectif&lt;SeuilEffectif,"Non concerné (&lt; "&amp;SeuilEffectif&amp;" salariés)",IF($AH47="Oui","Pas de risque",IF(AND(OR($AI47="Non",$S47="En retard"),$AH47="Non"),"Risque abondement",IF(OR($AI47="Non",$S47="En retard"),"À vérifier (formation ?)",IF($AI47="Oui","Pas de risque","À compléter")))))))</f>
        <v/>
      </c>
      <c r="AK47" s="39"/>
    </row>
    <row r="48" customFormat="false" ht="15" hidden="false" customHeight="false" outlineLevel="0" collapsed="false">
      <c r="A48" s="39"/>
      <c r="B48" s="39"/>
      <c r="C48" s="39"/>
      <c r="D48" s="39"/>
      <c r="E48" s="39"/>
      <c r="F48" s="39"/>
      <c r="G48" s="40"/>
      <c r="H48" s="40"/>
      <c r="I48" s="40"/>
      <c r="J48" s="41" t="str">
        <f aca="false">IF(OR($B48="",$H48=""),"",IF($H48&gt;DateRef,0,YEARFRAC($H48,DateRef,1)))</f>
        <v/>
      </c>
      <c r="K48" s="42" t="str">
        <f aca="false">IF(OR($B48="",$H48=""),"",IF(EDATE($H48,12)&lt;=DateRef,"Plus d'un an","Moins d'un an"))</f>
        <v/>
      </c>
      <c r="L48" s="40"/>
      <c r="M48" s="43" t="str">
        <f aca="false">IF(OR($B48="",$A48=""),"",IF(SUMPRODUCT(MAX((Journal!$A$6:$A$1005=$A48)*Journal!$C$6:$C$1005))=0,"",SUMPRODUCT(MAX((Journal!$A$6:$A$1005=$A48)*Journal!$C$6:$C$1005))))</f>
        <v/>
      </c>
      <c r="N48" s="43" t="str">
        <f aca="false">IF($B48="","",IF(MAX($L48,$M48)=0,"",MAX($L48,$M48)))</f>
        <v/>
      </c>
      <c r="O48" s="44" t="str">
        <f aca="false">IF(OR($B48="",$H48=""),"",IF($N48="",IF(EDATE($H48,DelaiPremierEPP)&gt;DateRef,"1er EPP (1re année)","Aucun entretien renseigné"),IF(AND(ReglesTransitoires="Oui",EDATE($N48,AnciennePeriodiciteEP*12)&lt;DateVigueur),"Retard antérieur à la réforme","Périodicité "&amp;PeriodiciteEPP&amp;" ans")))</f>
        <v/>
      </c>
      <c r="P48" s="43" t="str">
        <f aca="false">IF(OR($B48="",$H48=""),"",IF($N48="",EDATE($H48,DelaiPremierEPP),IF(AND(ReglesTransitoires="Oui",EDATE($N48,AnciennePeriodiciteEP*12)&lt;DateVigueur),EDATE($N48,AnciennePeriodiciteEP*12),EDATE($N48,PeriodiciteEPP*12))))</f>
        <v/>
      </c>
      <c r="Q48" s="40"/>
      <c r="R48" s="45" t="str">
        <f aca="false">IF(OR($P48="",AND($I48&lt;&gt;"",$I48&lt;=DateRef)),"",$P48-DateRef)</f>
        <v/>
      </c>
      <c r="S48" s="42" t="str">
        <f aca="false">IF($B48="","",IF(AND($I48&lt;&gt;"",$I48&lt;=DateRef),"Sorti",IF($H48="","À compléter",IF(AND($Q48&lt;&gt;"",$Q48&gt;=DateRef,$Q48&lt;=$P48),"Planifié",IF($R48&lt;0,"En retard",IF($R48&lt;=SeuilAlerteEPP,"À planifier","À jour"))))))</f>
        <v/>
      </c>
      <c r="T48" s="46" t="str">
        <f aca="false">IF(OR($B48="",$S48="Sorti"),"",MID(IF($H48=""," | Date d'embauche manquante","")&amp;IF(AND($K48="Plus d'un an",$N48="")," | Précédent entretien à renseigner (ancienneté &gt; 1 an)","")&amp;IF($O48="Retard antérieur à la réforme"," | Ancien délai de 2 ans expiré avant la réforme","")&amp;IF(AND($N48&lt;&gt;"",$H48&lt;&gt;"",$N48&lt;$H48)," | Entretien antérieur à l'embauche ?","")&amp;IF(AND($N48&lt;&gt;"",$N48&gt;DateRef)," | Entretien daté dans le futur ?","")&amp;IF(AND($Q48&lt;&gt;"",$P48&lt;&gt;"",$Q48&gt;$P48)," | Date prévue après l'échéance","")&amp;IF(AND($Q48&lt;&gt;"",$Q48&lt;DateRef,OR($N48="",$N48&lt;$Q48))," | Entretien prévu passé : le consigner au Journal","")&amp;IF(AND($G48&lt;&gt;"",$X48="",YEAR(DateRef)-YEAR($G48)&gt;=AgeMiCarriere-1,YEAR(DateRef)-YEAR($G48)&lt;=AgeMiCarriere+1)," | Visite de mi-carrière à vérifier",""),4,1000))</f>
        <v/>
      </c>
      <c r="U48" s="39"/>
      <c r="V48" s="40"/>
      <c r="W48" s="42" t="str">
        <f aca="false">IF(OR($B48="",$V48=""),"",IF(AND($I48&lt;&gt;"",$I48&lt;=DateRef),"",IF(AND($N48&lt;&gt;"",$N48&gt;=$V48),"Réalisé",IF(AND($N48&lt;&gt;"",$N48&gt;=EDATE($V48,-FenetreRetour)),"Dispensé (EPP récent)",IF($V48&gt;DateRef,"À prévoir à la reprise","À proposer (reprise passée)")))))</f>
        <v/>
      </c>
      <c r="X48" s="40"/>
      <c r="Y48" s="43" t="str">
        <f aca="false">IF(OR($B48="",$X48=""),"",EDATE($X48,DelaiMiCarriere))</f>
        <v/>
      </c>
      <c r="Z48" s="42" t="str">
        <f aca="false">IF(OR($B48="",$X48=""),"",IF(AND($I48&lt;&gt;"",$I48&lt;=DateRef),"",IF(AND($N48&lt;&gt;"",$N48&gt;=$X48),"Réalisé",IF($Y48&lt;DateRef,"En retard","À planifier"))))</f>
        <v/>
      </c>
      <c r="AA48" s="47" t="str">
        <f aca="false">IF(OR($B48="",$G48=""),"",IF($G48&gt;DateRef,"",DATEDIF($G48,DateRef,"y")))</f>
        <v/>
      </c>
      <c r="AB48" s="43" t="str">
        <f aca="false">IF(OR($B48="",$G48=""),"",EDATE($G48,AgeFinCarriere*12))</f>
        <v/>
      </c>
      <c r="AC48" s="42" t="str">
        <f aca="false">IF(OR($B48="",$G48="",$H48=""),"",IF(AND($I48&lt;&gt;"",$I48&lt;=DateRef),"",IF($AB48&lt;DateVigueur,"Non concerné",IF(AND($N48&lt;&gt;"",$N48&gt;=MAX(EDATE($AB48,-FenetreFinCarriere*12),DateVigueur),$N48&lt;=$AB48),"Réalisé",IF(DateRef&gt;$AB48,"Non réalisé",IF(AND($Q48&lt;&gt;"",$Q48&gt;=EDATE($AB48,-FenetreFinCarriere*12),$Q48&lt;=$AB48),"Planifié dans la fenêtre",IF(AND(MAX($P48,DateRef)&gt;=EDATE($AB48,-FenetreFinCarriere*12),MAX($P48,DateRef)&lt;=$AB48),"Prochain EPP dans la fenêtre",IF(MAX($P48,DateRef)&gt;$AB48,"À programmer avant 60 ans",""))))))))</f>
        <v/>
      </c>
      <c r="AD48" s="40"/>
      <c r="AE48" s="43" t="str">
        <f aca="false">IF(OR($B48="",$H48="",AND($I48&lt;&gt;"",$I48&lt;=DateRef)),"",MAX($H48,$AD48,IF($A48="",0,SUMPRODUCT(MAX((Journal!$A$6:$A$1005=$A48)*((Journal!$D$6:$D$1005=TypeEDL)+(Journal!$D$6:$D$1005=TypeBilan6))*Journal!$C$6:$C$1005)))))</f>
        <v/>
      </c>
      <c r="AF48" s="43" t="str">
        <f aca="false">IF($AE48="","",IF(AND(ReglesTransitoires="Oui",EDATE($AE48,AnciennePeriodiciteEDL*12)&lt;DateVigueur),EDATE($AE48,AnciennePeriodiciteEDL*12),EDATE($AE48,PeriodiciteEDL*12)))</f>
        <v/>
      </c>
      <c r="AG48" s="42" t="str">
        <f aca="false">IF($AF48="","",IF(AND($I48&lt;&gt;"",$I48&lt;=DateRef),"",IF($AF48&lt;DateRef,"En retard",IF($AF48-DateRef&lt;=SeuilAlerteEDL,"À prévoir","À jour"))))</f>
        <v/>
      </c>
      <c r="AH48" s="39"/>
      <c r="AI48" s="39"/>
      <c r="AJ48" s="42" t="str">
        <f aca="false">IF(OR($B48="",$H48=""),"",IF(AND($I48&lt;&gt;"",$I48&lt;=DateRef),"",IF(Effectif&lt;SeuilEffectif,"Non concerné (&lt; "&amp;SeuilEffectif&amp;" salariés)",IF($AH48="Oui","Pas de risque",IF(AND(OR($AI48="Non",$S48="En retard"),$AH48="Non"),"Risque abondement",IF(OR($AI48="Non",$S48="En retard"),"À vérifier (formation ?)",IF($AI48="Oui","Pas de risque","À compléter")))))))</f>
        <v/>
      </c>
      <c r="AK48" s="39"/>
    </row>
    <row r="49" customFormat="false" ht="15" hidden="false" customHeight="false" outlineLevel="0" collapsed="false">
      <c r="A49" s="39"/>
      <c r="B49" s="39"/>
      <c r="C49" s="39"/>
      <c r="D49" s="39"/>
      <c r="E49" s="39"/>
      <c r="F49" s="39"/>
      <c r="G49" s="40"/>
      <c r="H49" s="40"/>
      <c r="I49" s="40"/>
      <c r="J49" s="41" t="str">
        <f aca="false">IF(OR($B49="",$H49=""),"",IF($H49&gt;DateRef,0,YEARFRAC($H49,DateRef,1)))</f>
        <v/>
      </c>
      <c r="K49" s="42" t="str">
        <f aca="false">IF(OR($B49="",$H49=""),"",IF(EDATE($H49,12)&lt;=DateRef,"Plus d'un an","Moins d'un an"))</f>
        <v/>
      </c>
      <c r="L49" s="40"/>
      <c r="M49" s="43" t="str">
        <f aca="false">IF(OR($B49="",$A49=""),"",IF(SUMPRODUCT(MAX((Journal!$A$6:$A$1005=$A49)*Journal!$C$6:$C$1005))=0,"",SUMPRODUCT(MAX((Journal!$A$6:$A$1005=$A49)*Journal!$C$6:$C$1005))))</f>
        <v/>
      </c>
      <c r="N49" s="43" t="str">
        <f aca="false">IF($B49="","",IF(MAX($L49,$M49)=0,"",MAX($L49,$M49)))</f>
        <v/>
      </c>
      <c r="O49" s="44" t="str">
        <f aca="false">IF(OR($B49="",$H49=""),"",IF($N49="",IF(EDATE($H49,DelaiPremierEPP)&gt;DateRef,"1er EPP (1re année)","Aucun entretien renseigné"),IF(AND(ReglesTransitoires="Oui",EDATE($N49,AnciennePeriodiciteEP*12)&lt;DateVigueur),"Retard antérieur à la réforme","Périodicité "&amp;PeriodiciteEPP&amp;" ans")))</f>
        <v/>
      </c>
      <c r="P49" s="43" t="str">
        <f aca="false">IF(OR($B49="",$H49=""),"",IF($N49="",EDATE($H49,DelaiPremierEPP),IF(AND(ReglesTransitoires="Oui",EDATE($N49,AnciennePeriodiciteEP*12)&lt;DateVigueur),EDATE($N49,AnciennePeriodiciteEP*12),EDATE($N49,PeriodiciteEPP*12))))</f>
        <v/>
      </c>
      <c r="Q49" s="40"/>
      <c r="R49" s="45" t="str">
        <f aca="false">IF(OR($P49="",AND($I49&lt;&gt;"",$I49&lt;=DateRef)),"",$P49-DateRef)</f>
        <v/>
      </c>
      <c r="S49" s="42" t="str">
        <f aca="false">IF($B49="","",IF(AND($I49&lt;&gt;"",$I49&lt;=DateRef),"Sorti",IF($H49="","À compléter",IF(AND($Q49&lt;&gt;"",$Q49&gt;=DateRef,$Q49&lt;=$P49),"Planifié",IF($R49&lt;0,"En retard",IF($R49&lt;=SeuilAlerteEPP,"À planifier","À jour"))))))</f>
        <v/>
      </c>
      <c r="T49" s="46" t="str">
        <f aca="false">IF(OR($B49="",$S49="Sorti"),"",MID(IF($H49=""," | Date d'embauche manquante","")&amp;IF(AND($K49="Plus d'un an",$N49="")," | Précédent entretien à renseigner (ancienneté &gt; 1 an)","")&amp;IF($O49="Retard antérieur à la réforme"," | Ancien délai de 2 ans expiré avant la réforme","")&amp;IF(AND($N49&lt;&gt;"",$H49&lt;&gt;"",$N49&lt;$H49)," | Entretien antérieur à l'embauche ?","")&amp;IF(AND($N49&lt;&gt;"",$N49&gt;DateRef)," | Entretien daté dans le futur ?","")&amp;IF(AND($Q49&lt;&gt;"",$P49&lt;&gt;"",$Q49&gt;$P49)," | Date prévue après l'échéance","")&amp;IF(AND($Q49&lt;&gt;"",$Q49&lt;DateRef,OR($N49="",$N49&lt;$Q49))," | Entretien prévu passé : le consigner au Journal","")&amp;IF(AND($G49&lt;&gt;"",$X49="",YEAR(DateRef)-YEAR($G49)&gt;=AgeMiCarriere-1,YEAR(DateRef)-YEAR($G49)&lt;=AgeMiCarriere+1)," | Visite de mi-carrière à vérifier",""),4,1000))</f>
        <v/>
      </c>
      <c r="U49" s="39"/>
      <c r="V49" s="40"/>
      <c r="W49" s="42" t="str">
        <f aca="false">IF(OR($B49="",$V49=""),"",IF(AND($I49&lt;&gt;"",$I49&lt;=DateRef),"",IF(AND($N49&lt;&gt;"",$N49&gt;=$V49),"Réalisé",IF(AND($N49&lt;&gt;"",$N49&gt;=EDATE($V49,-FenetreRetour)),"Dispensé (EPP récent)",IF($V49&gt;DateRef,"À prévoir à la reprise","À proposer (reprise passée)")))))</f>
        <v/>
      </c>
      <c r="X49" s="40"/>
      <c r="Y49" s="43" t="str">
        <f aca="false">IF(OR($B49="",$X49=""),"",EDATE($X49,DelaiMiCarriere))</f>
        <v/>
      </c>
      <c r="Z49" s="42" t="str">
        <f aca="false">IF(OR($B49="",$X49=""),"",IF(AND($I49&lt;&gt;"",$I49&lt;=DateRef),"",IF(AND($N49&lt;&gt;"",$N49&gt;=$X49),"Réalisé",IF($Y49&lt;DateRef,"En retard","À planifier"))))</f>
        <v/>
      </c>
      <c r="AA49" s="47" t="str">
        <f aca="false">IF(OR($B49="",$G49=""),"",IF($G49&gt;DateRef,"",DATEDIF($G49,DateRef,"y")))</f>
        <v/>
      </c>
      <c r="AB49" s="43" t="str">
        <f aca="false">IF(OR($B49="",$G49=""),"",EDATE($G49,AgeFinCarriere*12))</f>
        <v/>
      </c>
      <c r="AC49" s="42" t="str">
        <f aca="false">IF(OR($B49="",$G49="",$H49=""),"",IF(AND($I49&lt;&gt;"",$I49&lt;=DateRef),"",IF($AB49&lt;DateVigueur,"Non concerné",IF(AND($N49&lt;&gt;"",$N49&gt;=MAX(EDATE($AB49,-FenetreFinCarriere*12),DateVigueur),$N49&lt;=$AB49),"Réalisé",IF(DateRef&gt;$AB49,"Non réalisé",IF(AND($Q49&lt;&gt;"",$Q49&gt;=EDATE($AB49,-FenetreFinCarriere*12),$Q49&lt;=$AB49),"Planifié dans la fenêtre",IF(AND(MAX($P49,DateRef)&gt;=EDATE($AB49,-FenetreFinCarriere*12),MAX($P49,DateRef)&lt;=$AB49),"Prochain EPP dans la fenêtre",IF(MAX($P49,DateRef)&gt;$AB49,"À programmer avant 60 ans",""))))))))</f>
        <v/>
      </c>
      <c r="AD49" s="40"/>
      <c r="AE49" s="43" t="str">
        <f aca="false">IF(OR($B49="",$H49="",AND($I49&lt;&gt;"",$I49&lt;=DateRef)),"",MAX($H49,$AD49,IF($A49="",0,SUMPRODUCT(MAX((Journal!$A$6:$A$1005=$A49)*((Journal!$D$6:$D$1005=TypeEDL)+(Journal!$D$6:$D$1005=TypeBilan6))*Journal!$C$6:$C$1005)))))</f>
        <v/>
      </c>
      <c r="AF49" s="43" t="str">
        <f aca="false">IF($AE49="","",IF(AND(ReglesTransitoires="Oui",EDATE($AE49,AnciennePeriodiciteEDL*12)&lt;DateVigueur),EDATE($AE49,AnciennePeriodiciteEDL*12),EDATE($AE49,PeriodiciteEDL*12)))</f>
        <v/>
      </c>
      <c r="AG49" s="42" t="str">
        <f aca="false">IF($AF49="","",IF(AND($I49&lt;&gt;"",$I49&lt;=DateRef),"",IF($AF49&lt;DateRef,"En retard",IF($AF49-DateRef&lt;=SeuilAlerteEDL,"À prévoir","À jour"))))</f>
        <v/>
      </c>
      <c r="AH49" s="39"/>
      <c r="AI49" s="39"/>
      <c r="AJ49" s="42" t="str">
        <f aca="false">IF(OR($B49="",$H49=""),"",IF(AND($I49&lt;&gt;"",$I49&lt;=DateRef),"",IF(Effectif&lt;SeuilEffectif,"Non concerné (&lt; "&amp;SeuilEffectif&amp;" salariés)",IF($AH49="Oui","Pas de risque",IF(AND(OR($AI49="Non",$S49="En retard"),$AH49="Non"),"Risque abondement",IF(OR($AI49="Non",$S49="En retard"),"À vérifier (formation ?)",IF($AI49="Oui","Pas de risque","À compléter")))))))</f>
        <v/>
      </c>
      <c r="AK49" s="39"/>
    </row>
    <row r="50" customFormat="false" ht="15" hidden="false" customHeight="false" outlineLevel="0" collapsed="false">
      <c r="A50" s="39"/>
      <c r="B50" s="39"/>
      <c r="C50" s="39"/>
      <c r="D50" s="39"/>
      <c r="E50" s="39"/>
      <c r="F50" s="39"/>
      <c r="G50" s="40"/>
      <c r="H50" s="40"/>
      <c r="I50" s="40"/>
      <c r="J50" s="41" t="str">
        <f aca="false">IF(OR($B50="",$H50=""),"",IF($H50&gt;DateRef,0,YEARFRAC($H50,DateRef,1)))</f>
        <v/>
      </c>
      <c r="K50" s="42" t="str">
        <f aca="false">IF(OR($B50="",$H50=""),"",IF(EDATE($H50,12)&lt;=DateRef,"Plus d'un an","Moins d'un an"))</f>
        <v/>
      </c>
      <c r="L50" s="40"/>
      <c r="M50" s="43" t="str">
        <f aca="false">IF(OR($B50="",$A50=""),"",IF(SUMPRODUCT(MAX((Journal!$A$6:$A$1005=$A50)*Journal!$C$6:$C$1005))=0,"",SUMPRODUCT(MAX((Journal!$A$6:$A$1005=$A50)*Journal!$C$6:$C$1005))))</f>
        <v/>
      </c>
      <c r="N50" s="43" t="str">
        <f aca="false">IF($B50="","",IF(MAX($L50,$M50)=0,"",MAX($L50,$M50)))</f>
        <v/>
      </c>
      <c r="O50" s="44" t="str">
        <f aca="false">IF(OR($B50="",$H50=""),"",IF($N50="",IF(EDATE($H50,DelaiPremierEPP)&gt;DateRef,"1er EPP (1re année)","Aucun entretien renseigné"),IF(AND(ReglesTransitoires="Oui",EDATE($N50,AnciennePeriodiciteEP*12)&lt;DateVigueur),"Retard antérieur à la réforme","Périodicité "&amp;PeriodiciteEPP&amp;" ans")))</f>
        <v/>
      </c>
      <c r="P50" s="43" t="str">
        <f aca="false">IF(OR($B50="",$H50=""),"",IF($N50="",EDATE($H50,DelaiPremierEPP),IF(AND(ReglesTransitoires="Oui",EDATE($N50,AnciennePeriodiciteEP*12)&lt;DateVigueur),EDATE($N50,AnciennePeriodiciteEP*12),EDATE($N50,PeriodiciteEPP*12))))</f>
        <v/>
      </c>
      <c r="Q50" s="40"/>
      <c r="R50" s="45" t="str">
        <f aca="false">IF(OR($P50="",AND($I50&lt;&gt;"",$I50&lt;=DateRef)),"",$P50-DateRef)</f>
        <v/>
      </c>
      <c r="S50" s="42" t="str">
        <f aca="false">IF($B50="","",IF(AND($I50&lt;&gt;"",$I50&lt;=DateRef),"Sorti",IF($H50="","À compléter",IF(AND($Q50&lt;&gt;"",$Q50&gt;=DateRef,$Q50&lt;=$P50),"Planifié",IF($R50&lt;0,"En retard",IF($R50&lt;=SeuilAlerteEPP,"À planifier","À jour"))))))</f>
        <v/>
      </c>
      <c r="T50" s="46" t="str">
        <f aca="false">IF(OR($B50="",$S50="Sorti"),"",MID(IF($H50=""," | Date d'embauche manquante","")&amp;IF(AND($K50="Plus d'un an",$N50="")," | Précédent entretien à renseigner (ancienneté &gt; 1 an)","")&amp;IF($O50="Retard antérieur à la réforme"," | Ancien délai de 2 ans expiré avant la réforme","")&amp;IF(AND($N50&lt;&gt;"",$H50&lt;&gt;"",$N50&lt;$H50)," | Entretien antérieur à l'embauche ?","")&amp;IF(AND($N50&lt;&gt;"",$N50&gt;DateRef)," | Entretien daté dans le futur ?","")&amp;IF(AND($Q50&lt;&gt;"",$P50&lt;&gt;"",$Q50&gt;$P50)," | Date prévue après l'échéance","")&amp;IF(AND($Q50&lt;&gt;"",$Q50&lt;DateRef,OR($N50="",$N50&lt;$Q50))," | Entretien prévu passé : le consigner au Journal","")&amp;IF(AND($G50&lt;&gt;"",$X50="",YEAR(DateRef)-YEAR($G50)&gt;=AgeMiCarriere-1,YEAR(DateRef)-YEAR($G50)&lt;=AgeMiCarriere+1)," | Visite de mi-carrière à vérifier",""),4,1000))</f>
        <v/>
      </c>
      <c r="U50" s="39"/>
      <c r="V50" s="40"/>
      <c r="W50" s="42" t="str">
        <f aca="false">IF(OR($B50="",$V50=""),"",IF(AND($I50&lt;&gt;"",$I50&lt;=DateRef),"",IF(AND($N50&lt;&gt;"",$N50&gt;=$V50),"Réalisé",IF(AND($N50&lt;&gt;"",$N50&gt;=EDATE($V50,-FenetreRetour)),"Dispensé (EPP récent)",IF($V50&gt;DateRef,"À prévoir à la reprise","À proposer (reprise passée)")))))</f>
        <v/>
      </c>
      <c r="X50" s="40"/>
      <c r="Y50" s="43" t="str">
        <f aca="false">IF(OR($B50="",$X50=""),"",EDATE($X50,DelaiMiCarriere))</f>
        <v/>
      </c>
      <c r="Z50" s="42" t="str">
        <f aca="false">IF(OR($B50="",$X50=""),"",IF(AND($I50&lt;&gt;"",$I50&lt;=DateRef),"",IF(AND($N50&lt;&gt;"",$N50&gt;=$X50),"Réalisé",IF($Y50&lt;DateRef,"En retard","À planifier"))))</f>
        <v/>
      </c>
      <c r="AA50" s="47" t="str">
        <f aca="false">IF(OR($B50="",$G50=""),"",IF($G50&gt;DateRef,"",DATEDIF($G50,DateRef,"y")))</f>
        <v/>
      </c>
      <c r="AB50" s="43" t="str">
        <f aca="false">IF(OR($B50="",$G50=""),"",EDATE($G50,AgeFinCarriere*12))</f>
        <v/>
      </c>
      <c r="AC50" s="42" t="str">
        <f aca="false">IF(OR($B50="",$G50="",$H50=""),"",IF(AND($I50&lt;&gt;"",$I50&lt;=DateRef),"",IF($AB50&lt;DateVigueur,"Non concerné",IF(AND($N50&lt;&gt;"",$N50&gt;=MAX(EDATE($AB50,-FenetreFinCarriere*12),DateVigueur),$N50&lt;=$AB50),"Réalisé",IF(DateRef&gt;$AB50,"Non réalisé",IF(AND($Q50&lt;&gt;"",$Q50&gt;=EDATE($AB50,-FenetreFinCarriere*12),$Q50&lt;=$AB50),"Planifié dans la fenêtre",IF(AND(MAX($P50,DateRef)&gt;=EDATE($AB50,-FenetreFinCarriere*12),MAX($P50,DateRef)&lt;=$AB50),"Prochain EPP dans la fenêtre",IF(MAX($P50,DateRef)&gt;$AB50,"À programmer avant 60 ans",""))))))))</f>
        <v/>
      </c>
      <c r="AD50" s="40"/>
      <c r="AE50" s="43" t="str">
        <f aca="false">IF(OR($B50="",$H50="",AND($I50&lt;&gt;"",$I50&lt;=DateRef)),"",MAX($H50,$AD50,IF($A50="",0,SUMPRODUCT(MAX((Journal!$A$6:$A$1005=$A50)*((Journal!$D$6:$D$1005=TypeEDL)+(Journal!$D$6:$D$1005=TypeBilan6))*Journal!$C$6:$C$1005)))))</f>
        <v/>
      </c>
      <c r="AF50" s="43" t="str">
        <f aca="false">IF($AE50="","",IF(AND(ReglesTransitoires="Oui",EDATE($AE50,AnciennePeriodiciteEDL*12)&lt;DateVigueur),EDATE($AE50,AnciennePeriodiciteEDL*12),EDATE($AE50,PeriodiciteEDL*12)))</f>
        <v/>
      </c>
      <c r="AG50" s="42" t="str">
        <f aca="false">IF($AF50="","",IF(AND($I50&lt;&gt;"",$I50&lt;=DateRef),"",IF($AF50&lt;DateRef,"En retard",IF($AF50-DateRef&lt;=SeuilAlerteEDL,"À prévoir","À jour"))))</f>
        <v/>
      </c>
      <c r="AH50" s="39"/>
      <c r="AI50" s="39"/>
      <c r="AJ50" s="42" t="str">
        <f aca="false">IF(OR($B50="",$H50=""),"",IF(AND($I50&lt;&gt;"",$I50&lt;=DateRef),"",IF(Effectif&lt;SeuilEffectif,"Non concerné (&lt; "&amp;SeuilEffectif&amp;" salariés)",IF($AH50="Oui","Pas de risque",IF(AND(OR($AI50="Non",$S50="En retard"),$AH50="Non"),"Risque abondement",IF(OR($AI50="Non",$S50="En retard"),"À vérifier (formation ?)",IF($AI50="Oui","Pas de risque","À compléter")))))))</f>
        <v/>
      </c>
      <c r="AK50" s="39"/>
    </row>
    <row r="51" customFormat="false" ht="15" hidden="false" customHeight="false" outlineLevel="0" collapsed="false">
      <c r="A51" s="39"/>
      <c r="B51" s="39"/>
      <c r="C51" s="39"/>
      <c r="D51" s="39"/>
      <c r="E51" s="39"/>
      <c r="F51" s="39"/>
      <c r="G51" s="40"/>
      <c r="H51" s="40"/>
      <c r="I51" s="40"/>
      <c r="J51" s="41" t="str">
        <f aca="false">IF(OR($B51="",$H51=""),"",IF($H51&gt;DateRef,0,YEARFRAC($H51,DateRef,1)))</f>
        <v/>
      </c>
      <c r="K51" s="42" t="str">
        <f aca="false">IF(OR($B51="",$H51=""),"",IF(EDATE($H51,12)&lt;=DateRef,"Plus d'un an","Moins d'un an"))</f>
        <v/>
      </c>
      <c r="L51" s="40"/>
      <c r="M51" s="43" t="str">
        <f aca="false">IF(OR($B51="",$A51=""),"",IF(SUMPRODUCT(MAX((Journal!$A$6:$A$1005=$A51)*Journal!$C$6:$C$1005))=0,"",SUMPRODUCT(MAX((Journal!$A$6:$A$1005=$A51)*Journal!$C$6:$C$1005))))</f>
        <v/>
      </c>
      <c r="N51" s="43" t="str">
        <f aca="false">IF($B51="","",IF(MAX($L51,$M51)=0,"",MAX($L51,$M51)))</f>
        <v/>
      </c>
      <c r="O51" s="44" t="str">
        <f aca="false">IF(OR($B51="",$H51=""),"",IF($N51="",IF(EDATE($H51,DelaiPremierEPP)&gt;DateRef,"1er EPP (1re année)","Aucun entretien renseigné"),IF(AND(ReglesTransitoires="Oui",EDATE($N51,AnciennePeriodiciteEP*12)&lt;DateVigueur),"Retard antérieur à la réforme","Périodicité "&amp;PeriodiciteEPP&amp;" ans")))</f>
        <v/>
      </c>
      <c r="P51" s="43" t="str">
        <f aca="false">IF(OR($B51="",$H51=""),"",IF($N51="",EDATE($H51,DelaiPremierEPP),IF(AND(ReglesTransitoires="Oui",EDATE($N51,AnciennePeriodiciteEP*12)&lt;DateVigueur),EDATE($N51,AnciennePeriodiciteEP*12),EDATE($N51,PeriodiciteEPP*12))))</f>
        <v/>
      </c>
      <c r="Q51" s="40"/>
      <c r="R51" s="45" t="str">
        <f aca="false">IF(OR($P51="",AND($I51&lt;&gt;"",$I51&lt;=DateRef)),"",$P51-DateRef)</f>
        <v/>
      </c>
      <c r="S51" s="42" t="str">
        <f aca="false">IF($B51="","",IF(AND($I51&lt;&gt;"",$I51&lt;=DateRef),"Sorti",IF($H51="","À compléter",IF(AND($Q51&lt;&gt;"",$Q51&gt;=DateRef,$Q51&lt;=$P51),"Planifié",IF($R51&lt;0,"En retard",IF($R51&lt;=SeuilAlerteEPP,"À planifier","À jour"))))))</f>
        <v/>
      </c>
      <c r="T51" s="46" t="str">
        <f aca="false">IF(OR($B51="",$S51="Sorti"),"",MID(IF($H51=""," | Date d'embauche manquante","")&amp;IF(AND($K51="Plus d'un an",$N51="")," | Précédent entretien à renseigner (ancienneté &gt; 1 an)","")&amp;IF($O51="Retard antérieur à la réforme"," | Ancien délai de 2 ans expiré avant la réforme","")&amp;IF(AND($N51&lt;&gt;"",$H51&lt;&gt;"",$N51&lt;$H51)," | Entretien antérieur à l'embauche ?","")&amp;IF(AND($N51&lt;&gt;"",$N51&gt;DateRef)," | Entretien daté dans le futur ?","")&amp;IF(AND($Q51&lt;&gt;"",$P51&lt;&gt;"",$Q51&gt;$P51)," | Date prévue après l'échéance","")&amp;IF(AND($Q51&lt;&gt;"",$Q51&lt;DateRef,OR($N51="",$N51&lt;$Q51))," | Entretien prévu passé : le consigner au Journal","")&amp;IF(AND($G51&lt;&gt;"",$X51="",YEAR(DateRef)-YEAR($G51)&gt;=AgeMiCarriere-1,YEAR(DateRef)-YEAR($G51)&lt;=AgeMiCarriere+1)," | Visite de mi-carrière à vérifier",""),4,1000))</f>
        <v/>
      </c>
      <c r="U51" s="39"/>
      <c r="V51" s="40"/>
      <c r="W51" s="42" t="str">
        <f aca="false">IF(OR($B51="",$V51=""),"",IF(AND($I51&lt;&gt;"",$I51&lt;=DateRef),"",IF(AND($N51&lt;&gt;"",$N51&gt;=$V51),"Réalisé",IF(AND($N51&lt;&gt;"",$N51&gt;=EDATE($V51,-FenetreRetour)),"Dispensé (EPP récent)",IF($V51&gt;DateRef,"À prévoir à la reprise","À proposer (reprise passée)")))))</f>
        <v/>
      </c>
      <c r="X51" s="40"/>
      <c r="Y51" s="43" t="str">
        <f aca="false">IF(OR($B51="",$X51=""),"",EDATE($X51,DelaiMiCarriere))</f>
        <v/>
      </c>
      <c r="Z51" s="42" t="str">
        <f aca="false">IF(OR($B51="",$X51=""),"",IF(AND($I51&lt;&gt;"",$I51&lt;=DateRef),"",IF(AND($N51&lt;&gt;"",$N51&gt;=$X51),"Réalisé",IF($Y51&lt;DateRef,"En retard","À planifier"))))</f>
        <v/>
      </c>
      <c r="AA51" s="47" t="str">
        <f aca="false">IF(OR($B51="",$G51=""),"",IF($G51&gt;DateRef,"",DATEDIF($G51,DateRef,"y")))</f>
        <v/>
      </c>
      <c r="AB51" s="43" t="str">
        <f aca="false">IF(OR($B51="",$G51=""),"",EDATE($G51,AgeFinCarriere*12))</f>
        <v/>
      </c>
      <c r="AC51" s="42" t="str">
        <f aca="false">IF(OR($B51="",$G51="",$H51=""),"",IF(AND($I51&lt;&gt;"",$I51&lt;=DateRef),"",IF($AB51&lt;DateVigueur,"Non concerné",IF(AND($N51&lt;&gt;"",$N51&gt;=MAX(EDATE($AB51,-FenetreFinCarriere*12),DateVigueur),$N51&lt;=$AB51),"Réalisé",IF(DateRef&gt;$AB51,"Non réalisé",IF(AND($Q51&lt;&gt;"",$Q51&gt;=EDATE($AB51,-FenetreFinCarriere*12),$Q51&lt;=$AB51),"Planifié dans la fenêtre",IF(AND(MAX($P51,DateRef)&gt;=EDATE($AB51,-FenetreFinCarriere*12),MAX($P51,DateRef)&lt;=$AB51),"Prochain EPP dans la fenêtre",IF(MAX($P51,DateRef)&gt;$AB51,"À programmer avant 60 ans",""))))))))</f>
        <v/>
      </c>
      <c r="AD51" s="40"/>
      <c r="AE51" s="43" t="str">
        <f aca="false">IF(OR($B51="",$H51="",AND($I51&lt;&gt;"",$I51&lt;=DateRef)),"",MAX($H51,$AD51,IF($A51="",0,SUMPRODUCT(MAX((Journal!$A$6:$A$1005=$A51)*((Journal!$D$6:$D$1005=TypeEDL)+(Journal!$D$6:$D$1005=TypeBilan6))*Journal!$C$6:$C$1005)))))</f>
        <v/>
      </c>
      <c r="AF51" s="43" t="str">
        <f aca="false">IF($AE51="","",IF(AND(ReglesTransitoires="Oui",EDATE($AE51,AnciennePeriodiciteEDL*12)&lt;DateVigueur),EDATE($AE51,AnciennePeriodiciteEDL*12),EDATE($AE51,PeriodiciteEDL*12)))</f>
        <v/>
      </c>
      <c r="AG51" s="42" t="str">
        <f aca="false">IF($AF51="","",IF(AND($I51&lt;&gt;"",$I51&lt;=DateRef),"",IF($AF51&lt;DateRef,"En retard",IF($AF51-DateRef&lt;=SeuilAlerteEDL,"À prévoir","À jour"))))</f>
        <v/>
      </c>
      <c r="AH51" s="39"/>
      <c r="AI51" s="39"/>
      <c r="AJ51" s="42" t="str">
        <f aca="false">IF(OR($B51="",$H51=""),"",IF(AND($I51&lt;&gt;"",$I51&lt;=DateRef),"",IF(Effectif&lt;SeuilEffectif,"Non concerné (&lt; "&amp;SeuilEffectif&amp;" salariés)",IF($AH51="Oui","Pas de risque",IF(AND(OR($AI51="Non",$S51="En retard"),$AH51="Non"),"Risque abondement",IF(OR($AI51="Non",$S51="En retard"),"À vérifier (formation ?)",IF($AI51="Oui","Pas de risque","À compléter")))))))</f>
        <v/>
      </c>
      <c r="AK51" s="39"/>
    </row>
    <row r="52" customFormat="false" ht="15" hidden="false" customHeight="false" outlineLevel="0" collapsed="false">
      <c r="A52" s="39"/>
      <c r="B52" s="39"/>
      <c r="C52" s="39"/>
      <c r="D52" s="39"/>
      <c r="E52" s="39"/>
      <c r="F52" s="39"/>
      <c r="G52" s="40"/>
      <c r="H52" s="40"/>
      <c r="I52" s="40"/>
      <c r="J52" s="41" t="str">
        <f aca="false">IF(OR($B52="",$H52=""),"",IF($H52&gt;DateRef,0,YEARFRAC($H52,DateRef,1)))</f>
        <v/>
      </c>
      <c r="K52" s="42" t="str">
        <f aca="false">IF(OR($B52="",$H52=""),"",IF(EDATE($H52,12)&lt;=DateRef,"Plus d'un an","Moins d'un an"))</f>
        <v/>
      </c>
      <c r="L52" s="40"/>
      <c r="M52" s="43" t="str">
        <f aca="false">IF(OR($B52="",$A52=""),"",IF(SUMPRODUCT(MAX((Journal!$A$6:$A$1005=$A52)*Journal!$C$6:$C$1005))=0,"",SUMPRODUCT(MAX((Journal!$A$6:$A$1005=$A52)*Journal!$C$6:$C$1005))))</f>
        <v/>
      </c>
      <c r="N52" s="43" t="str">
        <f aca="false">IF($B52="","",IF(MAX($L52,$M52)=0,"",MAX($L52,$M52)))</f>
        <v/>
      </c>
      <c r="O52" s="44" t="str">
        <f aca="false">IF(OR($B52="",$H52=""),"",IF($N52="",IF(EDATE($H52,DelaiPremierEPP)&gt;DateRef,"1er EPP (1re année)","Aucun entretien renseigné"),IF(AND(ReglesTransitoires="Oui",EDATE($N52,AnciennePeriodiciteEP*12)&lt;DateVigueur),"Retard antérieur à la réforme","Périodicité "&amp;PeriodiciteEPP&amp;" ans")))</f>
        <v/>
      </c>
      <c r="P52" s="43" t="str">
        <f aca="false">IF(OR($B52="",$H52=""),"",IF($N52="",EDATE($H52,DelaiPremierEPP),IF(AND(ReglesTransitoires="Oui",EDATE($N52,AnciennePeriodiciteEP*12)&lt;DateVigueur),EDATE($N52,AnciennePeriodiciteEP*12),EDATE($N52,PeriodiciteEPP*12))))</f>
        <v/>
      </c>
      <c r="Q52" s="40"/>
      <c r="R52" s="45" t="str">
        <f aca="false">IF(OR($P52="",AND($I52&lt;&gt;"",$I52&lt;=DateRef)),"",$P52-DateRef)</f>
        <v/>
      </c>
      <c r="S52" s="42" t="str">
        <f aca="false">IF($B52="","",IF(AND($I52&lt;&gt;"",$I52&lt;=DateRef),"Sorti",IF($H52="","À compléter",IF(AND($Q52&lt;&gt;"",$Q52&gt;=DateRef,$Q52&lt;=$P52),"Planifié",IF($R52&lt;0,"En retard",IF($R52&lt;=SeuilAlerteEPP,"À planifier","À jour"))))))</f>
        <v/>
      </c>
      <c r="T52" s="46" t="str">
        <f aca="false">IF(OR($B52="",$S52="Sorti"),"",MID(IF($H52=""," | Date d'embauche manquante","")&amp;IF(AND($K52="Plus d'un an",$N52="")," | Précédent entretien à renseigner (ancienneté &gt; 1 an)","")&amp;IF($O52="Retard antérieur à la réforme"," | Ancien délai de 2 ans expiré avant la réforme","")&amp;IF(AND($N52&lt;&gt;"",$H52&lt;&gt;"",$N52&lt;$H52)," | Entretien antérieur à l'embauche ?","")&amp;IF(AND($N52&lt;&gt;"",$N52&gt;DateRef)," | Entretien daté dans le futur ?","")&amp;IF(AND($Q52&lt;&gt;"",$P52&lt;&gt;"",$Q52&gt;$P52)," | Date prévue après l'échéance","")&amp;IF(AND($Q52&lt;&gt;"",$Q52&lt;DateRef,OR($N52="",$N52&lt;$Q52))," | Entretien prévu passé : le consigner au Journal","")&amp;IF(AND($G52&lt;&gt;"",$X52="",YEAR(DateRef)-YEAR($G52)&gt;=AgeMiCarriere-1,YEAR(DateRef)-YEAR($G52)&lt;=AgeMiCarriere+1)," | Visite de mi-carrière à vérifier",""),4,1000))</f>
        <v/>
      </c>
      <c r="U52" s="39"/>
      <c r="V52" s="40"/>
      <c r="W52" s="42" t="str">
        <f aca="false">IF(OR($B52="",$V52=""),"",IF(AND($I52&lt;&gt;"",$I52&lt;=DateRef),"",IF(AND($N52&lt;&gt;"",$N52&gt;=$V52),"Réalisé",IF(AND($N52&lt;&gt;"",$N52&gt;=EDATE($V52,-FenetreRetour)),"Dispensé (EPP récent)",IF($V52&gt;DateRef,"À prévoir à la reprise","À proposer (reprise passée)")))))</f>
        <v/>
      </c>
      <c r="X52" s="40"/>
      <c r="Y52" s="43" t="str">
        <f aca="false">IF(OR($B52="",$X52=""),"",EDATE($X52,DelaiMiCarriere))</f>
        <v/>
      </c>
      <c r="Z52" s="42" t="str">
        <f aca="false">IF(OR($B52="",$X52=""),"",IF(AND($I52&lt;&gt;"",$I52&lt;=DateRef),"",IF(AND($N52&lt;&gt;"",$N52&gt;=$X52),"Réalisé",IF($Y52&lt;DateRef,"En retard","À planifier"))))</f>
        <v/>
      </c>
      <c r="AA52" s="47" t="str">
        <f aca="false">IF(OR($B52="",$G52=""),"",IF($G52&gt;DateRef,"",DATEDIF($G52,DateRef,"y")))</f>
        <v/>
      </c>
      <c r="AB52" s="43" t="str">
        <f aca="false">IF(OR($B52="",$G52=""),"",EDATE($G52,AgeFinCarriere*12))</f>
        <v/>
      </c>
      <c r="AC52" s="42" t="str">
        <f aca="false">IF(OR($B52="",$G52="",$H52=""),"",IF(AND($I52&lt;&gt;"",$I52&lt;=DateRef),"",IF($AB52&lt;DateVigueur,"Non concerné",IF(AND($N52&lt;&gt;"",$N52&gt;=MAX(EDATE($AB52,-FenetreFinCarriere*12),DateVigueur),$N52&lt;=$AB52),"Réalisé",IF(DateRef&gt;$AB52,"Non réalisé",IF(AND($Q52&lt;&gt;"",$Q52&gt;=EDATE($AB52,-FenetreFinCarriere*12),$Q52&lt;=$AB52),"Planifié dans la fenêtre",IF(AND(MAX($P52,DateRef)&gt;=EDATE($AB52,-FenetreFinCarriere*12),MAX($P52,DateRef)&lt;=$AB52),"Prochain EPP dans la fenêtre",IF(MAX($P52,DateRef)&gt;$AB52,"À programmer avant 60 ans",""))))))))</f>
        <v/>
      </c>
      <c r="AD52" s="40"/>
      <c r="AE52" s="43" t="str">
        <f aca="false">IF(OR($B52="",$H52="",AND($I52&lt;&gt;"",$I52&lt;=DateRef)),"",MAX($H52,$AD52,IF($A52="",0,SUMPRODUCT(MAX((Journal!$A$6:$A$1005=$A52)*((Journal!$D$6:$D$1005=TypeEDL)+(Journal!$D$6:$D$1005=TypeBilan6))*Journal!$C$6:$C$1005)))))</f>
        <v/>
      </c>
      <c r="AF52" s="43" t="str">
        <f aca="false">IF($AE52="","",IF(AND(ReglesTransitoires="Oui",EDATE($AE52,AnciennePeriodiciteEDL*12)&lt;DateVigueur),EDATE($AE52,AnciennePeriodiciteEDL*12),EDATE($AE52,PeriodiciteEDL*12)))</f>
        <v/>
      </c>
      <c r="AG52" s="42" t="str">
        <f aca="false">IF($AF52="","",IF(AND($I52&lt;&gt;"",$I52&lt;=DateRef),"",IF($AF52&lt;DateRef,"En retard",IF($AF52-DateRef&lt;=SeuilAlerteEDL,"À prévoir","À jour"))))</f>
        <v/>
      </c>
      <c r="AH52" s="39"/>
      <c r="AI52" s="39"/>
      <c r="AJ52" s="42" t="str">
        <f aca="false">IF(OR($B52="",$H52=""),"",IF(AND($I52&lt;&gt;"",$I52&lt;=DateRef),"",IF(Effectif&lt;SeuilEffectif,"Non concerné (&lt; "&amp;SeuilEffectif&amp;" salariés)",IF($AH52="Oui","Pas de risque",IF(AND(OR($AI52="Non",$S52="En retard"),$AH52="Non"),"Risque abondement",IF(OR($AI52="Non",$S52="En retard"),"À vérifier (formation ?)",IF($AI52="Oui","Pas de risque","À compléter")))))))</f>
        <v/>
      </c>
      <c r="AK52" s="39"/>
    </row>
    <row r="53" customFormat="false" ht="15" hidden="false" customHeight="false" outlineLevel="0" collapsed="false">
      <c r="A53" s="39"/>
      <c r="B53" s="39"/>
      <c r="C53" s="39"/>
      <c r="D53" s="39"/>
      <c r="E53" s="39"/>
      <c r="F53" s="39"/>
      <c r="G53" s="40"/>
      <c r="H53" s="40"/>
      <c r="I53" s="40"/>
      <c r="J53" s="41" t="str">
        <f aca="false">IF(OR($B53="",$H53=""),"",IF($H53&gt;DateRef,0,YEARFRAC($H53,DateRef,1)))</f>
        <v/>
      </c>
      <c r="K53" s="42" t="str">
        <f aca="false">IF(OR($B53="",$H53=""),"",IF(EDATE($H53,12)&lt;=DateRef,"Plus d'un an","Moins d'un an"))</f>
        <v/>
      </c>
      <c r="L53" s="40"/>
      <c r="M53" s="43" t="str">
        <f aca="false">IF(OR($B53="",$A53=""),"",IF(SUMPRODUCT(MAX((Journal!$A$6:$A$1005=$A53)*Journal!$C$6:$C$1005))=0,"",SUMPRODUCT(MAX((Journal!$A$6:$A$1005=$A53)*Journal!$C$6:$C$1005))))</f>
        <v/>
      </c>
      <c r="N53" s="43" t="str">
        <f aca="false">IF($B53="","",IF(MAX($L53,$M53)=0,"",MAX($L53,$M53)))</f>
        <v/>
      </c>
      <c r="O53" s="44" t="str">
        <f aca="false">IF(OR($B53="",$H53=""),"",IF($N53="",IF(EDATE($H53,DelaiPremierEPP)&gt;DateRef,"1er EPP (1re année)","Aucun entretien renseigné"),IF(AND(ReglesTransitoires="Oui",EDATE($N53,AnciennePeriodiciteEP*12)&lt;DateVigueur),"Retard antérieur à la réforme","Périodicité "&amp;PeriodiciteEPP&amp;" ans")))</f>
        <v/>
      </c>
      <c r="P53" s="43" t="str">
        <f aca="false">IF(OR($B53="",$H53=""),"",IF($N53="",EDATE($H53,DelaiPremierEPP),IF(AND(ReglesTransitoires="Oui",EDATE($N53,AnciennePeriodiciteEP*12)&lt;DateVigueur),EDATE($N53,AnciennePeriodiciteEP*12),EDATE($N53,PeriodiciteEPP*12))))</f>
        <v/>
      </c>
      <c r="Q53" s="40"/>
      <c r="R53" s="45" t="str">
        <f aca="false">IF(OR($P53="",AND($I53&lt;&gt;"",$I53&lt;=DateRef)),"",$P53-DateRef)</f>
        <v/>
      </c>
      <c r="S53" s="42" t="str">
        <f aca="false">IF($B53="","",IF(AND($I53&lt;&gt;"",$I53&lt;=DateRef),"Sorti",IF($H53="","À compléter",IF(AND($Q53&lt;&gt;"",$Q53&gt;=DateRef,$Q53&lt;=$P53),"Planifié",IF($R53&lt;0,"En retard",IF($R53&lt;=SeuilAlerteEPP,"À planifier","À jour"))))))</f>
        <v/>
      </c>
      <c r="T53" s="46" t="str">
        <f aca="false">IF(OR($B53="",$S53="Sorti"),"",MID(IF($H53=""," | Date d'embauche manquante","")&amp;IF(AND($K53="Plus d'un an",$N53="")," | Précédent entretien à renseigner (ancienneté &gt; 1 an)","")&amp;IF($O53="Retard antérieur à la réforme"," | Ancien délai de 2 ans expiré avant la réforme","")&amp;IF(AND($N53&lt;&gt;"",$H53&lt;&gt;"",$N53&lt;$H53)," | Entretien antérieur à l'embauche ?","")&amp;IF(AND($N53&lt;&gt;"",$N53&gt;DateRef)," | Entretien daté dans le futur ?","")&amp;IF(AND($Q53&lt;&gt;"",$P53&lt;&gt;"",$Q53&gt;$P53)," | Date prévue après l'échéance","")&amp;IF(AND($Q53&lt;&gt;"",$Q53&lt;DateRef,OR($N53="",$N53&lt;$Q53))," | Entretien prévu passé : le consigner au Journal","")&amp;IF(AND($G53&lt;&gt;"",$X53="",YEAR(DateRef)-YEAR($G53)&gt;=AgeMiCarriere-1,YEAR(DateRef)-YEAR($G53)&lt;=AgeMiCarriere+1)," | Visite de mi-carrière à vérifier",""),4,1000))</f>
        <v/>
      </c>
      <c r="U53" s="39"/>
      <c r="V53" s="40"/>
      <c r="W53" s="42" t="str">
        <f aca="false">IF(OR($B53="",$V53=""),"",IF(AND($I53&lt;&gt;"",$I53&lt;=DateRef),"",IF(AND($N53&lt;&gt;"",$N53&gt;=$V53),"Réalisé",IF(AND($N53&lt;&gt;"",$N53&gt;=EDATE($V53,-FenetreRetour)),"Dispensé (EPP récent)",IF($V53&gt;DateRef,"À prévoir à la reprise","À proposer (reprise passée)")))))</f>
        <v/>
      </c>
      <c r="X53" s="40"/>
      <c r="Y53" s="43" t="str">
        <f aca="false">IF(OR($B53="",$X53=""),"",EDATE($X53,DelaiMiCarriere))</f>
        <v/>
      </c>
      <c r="Z53" s="42" t="str">
        <f aca="false">IF(OR($B53="",$X53=""),"",IF(AND($I53&lt;&gt;"",$I53&lt;=DateRef),"",IF(AND($N53&lt;&gt;"",$N53&gt;=$X53),"Réalisé",IF($Y53&lt;DateRef,"En retard","À planifier"))))</f>
        <v/>
      </c>
      <c r="AA53" s="47" t="str">
        <f aca="false">IF(OR($B53="",$G53=""),"",IF($G53&gt;DateRef,"",DATEDIF($G53,DateRef,"y")))</f>
        <v/>
      </c>
      <c r="AB53" s="43" t="str">
        <f aca="false">IF(OR($B53="",$G53=""),"",EDATE($G53,AgeFinCarriere*12))</f>
        <v/>
      </c>
      <c r="AC53" s="42" t="str">
        <f aca="false">IF(OR($B53="",$G53="",$H53=""),"",IF(AND($I53&lt;&gt;"",$I53&lt;=DateRef),"",IF($AB53&lt;DateVigueur,"Non concerné",IF(AND($N53&lt;&gt;"",$N53&gt;=MAX(EDATE($AB53,-FenetreFinCarriere*12),DateVigueur),$N53&lt;=$AB53),"Réalisé",IF(DateRef&gt;$AB53,"Non réalisé",IF(AND($Q53&lt;&gt;"",$Q53&gt;=EDATE($AB53,-FenetreFinCarriere*12),$Q53&lt;=$AB53),"Planifié dans la fenêtre",IF(AND(MAX($P53,DateRef)&gt;=EDATE($AB53,-FenetreFinCarriere*12),MAX($P53,DateRef)&lt;=$AB53),"Prochain EPP dans la fenêtre",IF(MAX($P53,DateRef)&gt;$AB53,"À programmer avant 60 ans",""))))))))</f>
        <v/>
      </c>
      <c r="AD53" s="40"/>
      <c r="AE53" s="43" t="str">
        <f aca="false">IF(OR($B53="",$H53="",AND($I53&lt;&gt;"",$I53&lt;=DateRef)),"",MAX($H53,$AD53,IF($A53="",0,SUMPRODUCT(MAX((Journal!$A$6:$A$1005=$A53)*((Journal!$D$6:$D$1005=TypeEDL)+(Journal!$D$6:$D$1005=TypeBilan6))*Journal!$C$6:$C$1005)))))</f>
        <v/>
      </c>
      <c r="AF53" s="43" t="str">
        <f aca="false">IF($AE53="","",IF(AND(ReglesTransitoires="Oui",EDATE($AE53,AnciennePeriodiciteEDL*12)&lt;DateVigueur),EDATE($AE53,AnciennePeriodiciteEDL*12),EDATE($AE53,PeriodiciteEDL*12)))</f>
        <v/>
      </c>
      <c r="AG53" s="42" t="str">
        <f aca="false">IF($AF53="","",IF(AND($I53&lt;&gt;"",$I53&lt;=DateRef),"",IF($AF53&lt;DateRef,"En retard",IF($AF53-DateRef&lt;=SeuilAlerteEDL,"À prévoir","À jour"))))</f>
        <v/>
      </c>
      <c r="AH53" s="39"/>
      <c r="AI53" s="39"/>
      <c r="AJ53" s="42" t="str">
        <f aca="false">IF(OR($B53="",$H53=""),"",IF(AND($I53&lt;&gt;"",$I53&lt;=DateRef),"",IF(Effectif&lt;SeuilEffectif,"Non concerné (&lt; "&amp;SeuilEffectif&amp;" salariés)",IF($AH53="Oui","Pas de risque",IF(AND(OR($AI53="Non",$S53="En retard"),$AH53="Non"),"Risque abondement",IF(OR($AI53="Non",$S53="En retard"),"À vérifier (formation ?)",IF($AI53="Oui","Pas de risque","À compléter")))))))</f>
        <v/>
      </c>
      <c r="AK53" s="39"/>
    </row>
    <row r="54" customFormat="false" ht="15" hidden="false" customHeight="false" outlineLevel="0" collapsed="false">
      <c r="A54" s="39"/>
      <c r="B54" s="39"/>
      <c r="C54" s="39"/>
      <c r="D54" s="39"/>
      <c r="E54" s="39"/>
      <c r="F54" s="39"/>
      <c r="G54" s="40"/>
      <c r="H54" s="40"/>
      <c r="I54" s="40"/>
      <c r="J54" s="41" t="str">
        <f aca="false">IF(OR($B54="",$H54=""),"",IF($H54&gt;DateRef,0,YEARFRAC($H54,DateRef,1)))</f>
        <v/>
      </c>
      <c r="K54" s="42" t="str">
        <f aca="false">IF(OR($B54="",$H54=""),"",IF(EDATE($H54,12)&lt;=DateRef,"Plus d'un an","Moins d'un an"))</f>
        <v/>
      </c>
      <c r="L54" s="40"/>
      <c r="M54" s="43" t="str">
        <f aca="false">IF(OR($B54="",$A54=""),"",IF(SUMPRODUCT(MAX((Journal!$A$6:$A$1005=$A54)*Journal!$C$6:$C$1005))=0,"",SUMPRODUCT(MAX((Journal!$A$6:$A$1005=$A54)*Journal!$C$6:$C$1005))))</f>
        <v/>
      </c>
      <c r="N54" s="43" t="str">
        <f aca="false">IF($B54="","",IF(MAX($L54,$M54)=0,"",MAX($L54,$M54)))</f>
        <v/>
      </c>
      <c r="O54" s="44" t="str">
        <f aca="false">IF(OR($B54="",$H54=""),"",IF($N54="",IF(EDATE($H54,DelaiPremierEPP)&gt;DateRef,"1er EPP (1re année)","Aucun entretien renseigné"),IF(AND(ReglesTransitoires="Oui",EDATE($N54,AnciennePeriodiciteEP*12)&lt;DateVigueur),"Retard antérieur à la réforme","Périodicité "&amp;PeriodiciteEPP&amp;" ans")))</f>
        <v/>
      </c>
      <c r="P54" s="43" t="str">
        <f aca="false">IF(OR($B54="",$H54=""),"",IF($N54="",EDATE($H54,DelaiPremierEPP),IF(AND(ReglesTransitoires="Oui",EDATE($N54,AnciennePeriodiciteEP*12)&lt;DateVigueur),EDATE($N54,AnciennePeriodiciteEP*12),EDATE($N54,PeriodiciteEPP*12))))</f>
        <v/>
      </c>
      <c r="Q54" s="40"/>
      <c r="R54" s="45" t="str">
        <f aca="false">IF(OR($P54="",AND($I54&lt;&gt;"",$I54&lt;=DateRef)),"",$P54-DateRef)</f>
        <v/>
      </c>
      <c r="S54" s="42" t="str">
        <f aca="false">IF($B54="","",IF(AND($I54&lt;&gt;"",$I54&lt;=DateRef),"Sorti",IF($H54="","À compléter",IF(AND($Q54&lt;&gt;"",$Q54&gt;=DateRef,$Q54&lt;=$P54),"Planifié",IF($R54&lt;0,"En retard",IF($R54&lt;=SeuilAlerteEPP,"À planifier","À jour"))))))</f>
        <v/>
      </c>
      <c r="T54" s="46" t="str">
        <f aca="false">IF(OR($B54="",$S54="Sorti"),"",MID(IF($H54=""," | Date d'embauche manquante","")&amp;IF(AND($K54="Plus d'un an",$N54="")," | Précédent entretien à renseigner (ancienneté &gt; 1 an)","")&amp;IF($O54="Retard antérieur à la réforme"," | Ancien délai de 2 ans expiré avant la réforme","")&amp;IF(AND($N54&lt;&gt;"",$H54&lt;&gt;"",$N54&lt;$H54)," | Entretien antérieur à l'embauche ?","")&amp;IF(AND($N54&lt;&gt;"",$N54&gt;DateRef)," | Entretien daté dans le futur ?","")&amp;IF(AND($Q54&lt;&gt;"",$P54&lt;&gt;"",$Q54&gt;$P54)," | Date prévue après l'échéance","")&amp;IF(AND($Q54&lt;&gt;"",$Q54&lt;DateRef,OR($N54="",$N54&lt;$Q54))," | Entretien prévu passé : le consigner au Journal","")&amp;IF(AND($G54&lt;&gt;"",$X54="",YEAR(DateRef)-YEAR($G54)&gt;=AgeMiCarriere-1,YEAR(DateRef)-YEAR($G54)&lt;=AgeMiCarriere+1)," | Visite de mi-carrière à vérifier",""),4,1000))</f>
        <v/>
      </c>
      <c r="U54" s="39"/>
      <c r="V54" s="40"/>
      <c r="W54" s="42" t="str">
        <f aca="false">IF(OR($B54="",$V54=""),"",IF(AND($I54&lt;&gt;"",$I54&lt;=DateRef),"",IF(AND($N54&lt;&gt;"",$N54&gt;=$V54),"Réalisé",IF(AND($N54&lt;&gt;"",$N54&gt;=EDATE($V54,-FenetreRetour)),"Dispensé (EPP récent)",IF($V54&gt;DateRef,"À prévoir à la reprise","À proposer (reprise passée)")))))</f>
        <v/>
      </c>
      <c r="X54" s="40"/>
      <c r="Y54" s="43" t="str">
        <f aca="false">IF(OR($B54="",$X54=""),"",EDATE($X54,DelaiMiCarriere))</f>
        <v/>
      </c>
      <c r="Z54" s="42" t="str">
        <f aca="false">IF(OR($B54="",$X54=""),"",IF(AND($I54&lt;&gt;"",$I54&lt;=DateRef),"",IF(AND($N54&lt;&gt;"",$N54&gt;=$X54),"Réalisé",IF($Y54&lt;DateRef,"En retard","À planifier"))))</f>
        <v/>
      </c>
      <c r="AA54" s="47" t="str">
        <f aca="false">IF(OR($B54="",$G54=""),"",IF($G54&gt;DateRef,"",DATEDIF($G54,DateRef,"y")))</f>
        <v/>
      </c>
      <c r="AB54" s="43" t="str">
        <f aca="false">IF(OR($B54="",$G54=""),"",EDATE($G54,AgeFinCarriere*12))</f>
        <v/>
      </c>
      <c r="AC54" s="42" t="str">
        <f aca="false">IF(OR($B54="",$G54="",$H54=""),"",IF(AND($I54&lt;&gt;"",$I54&lt;=DateRef),"",IF($AB54&lt;DateVigueur,"Non concerné",IF(AND($N54&lt;&gt;"",$N54&gt;=MAX(EDATE($AB54,-FenetreFinCarriere*12),DateVigueur),$N54&lt;=$AB54),"Réalisé",IF(DateRef&gt;$AB54,"Non réalisé",IF(AND($Q54&lt;&gt;"",$Q54&gt;=EDATE($AB54,-FenetreFinCarriere*12),$Q54&lt;=$AB54),"Planifié dans la fenêtre",IF(AND(MAX($P54,DateRef)&gt;=EDATE($AB54,-FenetreFinCarriere*12),MAX($P54,DateRef)&lt;=$AB54),"Prochain EPP dans la fenêtre",IF(MAX($P54,DateRef)&gt;$AB54,"À programmer avant 60 ans",""))))))))</f>
        <v/>
      </c>
      <c r="AD54" s="40"/>
      <c r="AE54" s="43" t="str">
        <f aca="false">IF(OR($B54="",$H54="",AND($I54&lt;&gt;"",$I54&lt;=DateRef)),"",MAX($H54,$AD54,IF($A54="",0,SUMPRODUCT(MAX((Journal!$A$6:$A$1005=$A54)*((Journal!$D$6:$D$1005=TypeEDL)+(Journal!$D$6:$D$1005=TypeBilan6))*Journal!$C$6:$C$1005)))))</f>
        <v/>
      </c>
      <c r="AF54" s="43" t="str">
        <f aca="false">IF($AE54="","",IF(AND(ReglesTransitoires="Oui",EDATE($AE54,AnciennePeriodiciteEDL*12)&lt;DateVigueur),EDATE($AE54,AnciennePeriodiciteEDL*12),EDATE($AE54,PeriodiciteEDL*12)))</f>
        <v/>
      </c>
      <c r="AG54" s="42" t="str">
        <f aca="false">IF($AF54="","",IF(AND($I54&lt;&gt;"",$I54&lt;=DateRef),"",IF($AF54&lt;DateRef,"En retard",IF($AF54-DateRef&lt;=SeuilAlerteEDL,"À prévoir","À jour"))))</f>
        <v/>
      </c>
      <c r="AH54" s="39"/>
      <c r="AI54" s="39"/>
      <c r="AJ54" s="42" t="str">
        <f aca="false">IF(OR($B54="",$H54=""),"",IF(AND($I54&lt;&gt;"",$I54&lt;=DateRef),"",IF(Effectif&lt;SeuilEffectif,"Non concerné (&lt; "&amp;SeuilEffectif&amp;" salariés)",IF($AH54="Oui","Pas de risque",IF(AND(OR($AI54="Non",$S54="En retard"),$AH54="Non"),"Risque abondement",IF(OR($AI54="Non",$S54="En retard"),"À vérifier (formation ?)",IF($AI54="Oui","Pas de risque","À compléter")))))))</f>
        <v/>
      </c>
      <c r="AK54" s="39"/>
    </row>
    <row r="55" customFormat="false" ht="15" hidden="false" customHeight="false" outlineLevel="0" collapsed="false">
      <c r="A55" s="39"/>
      <c r="B55" s="39"/>
      <c r="C55" s="39"/>
      <c r="D55" s="39"/>
      <c r="E55" s="39"/>
      <c r="F55" s="39"/>
      <c r="G55" s="40"/>
      <c r="H55" s="40"/>
      <c r="I55" s="40"/>
      <c r="J55" s="41" t="str">
        <f aca="false">IF(OR($B55="",$H55=""),"",IF($H55&gt;DateRef,0,YEARFRAC($H55,DateRef,1)))</f>
        <v/>
      </c>
      <c r="K55" s="42" t="str">
        <f aca="false">IF(OR($B55="",$H55=""),"",IF(EDATE($H55,12)&lt;=DateRef,"Plus d'un an","Moins d'un an"))</f>
        <v/>
      </c>
      <c r="L55" s="40"/>
      <c r="M55" s="43" t="str">
        <f aca="false">IF(OR($B55="",$A55=""),"",IF(SUMPRODUCT(MAX((Journal!$A$6:$A$1005=$A55)*Journal!$C$6:$C$1005))=0,"",SUMPRODUCT(MAX((Journal!$A$6:$A$1005=$A55)*Journal!$C$6:$C$1005))))</f>
        <v/>
      </c>
      <c r="N55" s="43" t="str">
        <f aca="false">IF($B55="","",IF(MAX($L55,$M55)=0,"",MAX($L55,$M55)))</f>
        <v/>
      </c>
      <c r="O55" s="44" t="str">
        <f aca="false">IF(OR($B55="",$H55=""),"",IF($N55="",IF(EDATE($H55,DelaiPremierEPP)&gt;DateRef,"1er EPP (1re année)","Aucun entretien renseigné"),IF(AND(ReglesTransitoires="Oui",EDATE($N55,AnciennePeriodiciteEP*12)&lt;DateVigueur),"Retard antérieur à la réforme","Périodicité "&amp;PeriodiciteEPP&amp;" ans")))</f>
        <v/>
      </c>
      <c r="P55" s="43" t="str">
        <f aca="false">IF(OR($B55="",$H55=""),"",IF($N55="",EDATE($H55,DelaiPremierEPP),IF(AND(ReglesTransitoires="Oui",EDATE($N55,AnciennePeriodiciteEP*12)&lt;DateVigueur),EDATE($N55,AnciennePeriodiciteEP*12),EDATE($N55,PeriodiciteEPP*12))))</f>
        <v/>
      </c>
      <c r="Q55" s="40"/>
      <c r="R55" s="45" t="str">
        <f aca="false">IF(OR($P55="",AND($I55&lt;&gt;"",$I55&lt;=DateRef)),"",$P55-DateRef)</f>
        <v/>
      </c>
      <c r="S55" s="42" t="str">
        <f aca="false">IF($B55="","",IF(AND($I55&lt;&gt;"",$I55&lt;=DateRef),"Sorti",IF($H55="","À compléter",IF(AND($Q55&lt;&gt;"",$Q55&gt;=DateRef,$Q55&lt;=$P55),"Planifié",IF($R55&lt;0,"En retard",IF($R55&lt;=SeuilAlerteEPP,"À planifier","À jour"))))))</f>
        <v/>
      </c>
      <c r="T55" s="46" t="str">
        <f aca="false">IF(OR($B55="",$S55="Sorti"),"",MID(IF($H55=""," | Date d'embauche manquante","")&amp;IF(AND($K55="Plus d'un an",$N55="")," | Précédent entretien à renseigner (ancienneté &gt; 1 an)","")&amp;IF($O55="Retard antérieur à la réforme"," | Ancien délai de 2 ans expiré avant la réforme","")&amp;IF(AND($N55&lt;&gt;"",$H55&lt;&gt;"",$N55&lt;$H55)," | Entretien antérieur à l'embauche ?","")&amp;IF(AND($N55&lt;&gt;"",$N55&gt;DateRef)," | Entretien daté dans le futur ?","")&amp;IF(AND($Q55&lt;&gt;"",$P55&lt;&gt;"",$Q55&gt;$P55)," | Date prévue après l'échéance","")&amp;IF(AND($Q55&lt;&gt;"",$Q55&lt;DateRef,OR($N55="",$N55&lt;$Q55))," | Entretien prévu passé : le consigner au Journal","")&amp;IF(AND($G55&lt;&gt;"",$X55="",YEAR(DateRef)-YEAR($G55)&gt;=AgeMiCarriere-1,YEAR(DateRef)-YEAR($G55)&lt;=AgeMiCarriere+1)," | Visite de mi-carrière à vérifier",""),4,1000))</f>
        <v/>
      </c>
      <c r="U55" s="39"/>
      <c r="V55" s="40"/>
      <c r="W55" s="42" t="str">
        <f aca="false">IF(OR($B55="",$V55=""),"",IF(AND($I55&lt;&gt;"",$I55&lt;=DateRef),"",IF(AND($N55&lt;&gt;"",$N55&gt;=$V55),"Réalisé",IF(AND($N55&lt;&gt;"",$N55&gt;=EDATE($V55,-FenetreRetour)),"Dispensé (EPP récent)",IF($V55&gt;DateRef,"À prévoir à la reprise","À proposer (reprise passée)")))))</f>
        <v/>
      </c>
      <c r="X55" s="40"/>
      <c r="Y55" s="43" t="str">
        <f aca="false">IF(OR($B55="",$X55=""),"",EDATE($X55,DelaiMiCarriere))</f>
        <v/>
      </c>
      <c r="Z55" s="42" t="str">
        <f aca="false">IF(OR($B55="",$X55=""),"",IF(AND($I55&lt;&gt;"",$I55&lt;=DateRef),"",IF(AND($N55&lt;&gt;"",$N55&gt;=$X55),"Réalisé",IF($Y55&lt;DateRef,"En retard","À planifier"))))</f>
        <v/>
      </c>
      <c r="AA55" s="47" t="str">
        <f aca="false">IF(OR($B55="",$G55=""),"",IF($G55&gt;DateRef,"",DATEDIF($G55,DateRef,"y")))</f>
        <v/>
      </c>
      <c r="AB55" s="43" t="str">
        <f aca="false">IF(OR($B55="",$G55=""),"",EDATE($G55,AgeFinCarriere*12))</f>
        <v/>
      </c>
      <c r="AC55" s="42" t="str">
        <f aca="false">IF(OR($B55="",$G55="",$H55=""),"",IF(AND($I55&lt;&gt;"",$I55&lt;=DateRef),"",IF($AB55&lt;DateVigueur,"Non concerné",IF(AND($N55&lt;&gt;"",$N55&gt;=MAX(EDATE($AB55,-FenetreFinCarriere*12),DateVigueur),$N55&lt;=$AB55),"Réalisé",IF(DateRef&gt;$AB55,"Non réalisé",IF(AND($Q55&lt;&gt;"",$Q55&gt;=EDATE($AB55,-FenetreFinCarriere*12),$Q55&lt;=$AB55),"Planifié dans la fenêtre",IF(AND(MAX($P55,DateRef)&gt;=EDATE($AB55,-FenetreFinCarriere*12),MAX($P55,DateRef)&lt;=$AB55),"Prochain EPP dans la fenêtre",IF(MAX($P55,DateRef)&gt;$AB55,"À programmer avant 60 ans",""))))))))</f>
        <v/>
      </c>
      <c r="AD55" s="40"/>
      <c r="AE55" s="43" t="str">
        <f aca="false">IF(OR($B55="",$H55="",AND($I55&lt;&gt;"",$I55&lt;=DateRef)),"",MAX($H55,$AD55,IF($A55="",0,SUMPRODUCT(MAX((Journal!$A$6:$A$1005=$A55)*((Journal!$D$6:$D$1005=TypeEDL)+(Journal!$D$6:$D$1005=TypeBilan6))*Journal!$C$6:$C$1005)))))</f>
        <v/>
      </c>
      <c r="AF55" s="43" t="str">
        <f aca="false">IF($AE55="","",IF(AND(ReglesTransitoires="Oui",EDATE($AE55,AnciennePeriodiciteEDL*12)&lt;DateVigueur),EDATE($AE55,AnciennePeriodiciteEDL*12),EDATE($AE55,PeriodiciteEDL*12)))</f>
        <v/>
      </c>
      <c r="AG55" s="42" t="str">
        <f aca="false">IF($AF55="","",IF(AND($I55&lt;&gt;"",$I55&lt;=DateRef),"",IF($AF55&lt;DateRef,"En retard",IF($AF55-DateRef&lt;=SeuilAlerteEDL,"À prévoir","À jour"))))</f>
        <v/>
      </c>
      <c r="AH55" s="39"/>
      <c r="AI55" s="39"/>
      <c r="AJ55" s="42" t="str">
        <f aca="false">IF(OR($B55="",$H55=""),"",IF(AND($I55&lt;&gt;"",$I55&lt;=DateRef),"",IF(Effectif&lt;SeuilEffectif,"Non concerné (&lt; "&amp;SeuilEffectif&amp;" salariés)",IF($AH55="Oui","Pas de risque",IF(AND(OR($AI55="Non",$S55="En retard"),$AH55="Non"),"Risque abondement",IF(OR($AI55="Non",$S55="En retard"),"À vérifier (formation ?)",IF($AI55="Oui","Pas de risque","À compléter")))))))</f>
        <v/>
      </c>
      <c r="AK55" s="39"/>
    </row>
    <row r="56" customFormat="false" ht="15" hidden="false" customHeight="false" outlineLevel="0" collapsed="false">
      <c r="A56" s="39"/>
      <c r="B56" s="39"/>
      <c r="C56" s="39"/>
      <c r="D56" s="39"/>
      <c r="E56" s="39"/>
      <c r="F56" s="39"/>
      <c r="G56" s="40"/>
      <c r="H56" s="40"/>
      <c r="I56" s="40"/>
      <c r="J56" s="41" t="str">
        <f aca="false">IF(OR($B56="",$H56=""),"",IF($H56&gt;DateRef,0,YEARFRAC($H56,DateRef,1)))</f>
        <v/>
      </c>
      <c r="K56" s="42" t="str">
        <f aca="false">IF(OR($B56="",$H56=""),"",IF(EDATE($H56,12)&lt;=DateRef,"Plus d'un an","Moins d'un an"))</f>
        <v/>
      </c>
      <c r="L56" s="40"/>
      <c r="M56" s="43" t="str">
        <f aca="false">IF(OR($B56="",$A56=""),"",IF(SUMPRODUCT(MAX((Journal!$A$6:$A$1005=$A56)*Journal!$C$6:$C$1005))=0,"",SUMPRODUCT(MAX((Journal!$A$6:$A$1005=$A56)*Journal!$C$6:$C$1005))))</f>
        <v/>
      </c>
      <c r="N56" s="43" t="str">
        <f aca="false">IF($B56="","",IF(MAX($L56,$M56)=0,"",MAX($L56,$M56)))</f>
        <v/>
      </c>
      <c r="O56" s="44" t="str">
        <f aca="false">IF(OR($B56="",$H56=""),"",IF($N56="",IF(EDATE($H56,DelaiPremierEPP)&gt;DateRef,"1er EPP (1re année)","Aucun entretien renseigné"),IF(AND(ReglesTransitoires="Oui",EDATE($N56,AnciennePeriodiciteEP*12)&lt;DateVigueur),"Retard antérieur à la réforme","Périodicité "&amp;PeriodiciteEPP&amp;" ans")))</f>
        <v/>
      </c>
      <c r="P56" s="43" t="str">
        <f aca="false">IF(OR($B56="",$H56=""),"",IF($N56="",EDATE($H56,DelaiPremierEPP),IF(AND(ReglesTransitoires="Oui",EDATE($N56,AnciennePeriodiciteEP*12)&lt;DateVigueur),EDATE($N56,AnciennePeriodiciteEP*12),EDATE($N56,PeriodiciteEPP*12))))</f>
        <v/>
      </c>
      <c r="Q56" s="40"/>
      <c r="R56" s="45" t="str">
        <f aca="false">IF(OR($P56="",AND($I56&lt;&gt;"",$I56&lt;=DateRef)),"",$P56-DateRef)</f>
        <v/>
      </c>
      <c r="S56" s="42" t="str">
        <f aca="false">IF($B56="","",IF(AND($I56&lt;&gt;"",$I56&lt;=DateRef),"Sorti",IF($H56="","À compléter",IF(AND($Q56&lt;&gt;"",$Q56&gt;=DateRef,$Q56&lt;=$P56),"Planifié",IF($R56&lt;0,"En retard",IF($R56&lt;=SeuilAlerteEPP,"À planifier","À jour"))))))</f>
        <v/>
      </c>
      <c r="T56" s="46" t="str">
        <f aca="false">IF(OR($B56="",$S56="Sorti"),"",MID(IF($H56=""," | Date d'embauche manquante","")&amp;IF(AND($K56="Plus d'un an",$N56="")," | Précédent entretien à renseigner (ancienneté &gt; 1 an)","")&amp;IF($O56="Retard antérieur à la réforme"," | Ancien délai de 2 ans expiré avant la réforme","")&amp;IF(AND($N56&lt;&gt;"",$H56&lt;&gt;"",$N56&lt;$H56)," | Entretien antérieur à l'embauche ?","")&amp;IF(AND($N56&lt;&gt;"",$N56&gt;DateRef)," | Entretien daté dans le futur ?","")&amp;IF(AND($Q56&lt;&gt;"",$P56&lt;&gt;"",$Q56&gt;$P56)," | Date prévue après l'échéance","")&amp;IF(AND($Q56&lt;&gt;"",$Q56&lt;DateRef,OR($N56="",$N56&lt;$Q56))," | Entretien prévu passé : le consigner au Journal","")&amp;IF(AND($G56&lt;&gt;"",$X56="",YEAR(DateRef)-YEAR($G56)&gt;=AgeMiCarriere-1,YEAR(DateRef)-YEAR($G56)&lt;=AgeMiCarriere+1)," | Visite de mi-carrière à vérifier",""),4,1000))</f>
        <v/>
      </c>
      <c r="U56" s="39"/>
      <c r="V56" s="40"/>
      <c r="W56" s="42" t="str">
        <f aca="false">IF(OR($B56="",$V56=""),"",IF(AND($I56&lt;&gt;"",$I56&lt;=DateRef),"",IF(AND($N56&lt;&gt;"",$N56&gt;=$V56),"Réalisé",IF(AND($N56&lt;&gt;"",$N56&gt;=EDATE($V56,-FenetreRetour)),"Dispensé (EPP récent)",IF($V56&gt;DateRef,"À prévoir à la reprise","À proposer (reprise passée)")))))</f>
        <v/>
      </c>
      <c r="X56" s="40"/>
      <c r="Y56" s="43" t="str">
        <f aca="false">IF(OR($B56="",$X56=""),"",EDATE($X56,DelaiMiCarriere))</f>
        <v/>
      </c>
      <c r="Z56" s="42" t="str">
        <f aca="false">IF(OR($B56="",$X56=""),"",IF(AND($I56&lt;&gt;"",$I56&lt;=DateRef),"",IF(AND($N56&lt;&gt;"",$N56&gt;=$X56),"Réalisé",IF($Y56&lt;DateRef,"En retard","À planifier"))))</f>
        <v/>
      </c>
      <c r="AA56" s="47" t="str">
        <f aca="false">IF(OR($B56="",$G56=""),"",IF($G56&gt;DateRef,"",DATEDIF($G56,DateRef,"y")))</f>
        <v/>
      </c>
      <c r="AB56" s="43" t="str">
        <f aca="false">IF(OR($B56="",$G56=""),"",EDATE($G56,AgeFinCarriere*12))</f>
        <v/>
      </c>
      <c r="AC56" s="42" t="str">
        <f aca="false">IF(OR($B56="",$G56="",$H56=""),"",IF(AND($I56&lt;&gt;"",$I56&lt;=DateRef),"",IF($AB56&lt;DateVigueur,"Non concerné",IF(AND($N56&lt;&gt;"",$N56&gt;=MAX(EDATE($AB56,-FenetreFinCarriere*12),DateVigueur),$N56&lt;=$AB56),"Réalisé",IF(DateRef&gt;$AB56,"Non réalisé",IF(AND($Q56&lt;&gt;"",$Q56&gt;=EDATE($AB56,-FenetreFinCarriere*12),$Q56&lt;=$AB56),"Planifié dans la fenêtre",IF(AND(MAX($P56,DateRef)&gt;=EDATE($AB56,-FenetreFinCarriere*12),MAX($P56,DateRef)&lt;=$AB56),"Prochain EPP dans la fenêtre",IF(MAX($P56,DateRef)&gt;$AB56,"À programmer avant 60 ans",""))))))))</f>
        <v/>
      </c>
      <c r="AD56" s="40"/>
      <c r="AE56" s="43" t="str">
        <f aca="false">IF(OR($B56="",$H56="",AND($I56&lt;&gt;"",$I56&lt;=DateRef)),"",MAX($H56,$AD56,IF($A56="",0,SUMPRODUCT(MAX((Journal!$A$6:$A$1005=$A56)*((Journal!$D$6:$D$1005=TypeEDL)+(Journal!$D$6:$D$1005=TypeBilan6))*Journal!$C$6:$C$1005)))))</f>
        <v/>
      </c>
      <c r="AF56" s="43" t="str">
        <f aca="false">IF($AE56="","",IF(AND(ReglesTransitoires="Oui",EDATE($AE56,AnciennePeriodiciteEDL*12)&lt;DateVigueur),EDATE($AE56,AnciennePeriodiciteEDL*12),EDATE($AE56,PeriodiciteEDL*12)))</f>
        <v/>
      </c>
      <c r="AG56" s="42" t="str">
        <f aca="false">IF($AF56="","",IF(AND($I56&lt;&gt;"",$I56&lt;=DateRef),"",IF($AF56&lt;DateRef,"En retard",IF($AF56-DateRef&lt;=SeuilAlerteEDL,"À prévoir","À jour"))))</f>
        <v/>
      </c>
      <c r="AH56" s="39"/>
      <c r="AI56" s="39"/>
      <c r="AJ56" s="42" t="str">
        <f aca="false">IF(OR($B56="",$H56=""),"",IF(AND($I56&lt;&gt;"",$I56&lt;=DateRef),"",IF(Effectif&lt;SeuilEffectif,"Non concerné (&lt; "&amp;SeuilEffectif&amp;" salariés)",IF($AH56="Oui","Pas de risque",IF(AND(OR($AI56="Non",$S56="En retard"),$AH56="Non"),"Risque abondement",IF(OR($AI56="Non",$S56="En retard"),"À vérifier (formation ?)",IF($AI56="Oui","Pas de risque","À compléter")))))))</f>
        <v/>
      </c>
      <c r="AK56" s="39"/>
    </row>
    <row r="57" customFormat="false" ht="15" hidden="false" customHeight="false" outlineLevel="0" collapsed="false">
      <c r="A57" s="39"/>
      <c r="B57" s="39"/>
      <c r="C57" s="39"/>
      <c r="D57" s="39"/>
      <c r="E57" s="39"/>
      <c r="F57" s="39"/>
      <c r="G57" s="40"/>
      <c r="H57" s="40"/>
      <c r="I57" s="40"/>
      <c r="J57" s="41" t="str">
        <f aca="false">IF(OR($B57="",$H57=""),"",IF($H57&gt;DateRef,0,YEARFRAC($H57,DateRef,1)))</f>
        <v/>
      </c>
      <c r="K57" s="42" t="str">
        <f aca="false">IF(OR($B57="",$H57=""),"",IF(EDATE($H57,12)&lt;=DateRef,"Plus d'un an","Moins d'un an"))</f>
        <v/>
      </c>
      <c r="L57" s="40"/>
      <c r="M57" s="43" t="str">
        <f aca="false">IF(OR($B57="",$A57=""),"",IF(SUMPRODUCT(MAX((Journal!$A$6:$A$1005=$A57)*Journal!$C$6:$C$1005))=0,"",SUMPRODUCT(MAX((Journal!$A$6:$A$1005=$A57)*Journal!$C$6:$C$1005))))</f>
        <v/>
      </c>
      <c r="N57" s="43" t="str">
        <f aca="false">IF($B57="","",IF(MAX($L57,$M57)=0,"",MAX($L57,$M57)))</f>
        <v/>
      </c>
      <c r="O57" s="44" t="str">
        <f aca="false">IF(OR($B57="",$H57=""),"",IF($N57="",IF(EDATE($H57,DelaiPremierEPP)&gt;DateRef,"1er EPP (1re année)","Aucun entretien renseigné"),IF(AND(ReglesTransitoires="Oui",EDATE($N57,AnciennePeriodiciteEP*12)&lt;DateVigueur),"Retard antérieur à la réforme","Périodicité "&amp;PeriodiciteEPP&amp;" ans")))</f>
        <v/>
      </c>
      <c r="P57" s="43" t="str">
        <f aca="false">IF(OR($B57="",$H57=""),"",IF($N57="",EDATE($H57,DelaiPremierEPP),IF(AND(ReglesTransitoires="Oui",EDATE($N57,AnciennePeriodiciteEP*12)&lt;DateVigueur),EDATE($N57,AnciennePeriodiciteEP*12),EDATE($N57,PeriodiciteEPP*12))))</f>
        <v/>
      </c>
      <c r="Q57" s="40"/>
      <c r="R57" s="45" t="str">
        <f aca="false">IF(OR($P57="",AND($I57&lt;&gt;"",$I57&lt;=DateRef)),"",$P57-DateRef)</f>
        <v/>
      </c>
      <c r="S57" s="42" t="str">
        <f aca="false">IF($B57="","",IF(AND($I57&lt;&gt;"",$I57&lt;=DateRef),"Sorti",IF($H57="","À compléter",IF(AND($Q57&lt;&gt;"",$Q57&gt;=DateRef,$Q57&lt;=$P57),"Planifié",IF($R57&lt;0,"En retard",IF($R57&lt;=SeuilAlerteEPP,"À planifier","À jour"))))))</f>
        <v/>
      </c>
      <c r="T57" s="46" t="str">
        <f aca="false">IF(OR($B57="",$S57="Sorti"),"",MID(IF($H57=""," | Date d'embauche manquante","")&amp;IF(AND($K57="Plus d'un an",$N57="")," | Précédent entretien à renseigner (ancienneté &gt; 1 an)","")&amp;IF($O57="Retard antérieur à la réforme"," | Ancien délai de 2 ans expiré avant la réforme","")&amp;IF(AND($N57&lt;&gt;"",$H57&lt;&gt;"",$N57&lt;$H57)," | Entretien antérieur à l'embauche ?","")&amp;IF(AND($N57&lt;&gt;"",$N57&gt;DateRef)," | Entretien daté dans le futur ?","")&amp;IF(AND($Q57&lt;&gt;"",$P57&lt;&gt;"",$Q57&gt;$P57)," | Date prévue après l'échéance","")&amp;IF(AND($Q57&lt;&gt;"",$Q57&lt;DateRef,OR($N57="",$N57&lt;$Q57))," | Entretien prévu passé : le consigner au Journal","")&amp;IF(AND($G57&lt;&gt;"",$X57="",YEAR(DateRef)-YEAR($G57)&gt;=AgeMiCarriere-1,YEAR(DateRef)-YEAR($G57)&lt;=AgeMiCarriere+1)," | Visite de mi-carrière à vérifier",""),4,1000))</f>
        <v/>
      </c>
      <c r="U57" s="39"/>
      <c r="V57" s="40"/>
      <c r="W57" s="42" t="str">
        <f aca="false">IF(OR($B57="",$V57=""),"",IF(AND($I57&lt;&gt;"",$I57&lt;=DateRef),"",IF(AND($N57&lt;&gt;"",$N57&gt;=$V57),"Réalisé",IF(AND($N57&lt;&gt;"",$N57&gt;=EDATE($V57,-FenetreRetour)),"Dispensé (EPP récent)",IF($V57&gt;DateRef,"À prévoir à la reprise","À proposer (reprise passée)")))))</f>
        <v/>
      </c>
      <c r="X57" s="40"/>
      <c r="Y57" s="43" t="str">
        <f aca="false">IF(OR($B57="",$X57=""),"",EDATE($X57,DelaiMiCarriere))</f>
        <v/>
      </c>
      <c r="Z57" s="42" t="str">
        <f aca="false">IF(OR($B57="",$X57=""),"",IF(AND($I57&lt;&gt;"",$I57&lt;=DateRef),"",IF(AND($N57&lt;&gt;"",$N57&gt;=$X57),"Réalisé",IF($Y57&lt;DateRef,"En retard","À planifier"))))</f>
        <v/>
      </c>
      <c r="AA57" s="47" t="str">
        <f aca="false">IF(OR($B57="",$G57=""),"",IF($G57&gt;DateRef,"",DATEDIF($G57,DateRef,"y")))</f>
        <v/>
      </c>
      <c r="AB57" s="43" t="str">
        <f aca="false">IF(OR($B57="",$G57=""),"",EDATE($G57,AgeFinCarriere*12))</f>
        <v/>
      </c>
      <c r="AC57" s="42" t="str">
        <f aca="false">IF(OR($B57="",$G57="",$H57=""),"",IF(AND($I57&lt;&gt;"",$I57&lt;=DateRef),"",IF($AB57&lt;DateVigueur,"Non concerné",IF(AND($N57&lt;&gt;"",$N57&gt;=MAX(EDATE($AB57,-FenetreFinCarriere*12),DateVigueur),$N57&lt;=$AB57),"Réalisé",IF(DateRef&gt;$AB57,"Non réalisé",IF(AND($Q57&lt;&gt;"",$Q57&gt;=EDATE($AB57,-FenetreFinCarriere*12),$Q57&lt;=$AB57),"Planifié dans la fenêtre",IF(AND(MAX($P57,DateRef)&gt;=EDATE($AB57,-FenetreFinCarriere*12),MAX($P57,DateRef)&lt;=$AB57),"Prochain EPP dans la fenêtre",IF(MAX($P57,DateRef)&gt;$AB57,"À programmer avant 60 ans",""))))))))</f>
        <v/>
      </c>
      <c r="AD57" s="40"/>
      <c r="AE57" s="43" t="str">
        <f aca="false">IF(OR($B57="",$H57="",AND($I57&lt;&gt;"",$I57&lt;=DateRef)),"",MAX($H57,$AD57,IF($A57="",0,SUMPRODUCT(MAX((Journal!$A$6:$A$1005=$A57)*((Journal!$D$6:$D$1005=TypeEDL)+(Journal!$D$6:$D$1005=TypeBilan6))*Journal!$C$6:$C$1005)))))</f>
        <v/>
      </c>
      <c r="AF57" s="43" t="str">
        <f aca="false">IF($AE57="","",IF(AND(ReglesTransitoires="Oui",EDATE($AE57,AnciennePeriodiciteEDL*12)&lt;DateVigueur),EDATE($AE57,AnciennePeriodiciteEDL*12),EDATE($AE57,PeriodiciteEDL*12)))</f>
        <v/>
      </c>
      <c r="AG57" s="42" t="str">
        <f aca="false">IF($AF57="","",IF(AND($I57&lt;&gt;"",$I57&lt;=DateRef),"",IF($AF57&lt;DateRef,"En retard",IF($AF57-DateRef&lt;=SeuilAlerteEDL,"À prévoir","À jour"))))</f>
        <v/>
      </c>
      <c r="AH57" s="39"/>
      <c r="AI57" s="39"/>
      <c r="AJ57" s="42" t="str">
        <f aca="false">IF(OR($B57="",$H57=""),"",IF(AND($I57&lt;&gt;"",$I57&lt;=DateRef),"",IF(Effectif&lt;SeuilEffectif,"Non concerné (&lt; "&amp;SeuilEffectif&amp;" salariés)",IF($AH57="Oui","Pas de risque",IF(AND(OR($AI57="Non",$S57="En retard"),$AH57="Non"),"Risque abondement",IF(OR($AI57="Non",$S57="En retard"),"À vérifier (formation ?)",IF($AI57="Oui","Pas de risque","À compléter")))))))</f>
        <v/>
      </c>
      <c r="AK57" s="39"/>
    </row>
    <row r="58" customFormat="false" ht="15" hidden="false" customHeight="false" outlineLevel="0" collapsed="false">
      <c r="A58" s="39"/>
      <c r="B58" s="39"/>
      <c r="C58" s="39"/>
      <c r="D58" s="39"/>
      <c r="E58" s="39"/>
      <c r="F58" s="39"/>
      <c r="G58" s="40"/>
      <c r="H58" s="40"/>
      <c r="I58" s="40"/>
      <c r="J58" s="41" t="str">
        <f aca="false">IF(OR($B58="",$H58=""),"",IF($H58&gt;DateRef,0,YEARFRAC($H58,DateRef,1)))</f>
        <v/>
      </c>
      <c r="K58" s="42" t="str">
        <f aca="false">IF(OR($B58="",$H58=""),"",IF(EDATE($H58,12)&lt;=DateRef,"Plus d'un an","Moins d'un an"))</f>
        <v/>
      </c>
      <c r="L58" s="40"/>
      <c r="M58" s="43" t="str">
        <f aca="false">IF(OR($B58="",$A58=""),"",IF(SUMPRODUCT(MAX((Journal!$A$6:$A$1005=$A58)*Journal!$C$6:$C$1005))=0,"",SUMPRODUCT(MAX((Journal!$A$6:$A$1005=$A58)*Journal!$C$6:$C$1005))))</f>
        <v/>
      </c>
      <c r="N58" s="43" t="str">
        <f aca="false">IF($B58="","",IF(MAX($L58,$M58)=0,"",MAX($L58,$M58)))</f>
        <v/>
      </c>
      <c r="O58" s="44" t="str">
        <f aca="false">IF(OR($B58="",$H58=""),"",IF($N58="",IF(EDATE($H58,DelaiPremierEPP)&gt;DateRef,"1er EPP (1re année)","Aucun entretien renseigné"),IF(AND(ReglesTransitoires="Oui",EDATE($N58,AnciennePeriodiciteEP*12)&lt;DateVigueur),"Retard antérieur à la réforme","Périodicité "&amp;PeriodiciteEPP&amp;" ans")))</f>
        <v/>
      </c>
      <c r="P58" s="43" t="str">
        <f aca="false">IF(OR($B58="",$H58=""),"",IF($N58="",EDATE($H58,DelaiPremierEPP),IF(AND(ReglesTransitoires="Oui",EDATE($N58,AnciennePeriodiciteEP*12)&lt;DateVigueur),EDATE($N58,AnciennePeriodiciteEP*12),EDATE($N58,PeriodiciteEPP*12))))</f>
        <v/>
      </c>
      <c r="Q58" s="40"/>
      <c r="R58" s="45" t="str">
        <f aca="false">IF(OR($P58="",AND($I58&lt;&gt;"",$I58&lt;=DateRef)),"",$P58-DateRef)</f>
        <v/>
      </c>
      <c r="S58" s="42" t="str">
        <f aca="false">IF($B58="","",IF(AND($I58&lt;&gt;"",$I58&lt;=DateRef),"Sorti",IF($H58="","À compléter",IF(AND($Q58&lt;&gt;"",$Q58&gt;=DateRef,$Q58&lt;=$P58),"Planifié",IF($R58&lt;0,"En retard",IF($R58&lt;=SeuilAlerteEPP,"À planifier","À jour"))))))</f>
        <v/>
      </c>
      <c r="T58" s="46" t="str">
        <f aca="false">IF(OR($B58="",$S58="Sorti"),"",MID(IF($H58=""," | Date d'embauche manquante","")&amp;IF(AND($K58="Plus d'un an",$N58="")," | Précédent entretien à renseigner (ancienneté &gt; 1 an)","")&amp;IF($O58="Retard antérieur à la réforme"," | Ancien délai de 2 ans expiré avant la réforme","")&amp;IF(AND($N58&lt;&gt;"",$H58&lt;&gt;"",$N58&lt;$H58)," | Entretien antérieur à l'embauche ?","")&amp;IF(AND($N58&lt;&gt;"",$N58&gt;DateRef)," | Entretien daté dans le futur ?","")&amp;IF(AND($Q58&lt;&gt;"",$P58&lt;&gt;"",$Q58&gt;$P58)," | Date prévue après l'échéance","")&amp;IF(AND($Q58&lt;&gt;"",$Q58&lt;DateRef,OR($N58="",$N58&lt;$Q58))," | Entretien prévu passé : le consigner au Journal","")&amp;IF(AND($G58&lt;&gt;"",$X58="",YEAR(DateRef)-YEAR($G58)&gt;=AgeMiCarriere-1,YEAR(DateRef)-YEAR($G58)&lt;=AgeMiCarriere+1)," | Visite de mi-carrière à vérifier",""),4,1000))</f>
        <v/>
      </c>
      <c r="U58" s="39"/>
      <c r="V58" s="40"/>
      <c r="W58" s="42" t="str">
        <f aca="false">IF(OR($B58="",$V58=""),"",IF(AND($I58&lt;&gt;"",$I58&lt;=DateRef),"",IF(AND($N58&lt;&gt;"",$N58&gt;=$V58),"Réalisé",IF(AND($N58&lt;&gt;"",$N58&gt;=EDATE($V58,-FenetreRetour)),"Dispensé (EPP récent)",IF($V58&gt;DateRef,"À prévoir à la reprise","À proposer (reprise passée)")))))</f>
        <v/>
      </c>
      <c r="X58" s="40"/>
      <c r="Y58" s="43" t="str">
        <f aca="false">IF(OR($B58="",$X58=""),"",EDATE($X58,DelaiMiCarriere))</f>
        <v/>
      </c>
      <c r="Z58" s="42" t="str">
        <f aca="false">IF(OR($B58="",$X58=""),"",IF(AND($I58&lt;&gt;"",$I58&lt;=DateRef),"",IF(AND($N58&lt;&gt;"",$N58&gt;=$X58),"Réalisé",IF($Y58&lt;DateRef,"En retard","À planifier"))))</f>
        <v/>
      </c>
      <c r="AA58" s="47" t="str">
        <f aca="false">IF(OR($B58="",$G58=""),"",IF($G58&gt;DateRef,"",DATEDIF($G58,DateRef,"y")))</f>
        <v/>
      </c>
      <c r="AB58" s="43" t="str">
        <f aca="false">IF(OR($B58="",$G58=""),"",EDATE($G58,AgeFinCarriere*12))</f>
        <v/>
      </c>
      <c r="AC58" s="42" t="str">
        <f aca="false">IF(OR($B58="",$G58="",$H58=""),"",IF(AND($I58&lt;&gt;"",$I58&lt;=DateRef),"",IF($AB58&lt;DateVigueur,"Non concerné",IF(AND($N58&lt;&gt;"",$N58&gt;=MAX(EDATE($AB58,-FenetreFinCarriere*12),DateVigueur),$N58&lt;=$AB58),"Réalisé",IF(DateRef&gt;$AB58,"Non réalisé",IF(AND($Q58&lt;&gt;"",$Q58&gt;=EDATE($AB58,-FenetreFinCarriere*12),$Q58&lt;=$AB58),"Planifié dans la fenêtre",IF(AND(MAX($P58,DateRef)&gt;=EDATE($AB58,-FenetreFinCarriere*12),MAX($P58,DateRef)&lt;=$AB58),"Prochain EPP dans la fenêtre",IF(MAX($P58,DateRef)&gt;$AB58,"À programmer avant 60 ans",""))))))))</f>
        <v/>
      </c>
      <c r="AD58" s="40"/>
      <c r="AE58" s="43" t="str">
        <f aca="false">IF(OR($B58="",$H58="",AND($I58&lt;&gt;"",$I58&lt;=DateRef)),"",MAX($H58,$AD58,IF($A58="",0,SUMPRODUCT(MAX((Journal!$A$6:$A$1005=$A58)*((Journal!$D$6:$D$1005=TypeEDL)+(Journal!$D$6:$D$1005=TypeBilan6))*Journal!$C$6:$C$1005)))))</f>
        <v/>
      </c>
      <c r="AF58" s="43" t="str">
        <f aca="false">IF($AE58="","",IF(AND(ReglesTransitoires="Oui",EDATE($AE58,AnciennePeriodiciteEDL*12)&lt;DateVigueur),EDATE($AE58,AnciennePeriodiciteEDL*12),EDATE($AE58,PeriodiciteEDL*12)))</f>
        <v/>
      </c>
      <c r="AG58" s="42" t="str">
        <f aca="false">IF($AF58="","",IF(AND($I58&lt;&gt;"",$I58&lt;=DateRef),"",IF($AF58&lt;DateRef,"En retard",IF($AF58-DateRef&lt;=SeuilAlerteEDL,"À prévoir","À jour"))))</f>
        <v/>
      </c>
      <c r="AH58" s="39"/>
      <c r="AI58" s="39"/>
      <c r="AJ58" s="42" t="str">
        <f aca="false">IF(OR($B58="",$H58=""),"",IF(AND($I58&lt;&gt;"",$I58&lt;=DateRef),"",IF(Effectif&lt;SeuilEffectif,"Non concerné (&lt; "&amp;SeuilEffectif&amp;" salariés)",IF($AH58="Oui","Pas de risque",IF(AND(OR($AI58="Non",$S58="En retard"),$AH58="Non"),"Risque abondement",IF(OR($AI58="Non",$S58="En retard"),"À vérifier (formation ?)",IF($AI58="Oui","Pas de risque","À compléter")))))))</f>
        <v/>
      </c>
      <c r="AK58" s="39"/>
    </row>
    <row r="59" customFormat="false" ht="15" hidden="false" customHeight="false" outlineLevel="0" collapsed="false">
      <c r="A59" s="39"/>
      <c r="B59" s="39"/>
      <c r="C59" s="39"/>
      <c r="D59" s="39"/>
      <c r="E59" s="39"/>
      <c r="F59" s="39"/>
      <c r="G59" s="40"/>
      <c r="H59" s="40"/>
      <c r="I59" s="40"/>
      <c r="J59" s="41" t="str">
        <f aca="false">IF(OR($B59="",$H59=""),"",IF($H59&gt;DateRef,0,YEARFRAC($H59,DateRef,1)))</f>
        <v/>
      </c>
      <c r="K59" s="42" t="str">
        <f aca="false">IF(OR($B59="",$H59=""),"",IF(EDATE($H59,12)&lt;=DateRef,"Plus d'un an","Moins d'un an"))</f>
        <v/>
      </c>
      <c r="L59" s="40"/>
      <c r="M59" s="43" t="str">
        <f aca="false">IF(OR($B59="",$A59=""),"",IF(SUMPRODUCT(MAX((Journal!$A$6:$A$1005=$A59)*Journal!$C$6:$C$1005))=0,"",SUMPRODUCT(MAX((Journal!$A$6:$A$1005=$A59)*Journal!$C$6:$C$1005))))</f>
        <v/>
      </c>
      <c r="N59" s="43" t="str">
        <f aca="false">IF($B59="","",IF(MAX($L59,$M59)=0,"",MAX($L59,$M59)))</f>
        <v/>
      </c>
      <c r="O59" s="44" t="str">
        <f aca="false">IF(OR($B59="",$H59=""),"",IF($N59="",IF(EDATE($H59,DelaiPremierEPP)&gt;DateRef,"1er EPP (1re année)","Aucun entretien renseigné"),IF(AND(ReglesTransitoires="Oui",EDATE($N59,AnciennePeriodiciteEP*12)&lt;DateVigueur),"Retard antérieur à la réforme","Périodicité "&amp;PeriodiciteEPP&amp;" ans")))</f>
        <v/>
      </c>
      <c r="P59" s="43" t="str">
        <f aca="false">IF(OR($B59="",$H59=""),"",IF($N59="",EDATE($H59,DelaiPremierEPP),IF(AND(ReglesTransitoires="Oui",EDATE($N59,AnciennePeriodiciteEP*12)&lt;DateVigueur),EDATE($N59,AnciennePeriodiciteEP*12),EDATE($N59,PeriodiciteEPP*12))))</f>
        <v/>
      </c>
      <c r="Q59" s="40"/>
      <c r="R59" s="45" t="str">
        <f aca="false">IF(OR($P59="",AND($I59&lt;&gt;"",$I59&lt;=DateRef)),"",$P59-DateRef)</f>
        <v/>
      </c>
      <c r="S59" s="42" t="str">
        <f aca="false">IF($B59="","",IF(AND($I59&lt;&gt;"",$I59&lt;=DateRef),"Sorti",IF($H59="","À compléter",IF(AND($Q59&lt;&gt;"",$Q59&gt;=DateRef,$Q59&lt;=$P59),"Planifié",IF($R59&lt;0,"En retard",IF($R59&lt;=SeuilAlerteEPP,"À planifier","À jour"))))))</f>
        <v/>
      </c>
      <c r="T59" s="46" t="str">
        <f aca="false">IF(OR($B59="",$S59="Sorti"),"",MID(IF($H59=""," | Date d'embauche manquante","")&amp;IF(AND($K59="Plus d'un an",$N59="")," | Précédent entretien à renseigner (ancienneté &gt; 1 an)","")&amp;IF($O59="Retard antérieur à la réforme"," | Ancien délai de 2 ans expiré avant la réforme","")&amp;IF(AND($N59&lt;&gt;"",$H59&lt;&gt;"",$N59&lt;$H59)," | Entretien antérieur à l'embauche ?","")&amp;IF(AND($N59&lt;&gt;"",$N59&gt;DateRef)," | Entretien daté dans le futur ?","")&amp;IF(AND($Q59&lt;&gt;"",$P59&lt;&gt;"",$Q59&gt;$P59)," | Date prévue après l'échéance","")&amp;IF(AND($Q59&lt;&gt;"",$Q59&lt;DateRef,OR($N59="",$N59&lt;$Q59))," | Entretien prévu passé : le consigner au Journal","")&amp;IF(AND($G59&lt;&gt;"",$X59="",YEAR(DateRef)-YEAR($G59)&gt;=AgeMiCarriere-1,YEAR(DateRef)-YEAR($G59)&lt;=AgeMiCarriere+1)," | Visite de mi-carrière à vérifier",""),4,1000))</f>
        <v/>
      </c>
      <c r="U59" s="39"/>
      <c r="V59" s="40"/>
      <c r="W59" s="42" t="str">
        <f aca="false">IF(OR($B59="",$V59=""),"",IF(AND($I59&lt;&gt;"",$I59&lt;=DateRef),"",IF(AND($N59&lt;&gt;"",$N59&gt;=$V59),"Réalisé",IF(AND($N59&lt;&gt;"",$N59&gt;=EDATE($V59,-FenetreRetour)),"Dispensé (EPP récent)",IF($V59&gt;DateRef,"À prévoir à la reprise","À proposer (reprise passée)")))))</f>
        <v/>
      </c>
      <c r="X59" s="40"/>
      <c r="Y59" s="43" t="str">
        <f aca="false">IF(OR($B59="",$X59=""),"",EDATE($X59,DelaiMiCarriere))</f>
        <v/>
      </c>
      <c r="Z59" s="42" t="str">
        <f aca="false">IF(OR($B59="",$X59=""),"",IF(AND($I59&lt;&gt;"",$I59&lt;=DateRef),"",IF(AND($N59&lt;&gt;"",$N59&gt;=$X59),"Réalisé",IF($Y59&lt;DateRef,"En retard","À planifier"))))</f>
        <v/>
      </c>
      <c r="AA59" s="47" t="str">
        <f aca="false">IF(OR($B59="",$G59=""),"",IF($G59&gt;DateRef,"",DATEDIF($G59,DateRef,"y")))</f>
        <v/>
      </c>
      <c r="AB59" s="43" t="str">
        <f aca="false">IF(OR($B59="",$G59=""),"",EDATE($G59,AgeFinCarriere*12))</f>
        <v/>
      </c>
      <c r="AC59" s="42" t="str">
        <f aca="false">IF(OR($B59="",$G59="",$H59=""),"",IF(AND($I59&lt;&gt;"",$I59&lt;=DateRef),"",IF($AB59&lt;DateVigueur,"Non concerné",IF(AND($N59&lt;&gt;"",$N59&gt;=MAX(EDATE($AB59,-FenetreFinCarriere*12),DateVigueur),$N59&lt;=$AB59),"Réalisé",IF(DateRef&gt;$AB59,"Non réalisé",IF(AND($Q59&lt;&gt;"",$Q59&gt;=EDATE($AB59,-FenetreFinCarriere*12),$Q59&lt;=$AB59),"Planifié dans la fenêtre",IF(AND(MAX($P59,DateRef)&gt;=EDATE($AB59,-FenetreFinCarriere*12),MAX($P59,DateRef)&lt;=$AB59),"Prochain EPP dans la fenêtre",IF(MAX($P59,DateRef)&gt;$AB59,"À programmer avant 60 ans",""))))))))</f>
        <v/>
      </c>
      <c r="AD59" s="40"/>
      <c r="AE59" s="43" t="str">
        <f aca="false">IF(OR($B59="",$H59="",AND($I59&lt;&gt;"",$I59&lt;=DateRef)),"",MAX($H59,$AD59,IF($A59="",0,SUMPRODUCT(MAX((Journal!$A$6:$A$1005=$A59)*((Journal!$D$6:$D$1005=TypeEDL)+(Journal!$D$6:$D$1005=TypeBilan6))*Journal!$C$6:$C$1005)))))</f>
        <v/>
      </c>
      <c r="AF59" s="43" t="str">
        <f aca="false">IF($AE59="","",IF(AND(ReglesTransitoires="Oui",EDATE($AE59,AnciennePeriodiciteEDL*12)&lt;DateVigueur),EDATE($AE59,AnciennePeriodiciteEDL*12),EDATE($AE59,PeriodiciteEDL*12)))</f>
        <v/>
      </c>
      <c r="AG59" s="42" t="str">
        <f aca="false">IF($AF59="","",IF(AND($I59&lt;&gt;"",$I59&lt;=DateRef),"",IF($AF59&lt;DateRef,"En retard",IF($AF59-DateRef&lt;=SeuilAlerteEDL,"À prévoir","À jour"))))</f>
        <v/>
      </c>
      <c r="AH59" s="39"/>
      <c r="AI59" s="39"/>
      <c r="AJ59" s="42" t="str">
        <f aca="false">IF(OR($B59="",$H59=""),"",IF(AND($I59&lt;&gt;"",$I59&lt;=DateRef),"",IF(Effectif&lt;SeuilEffectif,"Non concerné (&lt; "&amp;SeuilEffectif&amp;" salariés)",IF($AH59="Oui","Pas de risque",IF(AND(OR($AI59="Non",$S59="En retard"),$AH59="Non"),"Risque abondement",IF(OR($AI59="Non",$S59="En retard"),"À vérifier (formation ?)",IF($AI59="Oui","Pas de risque","À compléter")))))))</f>
        <v/>
      </c>
      <c r="AK59" s="39"/>
    </row>
    <row r="60" customFormat="false" ht="15" hidden="false" customHeight="false" outlineLevel="0" collapsed="false">
      <c r="A60" s="39"/>
      <c r="B60" s="39"/>
      <c r="C60" s="39"/>
      <c r="D60" s="39"/>
      <c r="E60" s="39"/>
      <c r="F60" s="39"/>
      <c r="G60" s="40"/>
      <c r="H60" s="40"/>
      <c r="I60" s="40"/>
      <c r="J60" s="41" t="str">
        <f aca="false">IF(OR($B60="",$H60=""),"",IF($H60&gt;DateRef,0,YEARFRAC($H60,DateRef,1)))</f>
        <v/>
      </c>
      <c r="K60" s="42" t="str">
        <f aca="false">IF(OR($B60="",$H60=""),"",IF(EDATE($H60,12)&lt;=DateRef,"Plus d'un an","Moins d'un an"))</f>
        <v/>
      </c>
      <c r="L60" s="40"/>
      <c r="M60" s="43" t="str">
        <f aca="false">IF(OR($B60="",$A60=""),"",IF(SUMPRODUCT(MAX((Journal!$A$6:$A$1005=$A60)*Journal!$C$6:$C$1005))=0,"",SUMPRODUCT(MAX((Journal!$A$6:$A$1005=$A60)*Journal!$C$6:$C$1005))))</f>
        <v/>
      </c>
      <c r="N60" s="43" t="str">
        <f aca="false">IF($B60="","",IF(MAX($L60,$M60)=0,"",MAX($L60,$M60)))</f>
        <v/>
      </c>
      <c r="O60" s="44" t="str">
        <f aca="false">IF(OR($B60="",$H60=""),"",IF($N60="",IF(EDATE($H60,DelaiPremierEPP)&gt;DateRef,"1er EPP (1re année)","Aucun entretien renseigné"),IF(AND(ReglesTransitoires="Oui",EDATE($N60,AnciennePeriodiciteEP*12)&lt;DateVigueur),"Retard antérieur à la réforme","Périodicité "&amp;PeriodiciteEPP&amp;" ans")))</f>
        <v/>
      </c>
      <c r="P60" s="43" t="str">
        <f aca="false">IF(OR($B60="",$H60=""),"",IF($N60="",EDATE($H60,DelaiPremierEPP),IF(AND(ReglesTransitoires="Oui",EDATE($N60,AnciennePeriodiciteEP*12)&lt;DateVigueur),EDATE($N60,AnciennePeriodiciteEP*12),EDATE($N60,PeriodiciteEPP*12))))</f>
        <v/>
      </c>
      <c r="Q60" s="40"/>
      <c r="R60" s="45" t="str">
        <f aca="false">IF(OR($P60="",AND($I60&lt;&gt;"",$I60&lt;=DateRef)),"",$P60-DateRef)</f>
        <v/>
      </c>
      <c r="S60" s="42" t="str">
        <f aca="false">IF($B60="","",IF(AND($I60&lt;&gt;"",$I60&lt;=DateRef),"Sorti",IF($H60="","À compléter",IF(AND($Q60&lt;&gt;"",$Q60&gt;=DateRef,$Q60&lt;=$P60),"Planifié",IF($R60&lt;0,"En retard",IF($R60&lt;=SeuilAlerteEPP,"À planifier","À jour"))))))</f>
        <v/>
      </c>
      <c r="T60" s="46" t="str">
        <f aca="false">IF(OR($B60="",$S60="Sorti"),"",MID(IF($H60=""," | Date d'embauche manquante","")&amp;IF(AND($K60="Plus d'un an",$N60="")," | Précédent entretien à renseigner (ancienneté &gt; 1 an)","")&amp;IF($O60="Retard antérieur à la réforme"," | Ancien délai de 2 ans expiré avant la réforme","")&amp;IF(AND($N60&lt;&gt;"",$H60&lt;&gt;"",$N60&lt;$H60)," | Entretien antérieur à l'embauche ?","")&amp;IF(AND($N60&lt;&gt;"",$N60&gt;DateRef)," | Entretien daté dans le futur ?","")&amp;IF(AND($Q60&lt;&gt;"",$P60&lt;&gt;"",$Q60&gt;$P60)," | Date prévue après l'échéance","")&amp;IF(AND($Q60&lt;&gt;"",$Q60&lt;DateRef,OR($N60="",$N60&lt;$Q60))," | Entretien prévu passé : le consigner au Journal","")&amp;IF(AND($G60&lt;&gt;"",$X60="",YEAR(DateRef)-YEAR($G60)&gt;=AgeMiCarriere-1,YEAR(DateRef)-YEAR($G60)&lt;=AgeMiCarriere+1)," | Visite de mi-carrière à vérifier",""),4,1000))</f>
        <v/>
      </c>
      <c r="U60" s="39"/>
      <c r="V60" s="40"/>
      <c r="W60" s="42" t="str">
        <f aca="false">IF(OR($B60="",$V60=""),"",IF(AND($I60&lt;&gt;"",$I60&lt;=DateRef),"",IF(AND($N60&lt;&gt;"",$N60&gt;=$V60),"Réalisé",IF(AND($N60&lt;&gt;"",$N60&gt;=EDATE($V60,-FenetreRetour)),"Dispensé (EPP récent)",IF($V60&gt;DateRef,"À prévoir à la reprise","À proposer (reprise passée)")))))</f>
        <v/>
      </c>
      <c r="X60" s="40"/>
      <c r="Y60" s="43" t="str">
        <f aca="false">IF(OR($B60="",$X60=""),"",EDATE($X60,DelaiMiCarriere))</f>
        <v/>
      </c>
      <c r="Z60" s="42" t="str">
        <f aca="false">IF(OR($B60="",$X60=""),"",IF(AND($I60&lt;&gt;"",$I60&lt;=DateRef),"",IF(AND($N60&lt;&gt;"",$N60&gt;=$X60),"Réalisé",IF($Y60&lt;DateRef,"En retard","À planifier"))))</f>
        <v/>
      </c>
      <c r="AA60" s="47" t="str">
        <f aca="false">IF(OR($B60="",$G60=""),"",IF($G60&gt;DateRef,"",DATEDIF($G60,DateRef,"y")))</f>
        <v/>
      </c>
      <c r="AB60" s="43" t="str">
        <f aca="false">IF(OR($B60="",$G60=""),"",EDATE($G60,AgeFinCarriere*12))</f>
        <v/>
      </c>
      <c r="AC60" s="42" t="str">
        <f aca="false">IF(OR($B60="",$G60="",$H60=""),"",IF(AND($I60&lt;&gt;"",$I60&lt;=DateRef),"",IF($AB60&lt;DateVigueur,"Non concerné",IF(AND($N60&lt;&gt;"",$N60&gt;=MAX(EDATE($AB60,-FenetreFinCarriere*12),DateVigueur),$N60&lt;=$AB60),"Réalisé",IF(DateRef&gt;$AB60,"Non réalisé",IF(AND($Q60&lt;&gt;"",$Q60&gt;=EDATE($AB60,-FenetreFinCarriere*12),$Q60&lt;=$AB60),"Planifié dans la fenêtre",IF(AND(MAX($P60,DateRef)&gt;=EDATE($AB60,-FenetreFinCarriere*12),MAX($P60,DateRef)&lt;=$AB60),"Prochain EPP dans la fenêtre",IF(MAX($P60,DateRef)&gt;$AB60,"À programmer avant 60 ans",""))))))))</f>
        <v/>
      </c>
      <c r="AD60" s="40"/>
      <c r="AE60" s="43" t="str">
        <f aca="false">IF(OR($B60="",$H60="",AND($I60&lt;&gt;"",$I60&lt;=DateRef)),"",MAX($H60,$AD60,IF($A60="",0,SUMPRODUCT(MAX((Journal!$A$6:$A$1005=$A60)*((Journal!$D$6:$D$1005=TypeEDL)+(Journal!$D$6:$D$1005=TypeBilan6))*Journal!$C$6:$C$1005)))))</f>
        <v/>
      </c>
      <c r="AF60" s="43" t="str">
        <f aca="false">IF($AE60="","",IF(AND(ReglesTransitoires="Oui",EDATE($AE60,AnciennePeriodiciteEDL*12)&lt;DateVigueur),EDATE($AE60,AnciennePeriodiciteEDL*12),EDATE($AE60,PeriodiciteEDL*12)))</f>
        <v/>
      </c>
      <c r="AG60" s="42" t="str">
        <f aca="false">IF($AF60="","",IF(AND($I60&lt;&gt;"",$I60&lt;=DateRef),"",IF($AF60&lt;DateRef,"En retard",IF($AF60-DateRef&lt;=SeuilAlerteEDL,"À prévoir","À jour"))))</f>
        <v/>
      </c>
      <c r="AH60" s="39"/>
      <c r="AI60" s="39"/>
      <c r="AJ60" s="42" t="str">
        <f aca="false">IF(OR($B60="",$H60=""),"",IF(AND($I60&lt;&gt;"",$I60&lt;=DateRef),"",IF(Effectif&lt;SeuilEffectif,"Non concerné (&lt; "&amp;SeuilEffectif&amp;" salariés)",IF($AH60="Oui","Pas de risque",IF(AND(OR($AI60="Non",$S60="En retard"),$AH60="Non"),"Risque abondement",IF(OR($AI60="Non",$S60="En retard"),"À vérifier (formation ?)",IF($AI60="Oui","Pas de risque","À compléter")))))))</f>
        <v/>
      </c>
      <c r="AK60" s="39"/>
    </row>
    <row r="61" customFormat="false" ht="15" hidden="false" customHeight="false" outlineLevel="0" collapsed="false">
      <c r="A61" s="39"/>
      <c r="B61" s="39"/>
      <c r="C61" s="39"/>
      <c r="D61" s="39"/>
      <c r="E61" s="39"/>
      <c r="F61" s="39"/>
      <c r="G61" s="40"/>
      <c r="H61" s="40"/>
      <c r="I61" s="40"/>
      <c r="J61" s="41" t="str">
        <f aca="false">IF(OR($B61="",$H61=""),"",IF($H61&gt;DateRef,0,YEARFRAC($H61,DateRef,1)))</f>
        <v/>
      </c>
      <c r="K61" s="42" t="str">
        <f aca="false">IF(OR($B61="",$H61=""),"",IF(EDATE($H61,12)&lt;=DateRef,"Plus d'un an","Moins d'un an"))</f>
        <v/>
      </c>
      <c r="L61" s="40"/>
      <c r="M61" s="43" t="str">
        <f aca="false">IF(OR($B61="",$A61=""),"",IF(SUMPRODUCT(MAX((Journal!$A$6:$A$1005=$A61)*Journal!$C$6:$C$1005))=0,"",SUMPRODUCT(MAX((Journal!$A$6:$A$1005=$A61)*Journal!$C$6:$C$1005))))</f>
        <v/>
      </c>
      <c r="N61" s="43" t="str">
        <f aca="false">IF($B61="","",IF(MAX($L61,$M61)=0,"",MAX($L61,$M61)))</f>
        <v/>
      </c>
      <c r="O61" s="44" t="str">
        <f aca="false">IF(OR($B61="",$H61=""),"",IF($N61="",IF(EDATE($H61,DelaiPremierEPP)&gt;DateRef,"1er EPP (1re année)","Aucun entretien renseigné"),IF(AND(ReglesTransitoires="Oui",EDATE($N61,AnciennePeriodiciteEP*12)&lt;DateVigueur),"Retard antérieur à la réforme","Périodicité "&amp;PeriodiciteEPP&amp;" ans")))</f>
        <v/>
      </c>
      <c r="P61" s="43" t="str">
        <f aca="false">IF(OR($B61="",$H61=""),"",IF($N61="",EDATE($H61,DelaiPremierEPP),IF(AND(ReglesTransitoires="Oui",EDATE($N61,AnciennePeriodiciteEP*12)&lt;DateVigueur),EDATE($N61,AnciennePeriodiciteEP*12),EDATE($N61,PeriodiciteEPP*12))))</f>
        <v/>
      </c>
      <c r="Q61" s="40"/>
      <c r="R61" s="45" t="str">
        <f aca="false">IF(OR($P61="",AND($I61&lt;&gt;"",$I61&lt;=DateRef)),"",$P61-DateRef)</f>
        <v/>
      </c>
      <c r="S61" s="42" t="str">
        <f aca="false">IF($B61="","",IF(AND($I61&lt;&gt;"",$I61&lt;=DateRef),"Sorti",IF($H61="","À compléter",IF(AND($Q61&lt;&gt;"",$Q61&gt;=DateRef,$Q61&lt;=$P61),"Planifié",IF($R61&lt;0,"En retard",IF($R61&lt;=SeuilAlerteEPP,"À planifier","À jour"))))))</f>
        <v/>
      </c>
      <c r="T61" s="46" t="str">
        <f aca="false">IF(OR($B61="",$S61="Sorti"),"",MID(IF($H61=""," | Date d'embauche manquante","")&amp;IF(AND($K61="Plus d'un an",$N61="")," | Précédent entretien à renseigner (ancienneté &gt; 1 an)","")&amp;IF($O61="Retard antérieur à la réforme"," | Ancien délai de 2 ans expiré avant la réforme","")&amp;IF(AND($N61&lt;&gt;"",$H61&lt;&gt;"",$N61&lt;$H61)," | Entretien antérieur à l'embauche ?","")&amp;IF(AND($N61&lt;&gt;"",$N61&gt;DateRef)," | Entretien daté dans le futur ?","")&amp;IF(AND($Q61&lt;&gt;"",$P61&lt;&gt;"",$Q61&gt;$P61)," | Date prévue après l'échéance","")&amp;IF(AND($Q61&lt;&gt;"",$Q61&lt;DateRef,OR($N61="",$N61&lt;$Q61))," | Entretien prévu passé : le consigner au Journal","")&amp;IF(AND($G61&lt;&gt;"",$X61="",YEAR(DateRef)-YEAR($G61)&gt;=AgeMiCarriere-1,YEAR(DateRef)-YEAR($G61)&lt;=AgeMiCarriere+1)," | Visite de mi-carrière à vérifier",""),4,1000))</f>
        <v/>
      </c>
      <c r="U61" s="39"/>
      <c r="V61" s="40"/>
      <c r="W61" s="42" t="str">
        <f aca="false">IF(OR($B61="",$V61=""),"",IF(AND($I61&lt;&gt;"",$I61&lt;=DateRef),"",IF(AND($N61&lt;&gt;"",$N61&gt;=$V61),"Réalisé",IF(AND($N61&lt;&gt;"",$N61&gt;=EDATE($V61,-FenetreRetour)),"Dispensé (EPP récent)",IF($V61&gt;DateRef,"À prévoir à la reprise","À proposer (reprise passée)")))))</f>
        <v/>
      </c>
      <c r="X61" s="40"/>
      <c r="Y61" s="43" t="str">
        <f aca="false">IF(OR($B61="",$X61=""),"",EDATE($X61,DelaiMiCarriere))</f>
        <v/>
      </c>
      <c r="Z61" s="42" t="str">
        <f aca="false">IF(OR($B61="",$X61=""),"",IF(AND($I61&lt;&gt;"",$I61&lt;=DateRef),"",IF(AND($N61&lt;&gt;"",$N61&gt;=$X61),"Réalisé",IF($Y61&lt;DateRef,"En retard","À planifier"))))</f>
        <v/>
      </c>
      <c r="AA61" s="47" t="str">
        <f aca="false">IF(OR($B61="",$G61=""),"",IF($G61&gt;DateRef,"",DATEDIF($G61,DateRef,"y")))</f>
        <v/>
      </c>
      <c r="AB61" s="43" t="str">
        <f aca="false">IF(OR($B61="",$G61=""),"",EDATE($G61,AgeFinCarriere*12))</f>
        <v/>
      </c>
      <c r="AC61" s="42" t="str">
        <f aca="false">IF(OR($B61="",$G61="",$H61=""),"",IF(AND($I61&lt;&gt;"",$I61&lt;=DateRef),"",IF($AB61&lt;DateVigueur,"Non concerné",IF(AND($N61&lt;&gt;"",$N61&gt;=MAX(EDATE($AB61,-FenetreFinCarriere*12),DateVigueur),$N61&lt;=$AB61),"Réalisé",IF(DateRef&gt;$AB61,"Non réalisé",IF(AND($Q61&lt;&gt;"",$Q61&gt;=EDATE($AB61,-FenetreFinCarriere*12),$Q61&lt;=$AB61),"Planifié dans la fenêtre",IF(AND(MAX($P61,DateRef)&gt;=EDATE($AB61,-FenetreFinCarriere*12),MAX($P61,DateRef)&lt;=$AB61),"Prochain EPP dans la fenêtre",IF(MAX($P61,DateRef)&gt;$AB61,"À programmer avant 60 ans",""))))))))</f>
        <v/>
      </c>
      <c r="AD61" s="40"/>
      <c r="AE61" s="43" t="str">
        <f aca="false">IF(OR($B61="",$H61="",AND($I61&lt;&gt;"",$I61&lt;=DateRef)),"",MAX($H61,$AD61,IF($A61="",0,SUMPRODUCT(MAX((Journal!$A$6:$A$1005=$A61)*((Journal!$D$6:$D$1005=TypeEDL)+(Journal!$D$6:$D$1005=TypeBilan6))*Journal!$C$6:$C$1005)))))</f>
        <v/>
      </c>
      <c r="AF61" s="43" t="str">
        <f aca="false">IF($AE61="","",IF(AND(ReglesTransitoires="Oui",EDATE($AE61,AnciennePeriodiciteEDL*12)&lt;DateVigueur),EDATE($AE61,AnciennePeriodiciteEDL*12),EDATE($AE61,PeriodiciteEDL*12)))</f>
        <v/>
      </c>
      <c r="AG61" s="42" t="str">
        <f aca="false">IF($AF61="","",IF(AND($I61&lt;&gt;"",$I61&lt;=DateRef),"",IF($AF61&lt;DateRef,"En retard",IF($AF61-DateRef&lt;=SeuilAlerteEDL,"À prévoir","À jour"))))</f>
        <v/>
      </c>
      <c r="AH61" s="39"/>
      <c r="AI61" s="39"/>
      <c r="AJ61" s="42" t="str">
        <f aca="false">IF(OR($B61="",$H61=""),"",IF(AND($I61&lt;&gt;"",$I61&lt;=DateRef),"",IF(Effectif&lt;SeuilEffectif,"Non concerné (&lt; "&amp;SeuilEffectif&amp;" salariés)",IF($AH61="Oui","Pas de risque",IF(AND(OR($AI61="Non",$S61="En retard"),$AH61="Non"),"Risque abondement",IF(OR($AI61="Non",$S61="En retard"),"À vérifier (formation ?)",IF($AI61="Oui","Pas de risque","À compléter")))))))</f>
        <v/>
      </c>
      <c r="AK61" s="39"/>
    </row>
    <row r="62" customFormat="false" ht="15" hidden="false" customHeight="false" outlineLevel="0" collapsed="false">
      <c r="A62" s="39"/>
      <c r="B62" s="39"/>
      <c r="C62" s="39"/>
      <c r="D62" s="39"/>
      <c r="E62" s="39"/>
      <c r="F62" s="39"/>
      <c r="G62" s="40"/>
      <c r="H62" s="40"/>
      <c r="I62" s="40"/>
      <c r="J62" s="41" t="str">
        <f aca="false">IF(OR($B62="",$H62=""),"",IF($H62&gt;DateRef,0,YEARFRAC($H62,DateRef,1)))</f>
        <v/>
      </c>
      <c r="K62" s="42" t="str">
        <f aca="false">IF(OR($B62="",$H62=""),"",IF(EDATE($H62,12)&lt;=DateRef,"Plus d'un an","Moins d'un an"))</f>
        <v/>
      </c>
      <c r="L62" s="40"/>
      <c r="M62" s="43" t="str">
        <f aca="false">IF(OR($B62="",$A62=""),"",IF(SUMPRODUCT(MAX((Journal!$A$6:$A$1005=$A62)*Journal!$C$6:$C$1005))=0,"",SUMPRODUCT(MAX((Journal!$A$6:$A$1005=$A62)*Journal!$C$6:$C$1005))))</f>
        <v/>
      </c>
      <c r="N62" s="43" t="str">
        <f aca="false">IF($B62="","",IF(MAX($L62,$M62)=0,"",MAX($L62,$M62)))</f>
        <v/>
      </c>
      <c r="O62" s="44" t="str">
        <f aca="false">IF(OR($B62="",$H62=""),"",IF($N62="",IF(EDATE($H62,DelaiPremierEPP)&gt;DateRef,"1er EPP (1re année)","Aucun entretien renseigné"),IF(AND(ReglesTransitoires="Oui",EDATE($N62,AnciennePeriodiciteEP*12)&lt;DateVigueur),"Retard antérieur à la réforme","Périodicité "&amp;PeriodiciteEPP&amp;" ans")))</f>
        <v/>
      </c>
      <c r="P62" s="43" t="str">
        <f aca="false">IF(OR($B62="",$H62=""),"",IF($N62="",EDATE($H62,DelaiPremierEPP),IF(AND(ReglesTransitoires="Oui",EDATE($N62,AnciennePeriodiciteEP*12)&lt;DateVigueur),EDATE($N62,AnciennePeriodiciteEP*12),EDATE($N62,PeriodiciteEPP*12))))</f>
        <v/>
      </c>
      <c r="Q62" s="40"/>
      <c r="R62" s="45" t="str">
        <f aca="false">IF(OR($P62="",AND($I62&lt;&gt;"",$I62&lt;=DateRef)),"",$P62-DateRef)</f>
        <v/>
      </c>
      <c r="S62" s="42" t="str">
        <f aca="false">IF($B62="","",IF(AND($I62&lt;&gt;"",$I62&lt;=DateRef),"Sorti",IF($H62="","À compléter",IF(AND($Q62&lt;&gt;"",$Q62&gt;=DateRef,$Q62&lt;=$P62),"Planifié",IF($R62&lt;0,"En retard",IF($R62&lt;=SeuilAlerteEPP,"À planifier","À jour"))))))</f>
        <v/>
      </c>
      <c r="T62" s="46" t="str">
        <f aca="false">IF(OR($B62="",$S62="Sorti"),"",MID(IF($H62=""," | Date d'embauche manquante","")&amp;IF(AND($K62="Plus d'un an",$N62="")," | Précédent entretien à renseigner (ancienneté &gt; 1 an)","")&amp;IF($O62="Retard antérieur à la réforme"," | Ancien délai de 2 ans expiré avant la réforme","")&amp;IF(AND($N62&lt;&gt;"",$H62&lt;&gt;"",$N62&lt;$H62)," | Entretien antérieur à l'embauche ?","")&amp;IF(AND($N62&lt;&gt;"",$N62&gt;DateRef)," | Entretien daté dans le futur ?","")&amp;IF(AND($Q62&lt;&gt;"",$P62&lt;&gt;"",$Q62&gt;$P62)," | Date prévue après l'échéance","")&amp;IF(AND($Q62&lt;&gt;"",$Q62&lt;DateRef,OR($N62="",$N62&lt;$Q62))," | Entretien prévu passé : le consigner au Journal","")&amp;IF(AND($G62&lt;&gt;"",$X62="",YEAR(DateRef)-YEAR($G62)&gt;=AgeMiCarriere-1,YEAR(DateRef)-YEAR($G62)&lt;=AgeMiCarriere+1)," | Visite de mi-carrière à vérifier",""),4,1000))</f>
        <v/>
      </c>
      <c r="U62" s="39"/>
      <c r="V62" s="40"/>
      <c r="W62" s="42" t="str">
        <f aca="false">IF(OR($B62="",$V62=""),"",IF(AND($I62&lt;&gt;"",$I62&lt;=DateRef),"",IF(AND($N62&lt;&gt;"",$N62&gt;=$V62),"Réalisé",IF(AND($N62&lt;&gt;"",$N62&gt;=EDATE($V62,-FenetreRetour)),"Dispensé (EPP récent)",IF($V62&gt;DateRef,"À prévoir à la reprise","À proposer (reprise passée)")))))</f>
        <v/>
      </c>
      <c r="X62" s="40"/>
      <c r="Y62" s="43" t="str">
        <f aca="false">IF(OR($B62="",$X62=""),"",EDATE($X62,DelaiMiCarriere))</f>
        <v/>
      </c>
      <c r="Z62" s="42" t="str">
        <f aca="false">IF(OR($B62="",$X62=""),"",IF(AND($I62&lt;&gt;"",$I62&lt;=DateRef),"",IF(AND($N62&lt;&gt;"",$N62&gt;=$X62),"Réalisé",IF($Y62&lt;DateRef,"En retard","À planifier"))))</f>
        <v/>
      </c>
      <c r="AA62" s="47" t="str">
        <f aca="false">IF(OR($B62="",$G62=""),"",IF($G62&gt;DateRef,"",DATEDIF($G62,DateRef,"y")))</f>
        <v/>
      </c>
      <c r="AB62" s="43" t="str">
        <f aca="false">IF(OR($B62="",$G62=""),"",EDATE($G62,AgeFinCarriere*12))</f>
        <v/>
      </c>
      <c r="AC62" s="42" t="str">
        <f aca="false">IF(OR($B62="",$G62="",$H62=""),"",IF(AND($I62&lt;&gt;"",$I62&lt;=DateRef),"",IF($AB62&lt;DateVigueur,"Non concerné",IF(AND($N62&lt;&gt;"",$N62&gt;=MAX(EDATE($AB62,-FenetreFinCarriere*12),DateVigueur),$N62&lt;=$AB62),"Réalisé",IF(DateRef&gt;$AB62,"Non réalisé",IF(AND($Q62&lt;&gt;"",$Q62&gt;=EDATE($AB62,-FenetreFinCarriere*12),$Q62&lt;=$AB62),"Planifié dans la fenêtre",IF(AND(MAX($P62,DateRef)&gt;=EDATE($AB62,-FenetreFinCarriere*12),MAX($P62,DateRef)&lt;=$AB62),"Prochain EPP dans la fenêtre",IF(MAX($P62,DateRef)&gt;$AB62,"À programmer avant 60 ans",""))))))))</f>
        <v/>
      </c>
      <c r="AD62" s="40"/>
      <c r="AE62" s="43" t="str">
        <f aca="false">IF(OR($B62="",$H62="",AND($I62&lt;&gt;"",$I62&lt;=DateRef)),"",MAX($H62,$AD62,IF($A62="",0,SUMPRODUCT(MAX((Journal!$A$6:$A$1005=$A62)*((Journal!$D$6:$D$1005=TypeEDL)+(Journal!$D$6:$D$1005=TypeBilan6))*Journal!$C$6:$C$1005)))))</f>
        <v/>
      </c>
      <c r="AF62" s="43" t="str">
        <f aca="false">IF($AE62="","",IF(AND(ReglesTransitoires="Oui",EDATE($AE62,AnciennePeriodiciteEDL*12)&lt;DateVigueur),EDATE($AE62,AnciennePeriodiciteEDL*12),EDATE($AE62,PeriodiciteEDL*12)))</f>
        <v/>
      </c>
      <c r="AG62" s="42" t="str">
        <f aca="false">IF($AF62="","",IF(AND($I62&lt;&gt;"",$I62&lt;=DateRef),"",IF($AF62&lt;DateRef,"En retard",IF($AF62-DateRef&lt;=SeuilAlerteEDL,"À prévoir","À jour"))))</f>
        <v/>
      </c>
      <c r="AH62" s="39"/>
      <c r="AI62" s="39"/>
      <c r="AJ62" s="42" t="str">
        <f aca="false">IF(OR($B62="",$H62=""),"",IF(AND($I62&lt;&gt;"",$I62&lt;=DateRef),"",IF(Effectif&lt;SeuilEffectif,"Non concerné (&lt; "&amp;SeuilEffectif&amp;" salariés)",IF($AH62="Oui","Pas de risque",IF(AND(OR($AI62="Non",$S62="En retard"),$AH62="Non"),"Risque abondement",IF(OR($AI62="Non",$S62="En retard"),"À vérifier (formation ?)",IF($AI62="Oui","Pas de risque","À compléter")))))))</f>
        <v/>
      </c>
      <c r="AK62" s="39"/>
    </row>
    <row r="63" customFormat="false" ht="15" hidden="false" customHeight="false" outlineLevel="0" collapsed="false">
      <c r="A63" s="39"/>
      <c r="B63" s="39"/>
      <c r="C63" s="39"/>
      <c r="D63" s="39"/>
      <c r="E63" s="39"/>
      <c r="F63" s="39"/>
      <c r="G63" s="40"/>
      <c r="H63" s="40"/>
      <c r="I63" s="40"/>
      <c r="J63" s="41" t="str">
        <f aca="false">IF(OR($B63="",$H63=""),"",IF($H63&gt;DateRef,0,YEARFRAC($H63,DateRef,1)))</f>
        <v/>
      </c>
      <c r="K63" s="42" t="str">
        <f aca="false">IF(OR($B63="",$H63=""),"",IF(EDATE($H63,12)&lt;=DateRef,"Plus d'un an","Moins d'un an"))</f>
        <v/>
      </c>
      <c r="L63" s="40"/>
      <c r="M63" s="43" t="str">
        <f aca="false">IF(OR($B63="",$A63=""),"",IF(SUMPRODUCT(MAX((Journal!$A$6:$A$1005=$A63)*Journal!$C$6:$C$1005))=0,"",SUMPRODUCT(MAX((Journal!$A$6:$A$1005=$A63)*Journal!$C$6:$C$1005))))</f>
        <v/>
      </c>
      <c r="N63" s="43" t="str">
        <f aca="false">IF($B63="","",IF(MAX($L63,$M63)=0,"",MAX($L63,$M63)))</f>
        <v/>
      </c>
      <c r="O63" s="44" t="str">
        <f aca="false">IF(OR($B63="",$H63=""),"",IF($N63="",IF(EDATE($H63,DelaiPremierEPP)&gt;DateRef,"1er EPP (1re année)","Aucun entretien renseigné"),IF(AND(ReglesTransitoires="Oui",EDATE($N63,AnciennePeriodiciteEP*12)&lt;DateVigueur),"Retard antérieur à la réforme","Périodicité "&amp;PeriodiciteEPP&amp;" ans")))</f>
        <v/>
      </c>
      <c r="P63" s="43" t="str">
        <f aca="false">IF(OR($B63="",$H63=""),"",IF($N63="",EDATE($H63,DelaiPremierEPP),IF(AND(ReglesTransitoires="Oui",EDATE($N63,AnciennePeriodiciteEP*12)&lt;DateVigueur),EDATE($N63,AnciennePeriodiciteEP*12),EDATE($N63,PeriodiciteEPP*12))))</f>
        <v/>
      </c>
      <c r="Q63" s="40"/>
      <c r="R63" s="45" t="str">
        <f aca="false">IF(OR($P63="",AND($I63&lt;&gt;"",$I63&lt;=DateRef)),"",$P63-DateRef)</f>
        <v/>
      </c>
      <c r="S63" s="42" t="str">
        <f aca="false">IF($B63="","",IF(AND($I63&lt;&gt;"",$I63&lt;=DateRef),"Sorti",IF($H63="","À compléter",IF(AND($Q63&lt;&gt;"",$Q63&gt;=DateRef,$Q63&lt;=$P63),"Planifié",IF($R63&lt;0,"En retard",IF($R63&lt;=SeuilAlerteEPP,"À planifier","À jour"))))))</f>
        <v/>
      </c>
      <c r="T63" s="46" t="str">
        <f aca="false">IF(OR($B63="",$S63="Sorti"),"",MID(IF($H63=""," | Date d'embauche manquante","")&amp;IF(AND($K63="Plus d'un an",$N63="")," | Précédent entretien à renseigner (ancienneté &gt; 1 an)","")&amp;IF($O63="Retard antérieur à la réforme"," | Ancien délai de 2 ans expiré avant la réforme","")&amp;IF(AND($N63&lt;&gt;"",$H63&lt;&gt;"",$N63&lt;$H63)," | Entretien antérieur à l'embauche ?","")&amp;IF(AND($N63&lt;&gt;"",$N63&gt;DateRef)," | Entretien daté dans le futur ?","")&amp;IF(AND($Q63&lt;&gt;"",$P63&lt;&gt;"",$Q63&gt;$P63)," | Date prévue après l'échéance","")&amp;IF(AND($Q63&lt;&gt;"",$Q63&lt;DateRef,OR($N63="",$N63&lt;$Q63))," | Entretien prévu passé : le consigner au Journal","")&amp;IF(AND($G63&lt;&gt;"",$X63="",YEAR(DateRef)-YEAR($G63)&gt;=AgeMiCarriere-1,YEAR(DateRef)-YEAR($G63)&lt;=AgeMiCarriere+1)," | Visite de mi-carrière à vérifier",""),4,1000))</f>
        <v/>
      </c>
      <c r="U63" s="39"/>
      <c r="V63" s="40"/>
      <c r="W63" s="42" t="str">
        <f aca="false">IF(OR($B63="",$V63=""),"",IF(AND($I63&lt;&gt;"",$I63&lt;=DateRef),"",IF(AND($N63&lt;&gt;"",$N63&gt;=$V63),"Réalisé",IF(AND($N63&lt;&gt;"",$N63&gt;=EDATE($V63,-FenetreRetour)),"Dispensé (EPP récent)",IF($V63&gt;DateRef,"À prévoir à la reprise","À proposer (reprise passée)")))))</f>
        <v/>
      </c>
      <c r="X63" s="40"/>
      <c r="Y63" s="43" t="str">
        <f aca="false">IF(OR($B63="",$X63=""),"",EDATE($X63,DelaiMiCarriere))</f>
        <v/>
      </c>
      <c r="Z63" s="42" t="str">
        <f aca="false">IF(OR($B63="",$X63=""),"",IF(AND($I63&lt;&gt;"",$I63&lt;=DateRef),"",IF(AND($N63&lt;&gt;"",$N63&gt;=$X63),"Réalisé",IF($Y63&lt;DateRef,"En retard","À planifier"))))</f>
        <v/>
      </c>
      <c r="AA63" s="47" t="str">
        <f aca="false">IF(OR($B63="",$G63=""),"",IF($G63&gt;DateRef,"",DATEDIF($G63,DateRef,"y")))</f>
        <v/>
      </c>
      <c r="AB63" s="43" t="str">
        <f aca="false">IF(OR($B63="",$G63=""),"",EDATE($G63,AgeFinCarriere*12))</f>
        <v/>
      </c>
      <c r="AC63" s="42" t="str">
        <f aca="false">IF(OR($B63="",$G63="",$H63=""),"",IF(AND($I63&lt;&gt;"",$I63&lt;=DateRef),"",IF($AB63&lt;DateVigueur,"Non concerné",IF(AND($N63&lt;&gt;"",$N63&gt;=MAX(EDATE($AB63,-FenetreFinCarriere*12),DateVigueur),$N63&lt;=$AB63),"Réalisé",IF(DateRef&gt;$AB63,"Non réalisé",IF(AND($Q63&lt;&gt;"",$Q63&gt;=EDATE($AB63,-FenetreFinCarriere*12),$Q63&lt;=$AB63),"Planifié dans la fenêtre",IF(AND(MAX($P63,DateRef)&gt;=EDATE($AB63,-FenetreFinCarriere*12),MAX($P63,DateRef)&lt;=$AB63),"Prochain EPP dans la fenêtre",IF(MAX($P63,DateRef)&gt;$AB63,"À programmer avant 60 ans",""))))))))</f>
        <v/>
      </c>
      <c r="AD63" s="40"/>
      <c r="AE63" s="43" t="str">
        <f aca="false">IF(OR($B63="",$H63="",AND($I63&lt;&gt;"",$I63&lt;=DateRef)),"",MAX($H63,$AD63,IF($A63="",0,SUMPRODUCT(MAX((Journal!$A$6:$A$1005=$A63)*((Journal!$D$6:$D$1005=TypeEDL)+(Journal!$D$6:$D$1005=TypeBilan6))*Journal!$C$6:$C$1005)))))</f>
        <v/>
      </c>
      <c r="AF63" s="43" t="str">
        <f aca="false">IF($AE63="","",IF(AND(ReglesTransitoires="Oui",EDATE($AE63,AnciennePeriodiciteEDL*12)&lt;DateVigueur),EDATE($AE63,AnciennePeriodiciteEDL*12),EDATE($AE63,PeriodiciteEDL*12)))</f>
        <v/>
      </c>
      <c r="AG63" s="42" t="str">
        <f aca="false">IF($AF63="","",IF(AND($I63&lt;&gt;"",$I63&lt;=DateRef),"",IF($AF63&lt;DateRef,"En retard",IF($AF63-DateRef&lt;=SeuilAlerteEDL,"À prévoir","À jour"))))</f>
        <v/>
      </c>
      <c r="AH63" s="39"/>
      <c r="AI63" s="39"/>
      <c r="AJ63" s="42" t="str">
        <f aca="false">IF(OR($B63="",$H63=""),"",IF(AND($I63&lt;&gt;"",$I63&lt;=DateRef),"",IF(Effectif&lt;SeuilEffectif,"Non concerné (&lt; "&amp;SeuilEffectif&amp;" salariés)",IF($AH63="Oui","Pas de risque",IF(AND(OR($AI63="Non",$S63="En retard"),$AH63="Non"),"Risque abondement",IF(OR($AI63="Non",$S63="En retard"),"À vérifier (formation ?)",IF($AI63="Oui","Pas de risque","À compléter")))))))</f>
        <v/>
      </c>
      <c r="AK63" s="39"/>
    </row>
    <row r="64" customFormat="false" ht="15" hidden="false" customHeight="false" outlineLevel="0" collapsed="false">
      <c r="A64" s="39"/>
      <c r="B64" s="39"/>
      <c r="C64" s="39"/>
      <c r="D64" s="39"/>
      <c r="E64" s="39"/>
      <c r="F64" s="39"/>
      <c r="G64" s="40"/>
      <c r="H64" s="40"/>
      <c r="I64" s="40"/>
      <c r="J64" s="41" t="str">
        <f aca="false">IF(OR($B64="",$H64=""),"",IF($H64&gt;DateRef,0,YEARFRAC($H64,DateRef,1)))</f>
        <v/>
      </c>
      <c r="K64" s="42" t="str">
        <f aca="false">IF(OR($B64="",$H64=""),"",IF(EDATE($H64,12)&lt;=DateRef,"Plus d'un an","Moins d'un an"))</f>
        <v/>
      </c>
      <c r="L64" s="40"/>
      <c r="M64" s="43" t="str">
        <f aca="false">IF(OR($B64="",$A64=""),"",IF(SUMPRODUCT(MAX((Journal!$A$6:$A$1005=$A64)*Journal!$C$6:$C$1005))=0,"",SUMPRODUCT(MAX((Journal!$A$6:$A$1005=$A64)*Journal!$C$6:$C$1005))))</f>
        <v/>
      </c>
      <c r="N64" s="43" t="str">
        <f aca="false">IF($B64="","",IF(MAX($L64,$M64)=0,"",MAX($L64,$M64)))</f>
        <v/>
      </c>
      <c r="O64" s="44" t="str">
        <f aca="false">IF(OR($B64="",$H64=""),"",IF($N64="",IF(EDATE($H64,DelaiPremierEPP)&gt;DateRef,"1er EPP (1re année)","Aucun entretien renseigné"),IF(AND(ReglesTransitoires="Oui",EDATE($N64,AnciennePeriodiciteEP*12)&lt;DateVigueur),"Retard antérieur à la réforme","Périodicité "&amp;PeriodiciteEPP&amp;" ans")))</f>
        <v/>
      </c>
      <c r="P64" s="43" t="str">
        <f aca="false">IF(OR($B64="",$H64=""),"",IF($N64="",EDATE($H64,DelaiPremierEPP),IF(AND(ReglesTransitoires="Oui",EDATE($N64,AnciennePeriodiciteEP*12)&lt;DateVigueur),EDATE($N64,AnciennePeriodiciteEP*12),EDATE($N64,PeriodiciteEPP*12))))</f>
        <v/>
      </c>
      <c r="Q64" s="40"/>
      <c r="R64" s="45" t="str">
        <f aca="false">IF(OR($P64="",AND($I64&lt;&gt;"",$I64&lt;=DateRef)),"",$P64-DateRef)</f>
        <v/>
      </c>
      <c r="S64" s="42" t="str">
        <f aca="false">IF($B64="","",IF(AND($I64&lt;&gt;"",$I64&lt;=DateRef),"Sorti",IF($H64="","À compléter",IF(AND($Q64&lt;&gt;"",$Q64&gt;=DateRef,$Q64&lt;=$P64),"Planifié",IF($R64&lt;0,"En retard",IF($R64&lt;=SeuilAlerteEPP,"À planifier","À jour"))))))</f>
        <v/>
      </c>
      <c r="T64" s="46" t="str">
        <f aca="false">IF(OR($B64="",$S64="Sorti"),"",MID(IF($H64=""," | Date d'embauche manquante","")&amp;IF(AND($K64="Plus d'un an",$N64="")," | Précédent entretien à renseigner (ancienneté &gt; 1 an)","")&amp;IF($O64="Retard antérieur à la réforme"," | Ancien délai de 2 ans expiré avant la réforme","")&amp;IF(AND($N64&lt;&gt;"",$H64&lt;&gt;"",$N64&lt;$H64)," | Entretien antérieur à l'embauche ?","")&amp;IF(AND($N64&lt;&gt;"",$N64&gt;DateRef)," | Entretien daté dans le futur ?","")&amp;IF(AND($Q64&lt;&gt;"",$P64&lt;&gt;"",$Q64&gt;$P64)," | Date prévue après l'échéance","")&amp;IF(AND($Q64&lt;&gt;"",$Q64&lt;DateRef,OR($N64="",$N64&lt;$Q64))," | Entretien prévu passé : le consigner au Journal","")&amp;IF(AND($G64&lt;&gt;"",$X64="",YEAR(DateRef)-YEAR($G64)&gt;=AgeMiCarriere-1,YEAR(DateRef)-YEAR($G64)&lt;=AgeMiCarriere+1)," | Visite de mi-carrière à vérifier",""),4,1000))</f>
        <v/>
      </c>
      <c r="U64" s="39"/>
      <c r="V64" s="40"/>
      <c r="W64" s="42" t="str">
        <f aca="false">IF(OR($B64="",$V64=""),"",IF(AND($I64&lt;&gt;"",$I64&lt;=DateRef),"",IF(AND($N64&lt;&gt;"",$N64&gt;=$V64),"Réalisé",IF(AND($N64&lt;&gt;"",$N64&gt;=EDATE($V64,-FenetreRetour)),"Dispensé (EPP récent)",IF($V64&gt;DateRef,"À prévoir à la reprise","À proposer (reprise passée)")))))</f>
        <v/>
      </c>
      <c r="X64" s="40"/>
      <c r="Y64" s="43" t="str">
        <f aca="false">IF(OR($B64="",$X64=""),"",EDATE($X64,DelaiMiCarriere))</f>
        <v/>
      </c>
      <c r="Z64" s="42" t="str">
        <f aca="false">IF(OR($B64="",$X64=""),"",IF(AND($I64&lt;&gt;"",$I64&lt;=DateRef),"",IF(AND($N64&lt;&gt;"",$N64&gt;=$X64),"Réalisé",IF($Y64&lt;DateRef,"En retard","À planifier"))))</f>
        <v/>
      </c>
      <c r="AA64" s="47" t="str">
        <f aca="false">IF(OR($B64="",$G64=""),"",IF($G64&gt;DateRef,"",DATEDIF($G64,DateRef,"y")))</f>
        <v/>
      </c>
      <c r="AB64" s="43" t="str">
        <f aca="false">IF(OR($B64="",$G64=""),"",EDATE($G64,AgeFinCarriere*12))</f>
        <v/>
      </c>
      <c r="AC64" s="42" t="str">
        <f aca="false">IF(OR($B64="",$G64="",$H64=""),"",IF(AND($I64&lt;&gt;"",$I64&lt;=DateRef),"",IF($AB64&lt;DateVigueur,"Non concerné",IF(AND($N64&lt;&gt;"",$N64&gt;=MAX(EDATE($AB64,-FenetreFinCarriere*12),DateVigueur),$N64&lt;=$AB64),"Réalisé",IF(DateRef&gt;$AB64,"Non réalisé",IF(AND($Q64&lt;&gt;"",$Q64&gt;=EDATE($AB64,-FenetreFinCarriere*12),$Q64&lt;=$AB64),"Planifié dans la fenêtre",IF(AND(MAX($P64,DateRef)&gt;=EDATE($AB64,-FenetreFinCarriere*12),MAX($P64,DateRef)&lt;=$AB64),"Prochain EPP dans la fenêtre",IF(MAX($P64,DateRef)&gt;$AB64,"À programmer avant 60 ans",""))))))))</f>
        <v/>
      </c>
      <c r="AD64" s="40"/>
      <c r="AE64" s="43" t="str">
        <f aca="false">IF(OR($B64="",$H64="",AND($I64&lt;&gt;"",$I64&lt;=DateRef)),"",MAX($H64,$AD64,IF($A64="",0,SUMPRODUCT(MAX((Journal!$A$6:$A$1005=$A64)*((Journal!$D$6:$D$1005=TypeEDL)+(Journal!$D$6:$D$1005=TypeBilan6))*Journal!$C$6:$C$1005)))))</f>
        <v/>
      </c>
      <c r="AF64" s="43" t="str">
        <f aca="false">IF($AE64="","",IF(AND(ReglesTransitoires="Oui",EDATE($AE64,AnciennePeriodiciteEDL*12)&lt;DateVigueur),EDATE($AE64,AnciennePeriodiciteEDL*12),EDATE($AE64,PeriodiciteEDL*12)))</f>
        <v/>
      </c>
      <c r="AG64" s="42" t="str">
        <f aca="false">IF($AF64="","",IF(AND($I64&lt;&gt;"",$I64&lt;=DateRef),"",IF($AF64&lt;DateRef,"En retard",IF($AF64-DateRef&lt;=SeuilAlerteEDL,"À prévoir","À jour"))))</f>
        <v/>
      </c>
      <c r="AH64" s="39"/>
      <c r="AI64" s="39"/>
      <c r="AJ64" s="42" t="str">
        <f aca="false">IF(OR($B64="",$H64=""),"",IF(AND($I64&lt;&gt;"",$I64&lt;=DateRef),"",IF(Effectif&lt;SeuilEffectif,"Non concerné (&lt; "&amp;SeuilEffectif&amp;" salariés)",IF($AH64="Oui","Pas de risque",IF(AND(OR($AI64="Non",$S64="En retard"),$AH64="Non"),"Risque abondement",IF(OR($AI64="Non",$S64="En retard"),"À vérifier (formation ?)",IF($AI64="Oui","Pas de risque","À compléter")))))))</f>
        <v/>
      </c>
      <c r="AK64" s="39"/>
    </row>
    <row r="65" customFormat="false" ht="15" hidden="false" customHeight="false" outlineLevel="0" collapsed="false">
      <c r="A65" s="39"/>
      <c r="B65" s="39"/>
      <c r="C65" s="39"/>
      <c r="D65" s="39"/>
      <c r="E65" s="39"/>
      <c r="F65" s="39"/>
      <c r="G65" s="40"/>
      <c r="H65" s="40"/>
      <c r="I65" s="40"/>
      <c r="J65" s="41" t="str">
        <f aca="false">IF(OR($B65="",$H65=""),"",IF($H65&gt;DateRef,0,YEARFRAC($H65,DateRef,1)))</f>
        <v/>
      </c>
      <c r="K65" s="42" t="str">
        <f aca="false">IF(OR($B65="",$H65=""),"",IF(EDATE($H65,12)&lt;=DateRef,"Plus d'un an","Moins d'un an"))</f>
        <v/>
      </c>
      <c r="L65" s="40"/>
      <c r="M65" s="43" t="str">
        <f aca="false">IF(OR($B65="",$A65=""),"",IF(SUMPRODUCT(MAX((Journal!$A$6:$A$1005=$A65)*Journal!$C$6:$C$1005))=0,"",SUMPRODUCT(MAX((Journal!$A$6:$A$1005=$A65)*Journal!$C$6:$C$1005))))</f>
        <v/>
      </c>
      <c r="N65" s="43" t="str">
        <f aca="false">IF($B65="","",IF(MAX($L65,$M65)=0,"",MAX($L65,$M65)))</f>
        <v/>
      </c>
      <c r="O65" s="44" t="str">
        <f aca="false">IF(OR($B65="",$H65=""),"",IF($N65="",IF(EDATE($H65,DelaiPremierEPP)&gt;DateRef,"1er EPP (1re année)","Aucun entretien renseigné"),IF(AND(ReglesTransitoires="Oui",EDATE($N65,AnciennePeriodiciteEP*12)&lt;DateVigueur),"Retard antérieur à la réforme","Périodicité "&amp;PeriodiciteEPP&amp;" ans")))</f>
        <v/>
      </c>
      <c r="P65" s="43" t="str">
        <f aca="false">IF(OR($B65="",$H65=""),"",IF($N65="",EDATE($H65,DelaiPremierEPP),IF(AND(ReglesTransitoires="Oui",EDATE($N65,AnciennePeriodiciteEP*12)&lt;DateVigueur),EDATE($N65,AnciennePeriodiciteEP*12),EDATE($N65,PeriodiciteEPP*12))))</f>
        <v/>
      </c>
      <c r="Q65" s="40"/>
      <c r="R65" s="45" t="str">
        <f aca="false">IF(OR($P65="",AND($I65&lt;&gt;"",$I65&lt;=DateRef)),"",$P65-DateRef)</f>
        <v/>
      </c>
      <c r="S65" s="42" t="str">
        <f aca="false">IF($B65="","",IF(AND($I65&lt;&gt;"",$I65&lt;=DateRef),"Sorti",IF($H65="","À compléter",IF(AND($Q65&lt;&gt;"",$Q65&gt;=DateRef,$Q65&lt;=$P65),"Planifié",IF($R65&lt;0,"En retard",IF($R65&lt;=SeuilAlerteEPP,"À planifier","À jour"))))))</f>
        <v/>
      </c>
      <c r="T65" s="46" t="str">
        <f aca="false">IF(OR($B65="",$S65="Sorti"),"",MID(IF($H65=""," | Date d'embauche manquante","")&amp;IF(AND($K65="Plus d'un an",$N65="")," | Précédent entretien à renseigner (ancienneté &gt; 1 an)","")&amp;IF($O65="Retard antérieur à la réforme"," | Ancien délai de 2 ans expiré avant la réforme","")&amp;IF(AND($N65&lt;&gt;"",$H65&lt;&gt;"",$N65&lt;$H65)," | Entretien antérieur à l'embauche ?","")&amp;IF(AND($N65&lt;&gt;"",$N65&gt;DateRef)," | Entretien daté dans le futur ?","")&amp;IF(AND($Q65&lt;&gt;"",$P65&lt;&gt;"",$Q65&gt;$P65)," | Date prévue après l'échéance","")&amp;IF(AND($Q65&lt;&gt;"",$Q65&lt;DateRef,OR($N65="",$N65&lt;$Q65))," | Entretien prévu passé : le consigner au Journal","")&amp;IF(AND($G65&lt;&gt;"",$X65="",YEAR(DateRef)-YEAR($G65)&gt;=AgeMiCarriere-1,YEAR(DateRef)-YEAR($G65)&lt;=AgeMiCarriere+1)," | Visite de mi-carrière à vérifier",""),4,1000))</f>
        <v/>
      </c>
      <c r="U65" s="39"/>
      <c r="V65" s="40"/>
      <c r="W65" s="42" t="str">
        <f aca="false">IF(OR($B65="",$V65=""),"",IF(AND($I65&lt;&gt;"",$I65&lt;=DateRef),"",IF(AND($N65&lt;&gt;"",$N65&gt;=$V65),"Réalisé",IF(AND($N65&lt;&gt;"",$N65&gt;=EDATE($V65,-FenetreRetour)),"Dispensé (EPP récent)",IF($V65&gt;DateRef,"À prévoir à la reprise","À proposer (reprise passée)")))))</f>
        <v/>
      </c>
      <c r="X65" s="40"/>
      <c r="Y65" s="43" t="str">
        <f aca="false">IF(OR($B65="",$X65=""),"",EDATE($X65,DelaiMiCarriere))</f>
        <v/>
      </c>
      <c r="Z65" s="42" t="str">
        <f aca="false">IF(OR($B65="",$X65=""),"",IF(AND($I65&lt;&gt;"",$I65&lt;=DateRef),"",IF(AND($N65&lt;&gt;"",$N65&gt;=$X65),"Réalisé",IF($Y65&lt;DateRef,"En retard","À planifier"))))</f>
        <v/>
      </c>
      <c r="AA65" s="47" t="str">
        <f aca="false">IF(OR($B65="",$G65=""),"",IF($G65&gt;DateRef,"",DATEDIF($G65,DateRef,"y")))</f>
        <v/>
      </c>
      <c r="AB65" s="43" t="str">
        <f aca="false">IF(OR($B65="",$G65=""),"",EDATE($G65,AgeFinCarriere*12))</f>
        <v/>
      </c>
      <c r="AC65" s="42" t="str">
        <f aca="false">IF(OR($B65="",$G65="",$H65=""),"",IF(AND($I65&lt;&gt;"",$I65&lt;=DateRef),"",IF($AB65&lt;DateVigueur,"Non concerné",IF(AND($N65&lt;&gt;"",$N65&gt;=MAX(EDATE($AB65,-FenetreFinCarriere*12),DateVigueur),$N65&lt;=$AB65),"Réalisé",IF(DateRef&gt;$AB65,"Non réalisé",IF(AND($Q65&lt;&gt;"",$Q65&gt;=EDATE($AB65,-FenetreFinCarriere*12),$Q65&lt;=$AB65),"Planifié dans la fenêtre",IF(AND(MAX($P65,DateRef)&gt;=EDATE($AB65,-FenetreFinCarriere*12),MAX($P65,DateRef)&lt;=$AB65),"Prochain EPP dans la fenêtre",IF(MAX($P65,DateRef)&gt;$AB65,"À programmer avant 60 ans",""))))))))</f>
        <v/>
      </c>
      <c r="AD65" s="40"/>
      <c r="AE65" s="43" t="str">
        <f aca="false">IF(OR($B65="",$H65="",AND($I65&lt;&gt;"",$I65&lt;=DateRef)),"",MAX($H65,$AD65,IF($A65="",0,SUMPRODUCT(MAX((Journal!$A$6:$A$1005=$A65)*((Journal!$D$6:$D$1005=TypeEDL)+(Journal!$D$6:$D$1005=TypeBilan6))*Journal!$C$6:$C$1005)))))</f>
        <v/>
      </c>
      <c r="AF65" s="43" t="str">
        <f aca="false">IF($AE65="","",IF(AND(ReglesTransitoires="Oui",EDATE($AE65,AnciennePeriodiciteEDL*12)&lt;DateVigueur),EDATE($AE65,AnciennePeriodiciteEDL*12),EDATE($AE65,PeriodiciteEDL*12)))</f>
        <v/>
      </c>
      <c r="AG65" s="42" t="str">
        <f aca="false">IF($AF65="","",IF(AND($I65&lt;&gt;"",$I65&lt;=DateRef),"",IF($AF65&lt;DateRef,"En retard",IF($AF65-DateRef&lt;=SeuilAlerteEDL,"À prévoir","À jour"))))</f>
        <v/>
      </c>
      <c r="AH65" s="39"/>
      <c r="AI65" s="39"/>
      <c r="AJ65" s="42" t="str">
        <f aca="false">IF(OR($B65="",$H65=""),"",IF(AND($I65&lt;&gt;"",$I65&lt;=DateRef),"",IF(Effectif&lt;SeuilEffectif,"Non concerné (&lt; "&amp;SeuilEffectif&amp;" salariés)",IF($AH65="Oui","Pas de risque",IF(AND(OR($AI65="Non",$S65="En retard"),$AH65="Non"),"Risque abondement",IF(OR($AI65="Non",$S65="En retard"),"À vérifier (formation ?)",IF($AI65="Oui","Pas de risque","À compléter")))))))</f>
        <v/>
      </c>
      <c r="AK65" s="39"/>
    </row>
    <row r="66" customFormat="false" ht="15" hidden="false" customHeight="false" outlineLevel="0" collapsed="false">
      <c r="A66" s="39"/>
      <c r="B66" s="39"/>
      <c r="C66" s="39"/>
      <c r="D66" s="39"/>
      <c r="E66" s="39"/>
      <c r="F66" s="39"/>
      <c r="G66" s="40"/>
      <c r="H66" s="40"/>
      <c r="I66" s="40"/>
      <c r="J66" s="41" t="str">
        <f aca="false">IF(OR($B66="",$H66=""),"",IF($H66&gt;DateRef,0,YEARFRAC($H66,DateRef,1)))</f>
        <v/>
      </c>
      <c r="K66" s="42" t="str">
        <f aca="false">IF(OR($B66="",$H66=""),"",IF(EDATE($H66,12)&lt;=DateRef,"Plus d'un an","Moins d'un an"))</f>
        <v/>
      </c>
      <c r="L66" s="40"/>
      <c r="M66" s="43" t="str">
        <f aca="false">IF(OR($B66="",$A66=""),"",IF(SUMPRODUCT(MAX((Journal!$A$6:$A$1005=$A66)*Journal!$C$6:$C$1005))=0,"",SUMPRODUCT(MAX((Journal!$A$6:$A$1005=$A66)*Journal!$C$6:$C$1005))))</f>
        <v/>
      </c>
      <c r="N66" s="43" t="str">
        <f aca="false">IF($B66="","",IF(MAX($L66,$M66)=0,"",MAX($L66,$M66)))</f>
        <v/>
      </c>
      <c r="O66" s="44" t="str">
        <f aca="false">IF(OR($B66="",$H66=""),"",IF($N66="",IF(EDATE($H66,DelaiPremierEPP)&gt;DateRef,"1er EPP (1re année)","Aucun entretien renseigné"),IF(AND(ReglesTransitoires="Oui",EDATE($N66,AnciennePeriodiciteEP*12)&lt;DateVigueur),"Retard antérieur à la réforme","Périodicité "&amp;PeriodiciteEPP&amp;" ans")))</f>
        <v/>
      </c>
      <c r="P66" s="43" t="str">
        <f aca="false">IF(OR($B66="",$H66=""),"",IF($N66="",EDATE($H66,DelaiPremierEPP),IF(AND(ReglesTransitoires="Oui",EDATE($N66,AnciennePeriodiciteEP*12)&lt;DateVigueur),EDATE($N66,AnciennePeriodiciteEP*12),EDATE($N66,PeriodiciteEPP*12))))</f>
        <v/>
      </c>
      <c r="Q66" s="40"/>
      <c r="R66" s="45" t="str">
        <f aca="false">IF(OR($P66="",AND($I66&lt;&gt;"",$I66&lt;=DateRef)),"",$P66-DateRef)</f>
        <v/>
      </c>
      <c r="S66" s="42" t="str">
        <f aca="false">IF($B66="","",IF(AND($I66&lt;&gt;"",$I66&lt;=DateRef),"Sorti",IF($H66="","À compléter",IF(AND($Q66&lt;&gt;"",$Q66&gt;=DateRef,$Q66&lt;=$P66),"Planifié",IF($R66&lt;0,"En retard",IF($R66&lt;=SeuilAlerteEPP,"À planifier","À jour"))))))</f>
        <v/>
      </c>
      <c r="T66" s="46" t="str">
        <f aca="false">IF(OR($B66="",$S66="Sorti"),"",MID(IF($H66=""," | Date d'embauche manquante","")&amp;IF(AND($K66="Plus d'un an",$N66="")," | Précédent entretien à renseigner (ancienneté &gt; 1 an)","")&amp;IF($O66="Retard antérieur à la réforme"," | Ancien délai de 2 ans expiré avant la réforme","")&amp;IF(AND($N66&lt;&gt;"",$H66&lt;&gt;"",$N66&lt;$H66)," | Entretien antérieur à l'embauche ?","")&amp;IF(AND($N66&lt;&gt;"",$N66&gt;DateRef)," | Entretien daté dans le futur ?","")&amp;IF(AND($Q66&lt;&gt;"",$P66&lt;&gt;"",$Q66&gt;$P66)," | Date prévue après l'échéance","")&amp;IF(AND($Q66&lt;&gt;"",$Q66&lt;DateRef,OR($N66="",$N66&lt;$Q66))," | Entretien prévu passé : le consigner au Journal","")&amp;IF(AND($G66&lt;&gt;"",$X66="",YEAR(DateRef)-YEAR($G66)&gt;=AgeMiCarriere-1,YEAR(DateRef)-YEAR($G66)&lt;=AgeMiCarriere+1)," | Visite de mi-carrière à vérifier",""),4,1000))</f>
        <v/>
      </c>
      <c r="U66" s="39"/>
      <c r="V66" s="40"/>
      <c r="W66" s="42" t="str">
        <f aca="false">IF(OR($B66="",$V66=""),"",IF(AND($I66&lt;&gt;"",$I66&lt;=DateRef),"",IF(AND($N66&lt;&gt;"",$N66&gt;=$V66),"Réalisé",IF(AND($N66&lt;&gt;"",$N66&gt;=EDATE($V66,-FenetreRetour)),"Dispensé (EPP récent)",IF($V66&gt;DateRef,"À prévoir à la reprise","À proposer (reprise passée)")))))</f>
        <v/>
      </c>
      <c r="X66" s="40"/>
      <c r="Y66" s="43" t="str">
        <f aca="false">IF(OR($B66="",$X66=""),"",EDATE($X66,DelaiMiCarriere))</f>
        <v/>
      </c>
      <c r="Z66" s="42" t="str">
        <f aca="false">IF(OR($B66="",$X66=""),"",IF(AND($I66&lt;&gt;"",$I66&lt;=DateRef),"",IF(AND($N66&lt;&gt;"",$N66&gt;=$X66),"Réalisé",IF($Y66&lt;DateRef,"En retard","À planifier"))))</f>
        <v/>
      </c>
      <c r="AA66" s="47" t="str">
        <f aca="false">IF(OR($B66="",$G66=""),"",IF($G66&gt;DateRef,"",DATEDIF($G66,DateRef,"y")))</f>
        <v/>
      </c>
      <c r="AB66" s="43" t="str">
        <f aca="false">IF(OR($B66="",$G66=""),"",EDATE($G66,AgeFinCarriere*12))</f>
        <v/>
      </c>
      <c r="AC66" s="42" t="str">
        <f aca="false">IF(OR($B66="",$G66="",$H66=""),"",IF(AND($I66&lt;&gt;"",$I66&lt;=DateRef),"",IF($AB66&lt;DateVigueur,"Non concerné",IF(AND($N66&lt;&gt;"",$N66&gt;=MAX(EDATE($AB66,-FenetreFinCarriere*12),DateVigueur),$N66&lt;=$AB66),"Réalisé",IF(DateRef&gt;$AB66,"Non réalisé",IF(AND($Q66&lt;&gt;"",$Q66&gt;=EDATE($AB66,-FenetreFinCarriere*12),$Q66&lt;=$AB66),"Planifié dans la fenêtre",IF(AND(MAX($P66,DateRef)&gt;=EDATE($AB66,-FenetreFinCarriere*12),MAX($P66,DateRef)&lt;=$AB66),"Prochain EPP dans la fenêtre",IF(MAX($P66,DateRef)&gt;$AB66,"À programmer avant 60 ans",""))))))))</f>
        <v/>
      </c>
      <c r="AD66" s="40"/>
      <c r="AE66" s="43" t="str">
        <f aca="false">IF(OR($B66="",$H66="",AND($I66&lt;&gt;"",$I66&lt;=DateRef)),"",MAX($H66,$AD66,IF($A66="",0,SUMPRODUCT(MAX((Journal!$A$6:$A$1005=$A66)*((Journal!$D$6:$D$1005=TypeEDL)+(Journal!$D$6:$D$1005=TypeBilan6))*Journal!$C$6:$C$1005)))))</f>
        <v/>
      </c>
      <c r="AF66" s="43" t="str">
        <f aca="false">IF($AE66="","",IF(AND(ReglesTransitoires="Oui",EDATE($AE66,AnciennePeriodiciteEDL*12)&lt;DateVigueur),EDATE($AE66,AnciennePeriodiciteEDL*12),EDATE($AE66,PeriodiciteEDL*12)))</f>
        <v/>
      </c>
      <c r="AG66" s="42" t="str">
        <f aca="false">IF($AF66="","",IF(AND($I66&lt;&gt;"",$I66&lt;=DateRef),"",IF($AF66&lt;DateRef,"En retard",IF($AF66-DateRef&lt;=SeuilAlerteEDL,"À prévoir","À jour"))))</f>
        <v/>
      </c>
      <c r="AH66" s="39"/>
      <c r="AI66" s="39"/>
      <c r="AJ66" s="42" t="str">
        <f aca="false">IF(OR($B66="",$H66=""),"",IF(AND($I66&lt;&gt;"",$I66&lt;=DateRef),"",IF(Effectif&lt;SeuilEffectif,"Non concerné (&lt; "&amp;SeuilEffectif&amp;" salariés)",IF($AH66="Oui","Pas de risque",IF(AND(OR($AI66="Non",$S66="En retard"),$AH66="Non"),"Risque abondement",IF(OR($AI66="Non",$S66="En retard"),"À vérifier (formation ?)",IF($AI66="Oui","Pas de risque","À compléter")))))))</f>
        <v/>
      </c>
      <c r="AK66" s="39"/>
    </row>
    <row r="67" customFormat="false" ht="15" hidden="false" customHeight="false" outlineLevel="0" collapsed="false">
      <c r="A67" s="39"/>
      <c r="B67" s="39"/>
      <c r="C67" s="39"/>
      <c r="D67" s="39"/>
      <c r="E67" s="39"/>
      <c r="F67" s="39"/>
      <c r="G67" s="40"/>
      <c r="H67" s="40"/>
      <c r="I67" s="40"/>
      <c r="J67" s="41" t="str">
        <f aca="false">IF(OR($B67="",$H67=""),"",IF($H67&gt;DateRef,0,YEARFRAC($H67,DateRef,1)))</f>
        <v/>
      </c>
      <c r="K67" s="42" t="str">
        <f aca="false">IF(OR($B67="",$H67=""),"",IF(EDATE($H67,12)&lt;=DateRef,"Plus d'un an","Moins d'un an"))</f>
        <v/>
      </c>
      <c r="L67" s="40"/>
      <c r="M67" s="43" t="str">
        <f aca="false">IF(OR($B67="",$A67=""),"",IF(SUMPRODUCT(MAX((Journal!$A$6:$A$1005=$A67)*Journal!$C$6:$C$1005))=0,"",SUMPRODUCT(MAX((Journal!$A$6:$A$1005=$A67)*Journal!$C$6:$C$1005))))</f>
        <v/>
      </c>
      <c r="N67" s="43" t="str">
        <f aca="false">IF($B67="","",IF(MAX($L67,$M67)=0,"",MAX($L67,$M67)))</f>
        <v/>
      </c>
      <c r="O67" s="44" t="str">
        <f aca="false">IF(OR($B67="",$H67=""),"",IF($N67="",IF(EDATE($H67,DelaiPremierEPP)&gt;DateRef,"1er EPP (1re année)","Aucun entretien renseigné"),IF(AND(ReglesTransitoires="Oui",EDATE($N67,AnciennePeriodiciteEP*12)&lt;DateVigueur),"Retard antérieur à la réforme","Périodicité "&amp;PeriodiciteEPP&amp;" ans")))</f>
        <v/>
      </c>
      <c r="P67" s="43" t="str">
        <f aca="false">IF(OR($B67="",$H67=""),"",IF($N67="",EDATE($H67,DelaiPremierEPP),IF(AND(ReglesTransitoires="Oui",EDATE($N67,AnciennePeriodiciteEP*12)&lt;DateVigueur),EDATE($N67,AnciennePeriodiciteEP*12),EDATE($N67,PeriodiciteEPP*12))))</f>
        <v/>
      </c>
      <c r="Q67" s="40"/>
      <c r="R67" s="45" t="str">
        <f aca="false">IF(OR($P67="",AND($I67&lt;&gt;"",$I67&lt;=DateRef)),"",$P67-DateRef)</f>
        <v/>
      </c>
      <c r="S67" s="42" t="str">
        <f aca="false">IF($B67="","",IF(AND($I67&lt;&gt;"",$I67&lt;=DateRef),"Sorti",IF($H67="","À compléter",IF(AND($Q67&lt;&gt;"",$Q67&gt;=DateRef,$Q67&lt;=$P67),"Planifié",IF($R67&lt;0,"En retard",IF($R67&lt;=SeuilAlerteEPP,"À planifier","À jour"))))))</f>
        <v/>
      </c>
      <c r="T67" s="46" t="str">
        <f aca="false">IF(OR($B67="",$S67="Sorti"),"",MID(IF($H67=""," | Date d'embauche manquante","")&amp;IF(AND($K67="Plus d'un an",$N67="")," | Précédent entretien à renseigner (ancienneté &gt; 1 an)","")&amp;IF($O67="Retard antérieur à la réforme"," | Ancien délai de 2 ans expiré avant la réforme","")&amp;IF(AND($N67&lt;&gt;"",$H67&lt;&gt;"",$N67&lt;$H67)," | Entretien antérieur à l'embauche ?","")&amp;IF(AND($N67&lt;&gt;"",$N67&gt;DateRef)," | Entretien daté dans le futur ?","")&amp;IF(AND($Q67&lt;&gt;"",$P67&lt;&gt;"",$Q67&gt;$P67)," | Date prévue après l'échéance","")&amp;IF(AND($Q67&lt;&gt;"",$Q67&lt;DateRef,OR($N67="",$N67&lt;$Q67))," | Entretien prévu passé : le consigner au Journal","")&amp;IF(AND($G67&lt;&gt;"",$X67="",YEAR(DateRef)-YEAR($G67)&gt;=AgeMiCarriere-1,YEAR(DateRef)-YEAR($G67)&lt;=AgeMiCarriere+1)," | Visite de mi-carrière à vérifier",""),4,1000))</f>
        <v/>
      </c>
      <c r="U67" s="39"/>
      <c r="V67" s="40"/>
      <c r="W67" s="42" t="str">
        <f aca="false">IF(OR($B67="",$V67=""),"",IF(AND($I67&lt;&gt;"",$I67&lt;=DateRef),"",IF(AND($N67&lt;&gt;"",$N67&gt;=$V67),"Réalisé",IF(AND($N67&lt;&gt;"",$N67&gt;=EDATE($V67,-FenetreRetour)),"Dispensé (EPP récent)",IF($V67&gt;DateRef,"À prévoir à la reprise","À proposer (reprise passée)")))))</f>
        <v/>
      </c>
      <c r="X67" s="40"/>
      <c r="Y67" s="43" t="str">
        <f aca="false">IF(OR($B67="",$X67=""),"",EDATE($X67,DelaiMiCarriere))</f>
        <v/>
      </c>
      <c r="Z67" s="42" t="str">
        <f aca="false">IF(OR($B67="",$X67=""),"",IF(AND($I67&lt;&gt;"",$I67&lt;=DateRef),"",IF(AND($N67&lt;&gt;"",$N67&gt;=$X67),"Réalisé",IF($Y67&lt;DateRef,"En retard","À planifier"))))</f>
        <v/>
      </c>
      <c r="AA67" s="47" t="str">
        <f aca="false">IF(OR($B67="",$G67=""),"",IF($G67&gt;DateRef,"",DATEDIF($G67,DateRef,"y")))</f>
        <v/>
      </c>
      <c r="AB67" s="43" t="str">
        <f aca="false">IF(OR($B67="",$G67=""),"",EDATE($G67,AgeFinCarriere*12))</f>
        <v/>
      </c>
      <c r="AC67" s="42" t="str">
        <f aca="false">IF(OR($B67="",$G67="",$H67=""),"",IF(AND($I67&lt;&gt;"",$I67&lt;=DateRef),"",IF($AB67&lt;DateVigueur,"Non concerné",IF(AND($N67&lt;&gt;"",$N67&gt;=MAX(EDATE($AB67,-FenetreFinCarriere*12),DateVigueur),$N67&lt;=$AB67),"Réalisé",IF(DateRef&gt;$AB67,"Non réalisé",IF(AND($Q67&lt;&gt;"",$Q67&gt;=EDATE($AB67,-FenetreFinCarriere*12),$Q67&lt;=$AB67),"Planifié dans la fenêtre",IF(AND(MAX($P67,DateRef)&gt;=EDATE($AB67,-FenetreFinCarriere*12),MAX($P67,DateRef)&lt;=$AB67),"Prochain EPP dans la fenêtre",IF(MAX($P67,DateRef)&gt;$AB67,"À programmer avant 60 ans",""))))))))</f>
        <v/>
      </c>
      <c r="AD67" s="40"/>
      <c r="AE67" s="43" t="str">
        <f aca="false">IF(OR($B67="",$H67="",AND($I67&lt;&gt;"",$I67&lt;=DateRef)),"",MAX($H67,$AD67,IF($A67="",0,SUMPRODUCT(MAX((Journal!$A$6:$A$1005=$A67)*((Journal!$D$6:$D$1005=TypeEDL)+(Journal!$D$6:$D$1005=TypeBilan6))*Journal!$C$6:$C$1005)))))</f>
        <v/>
      </c>
      <c r="AF67" s="43" t="str">
        <f aca="false">IF($AE67="","",IF(AND(ReglesTransitoires="Oui",EDATE($AE67,AnciennePeriodiciteEDL*12)&lt;DateVigueur),EDATE($AE67,AnciennePeriodiciteEDL*12),EDATE($AE67,PeriodiciteEDL*12)))</f>
        <v/>
      </c>
      <c r="AG67" s="42" t="str">
        <f aca="false">IF($AF67="","",IF(AND($I67&lt;&gt;"",$I67&lt;=DateRef),"",IF($AF67&lt;DateRef,"En retard",IF($AF67-DateRef&lt;=SeuilAlerteEDL,"À prévoir","À jour"))))</f>
        <v/>
      </c>
      <c r="AH67" s="39"/>
      <c r="AI67" s="39"/>
      <c r="AJ67" s="42" t="str">
        <f aca="false">IF(OR($B67="",$H67=""),"",IF(AND($I67&lt;&gt;"",$I67&lt;=DateRef),"",IF(Effectif&lt;SeuilEffectif,"Non concerné (&lt; "&amp;SeuilEffectif&amp;" salariés)",IF($AH67="Oui","Pas de risque",IF(AND(OR($AI67="Non",$S67="En retard"),$AH67="Non"),"Risque abondement",IF(OR($AI67="Non",$S67="En retard"),"À vérifier (formation ?)",IF($AI67="Oui","Pas de risque","À compléter")))))))</f>
        <v/>
      </c>
      <c r="AK67" s="39"/>
    </row>
    <row r="68" customFormat="false" ht="15" hidden="false" customHeight="false" outlineLevel="0" collapsed="false">
      <c r="A68" s="39"/>
      <c r="B68" s="39"/>
      <c r="C68" s="39"/>
      <c r="D68" s="39"/>
      <c r="E68" s="39"/>
      <c r="F68" s="39"/>
      <c r="G68" s="40"/>
      <c r="H68" s="40"/>
      <c r="I68" s="40"/>
      <c r="J68" s="41" t="str">
        <f aca="false">IF(OR($B68="",$H68=""),"",IF($H68&gt;DateRef,0,YEARFRAC($H68,DateRef,1)))</f>
        <v/>
      </c>
      <c r="K68" s="42" t="str">
        <f aca="false">IF(OR($B68="",$H68=""),"",IF(EDATE($H68,12)&lt;=DateRef,"Plus d'un an","Moins d'un an"))</f>
        <v/>
      </c>
      <c r="L68" s="40"/>
      <c r="M68" s="43" t="str">
        <f aca="false">IF(OR($B68="",$A68=""),"",IF(SUMPRODUCT(MAX((Journal!$A$6:$A$1005=$A68)*Journal!$C$6:$C$1005))=0,"",SUMPRODUCT(MAX((Journal!$A$6:$A$1005=$A68)*Journal!$C$6:$C$1005))))</f>
        <v/>
      </c>
      <c r="N68" s="43" t="str">
        <f aca="false">IF($B68="","",IF(MAX($L68,$M68)=0,"",MAX($L68,$M68)))</f>
        <v/>
      </c>
      <c r="O68" s="44" t="str">
        <f aca="false">IF(OR($B68="",$H68=""),"",IF($N68="",IF(EDATE($H68,DelaiPremierEPP)&gt;DateRef,"1er EPP (1re année)","Aucun entretien renseigné"),IF(AND(ReglesTransitoires="Oui",EDATE($N68,AnciennePeriodiciteEP*12)&lt;DateVigueur),"Retard antérieur à la réforme","Périodicité "&amp;PeriodiciteEPP&amp;" ans")))</f>
        <v/>
      </c>
      <c r="P68" s="43" t="str">
        <f aca="false">IF(OR($B68="",$H68=""),"",IF($N68="",EDATE($H68,DelaiPremierEPP),IF(AND(ReglesTransitoires="Oui",EDATE($N68,AnciennePeriodiciteEP*12)&lt;DateVigueur),EDATE($N68,AnciennePeriodiciteEP*12),EDATE($N68,PeriodiciteEPP*12))))</f>
        <v/>
      </c>
      <c r="Q68" s="40"/>
      <c r="R68" s="45" t="str">
        <f aca="false">IF(OR($P68="",AND($I68&lt;&gt;"",$I68&lt;=DateRef)),"",$P68-DateRef)</f>
        <v/>
      </c>
      <c r="S68" s="42" t="str">
        <f aca="false">IF($B68="","",IF(AND($I68&lt;&gt;"",$I68&lt;=DateRef),"Sorti",IF($H68="","À compléter",IF(AND($Q68&lt;&gt;"",$Q68&gt;=DateRef,$Q68&lt;=$P68),"Planifié",IF($R68&lt;0,"En retard",IF($R68&lt;=SeuilAlerteEPP,"À planifier","À jour"))))))</f>
        <v/>
      </c>
      <c r="T68" s="46" t="str">
        <f aca="false">IF(OR($B68="",$S68="Sorti"),"",MID(IF($H68=""," | Date d'embauche manquante","")&amp;IF(AND($K68="Plus d'un an",$N68="")," | Précédent entretien à renseigner (ancienneté &gt; 1 an)","")&amp;IF($O68="Retard antérieur à la réforme"," | Ancien délai de 2 ans expiré avant la réforme","")&amp;IF(AND($N68&lt;&gt;"",$H68&lt;&gt;"",$N68&lt;$H68)," | Entretien antérieur à l'embauche ?","")&amp;IF(AND($N68&lt;&gt;"",$N68&gt;DateRef)," | Entretien daté dans le futur ?","")&amp;IF(AND($Q68&lt;&gt;"",$P68&lt;&gt;"",$Q68&gt;$P68)," | Date prévue après l'échéance","")&amp;IF(AND($Q68&lt;&gt;"",$Q68&lt;DateRef,OR($N68="",$N68&lt;$Q68))," | Entretien prévu passé : le consigner au Journal","")&amp;IF(AND($G68&lt;&gt;"",$X68="",YEAR(DateRef)-YEAR($G68)&gt;=AgeMiCarriere-1,YEAR(DateRef)-YEAR($G68)&lt;=AgeMiCarriere+1)," | Visite de mi-carrière à vérifier",""),4,1000))</f>
        <v/>
      </c>
      <c r="U68" s="39"/>
      <c r="V68" s="40"/>
      <c r="W68" s="42" t="str">
        <f aca="false">IF(OR($B68="",$V68=""),"",IF(AND($I68&lt;&gt;"",$I68&lt;=DateRef),"",IF(AND($N68&lt;&gt;"",$N68&gt;=$V68),"Réalisé",IF(AND($N68&lt;&gt;"",$N68&gt;=EDATE($V68,-FenetreRetour)),"Dispensé (EPP récent)",IF($V68&gt;DateRef,"À prévoir à la reprise","À proposer (reprise passée)")))))</f>
        <v/>
      </c>
      <c r="X68" s="40"/>
      <c r="Y68" s="43" t="str">
        <f aca="false">IF(OR($B68="",$X68=""),"",EDATE($X68,DelaiMiCarriere))</f>
        <v/>
      </c>
      <c r="Z68" s="42" t="str">
        <f aca="false">IF(OR($B68="",$X68=""),"",IF(AND($I68&lt;&gt;"",$I68&lt;=DateRef),"",IF(AND($N68&lt;&gt;"",$N68&gt;=$X68),"Réalisé",IF($Y68&lt;DateRef,"En retard","À planifier"))))</f>
        <v/>
      </c>
      <c r="AA68" s="47" t="str">
        <f aca="false">IF(OR($B68="",$G68=""),"",IF($G68&gt;DateRef,"",DATEDIF($G68,DateRef,"y")))</f>
        <v/>
      </c>
      <c r="AB68" s="43" t="str">
        <f aca="false">IF(OR($B68="",$G68=""),"",EDATE($G68,AgeFinCarriere*12))</f>
        <v/>
      </c>
      <c r="AC68" s="42" t="str">
        <f aca="false">IF(OR($B68="",$G68="",$H68=""),"",IF(AND($I68&lt;&gt;"",$I68&lt;=DateRef),"",IF($AB68&lt;DateVigueur,"Non concerné",IF(AND($N68&lt;&gt;"",$N68&gt;=MAX(EDATE($AB68,-FenetreFinCarriere*12),DateVigueur),$N68&lt;=$AB68),"Réalisé",IF(DateRef&gt;$AB68,"Non réalisé",IF(AND($Q68&lt;&gt;"",$Q68&gt;=EDATE($AB68,-FenetreFinCarriere*12),$Q68&lt;=$AB68),"Planifié dans la fenêtre",IF(AND(MAX($P68,DateRef)&gt;=EDATE($AB68,-FenetreFinCarriere*12),MAX($P68,DateRef)&lt;=$AB68),"Prochain EPP dans la fenêtre",IF(MAX($P68,DateRef)&gt;$AB68,"À programmer avant 60 ans",""))))))))</f>
        <v/>
      </c>
      <c r="AD68" s="40"/>
      <c r="AE68" s="43" t="str">
        <f aca="false">IF(OR($B68="",$H68="",AND($I68&lt;&gt;"",$I68&lt;=DateRef)),"",MAX($H68,$AD68,IF($A68="",0,SUMPRODUCT(MAX((Journal!$A$6:$A$1005=$A68)*((Journal!$D$6:$D$1005=TypeEDL)+(Journal!$D$6:$D$1005=TypeBilan6))*Journal!$C$6:$C$1005)))))</f>
        <v/>
      </c>
      <c r="AF68" s="43" t="str">
        <f aca="false">IF($AE68="","",IF(AND(ReglesTransitoires="Oui",EDATE($AE68,AnciennePeriodiciteEDL*12)&lt;DateVigueur),EDATE($AE68,AnciennePeriodiciteEDL*12),EDATE($AE68,PeriodiciteEDL*12)))</f>
        <v/>
      </c>
      <c r="AG68" s="42" t="str">
        <f aca="false">IF($AF68="","",IF(AND($I68&lt;&gt;"",$I68&lt;=DateRef),"",IF($AF68&lt;DateRef,"En retard",IF($AF68-DateRef&lt;=SeuilAlerteEDL,"À prévoir","À jour"))))</f>
        <v/>
      </c>
      <c r="AH68" s="39"/>
      <c r="AI68" s="39"/>
      <c r="AJ68" s="42" t="str">
        <f aca="false">IF(OR($B68="",$H68=""),"",IF(AND($I68&lt;&gt;"",$I68&lt;=DateRef),"",IF(Effectif&lt;SeuilEffectif,"Non concerné (&lt; "&amp;SeuilEffectif&amp;" salariés)",IF($AH68="Oui","Pas de risque",IF(AND(OR($AI68="Non",$S68="En retard"),$AH68="Non"),"Risque abondement",IF(OR($AI68="Non",$S68="En retard"),"À vérifier (formation ?)",IF($AI68="Oui","Pas de risque","À compléter")))))))</f>
        <v/>
      </c>
      <c r="AK68" s="39"/>
    </row>
    <row r="69" customFormat="false" ht="15" hidden="false" customHeight="false" outlineLevel="0" collapsed="false">
      <c r="A69" s="39"/>
      <c r="B69" s="39"/>
      <c r="C69" s="39"/>
      <c r="D69" s="39"/>
      <c r="E69" s="39"/>
      <c r="F69" s="39"/>
      <c r="G69" s="40"/>
      <c r="H69" s="40"/>
      <c r="I69" s="40"/>
      <c r="J69" s="41" t="str">
        <f aca="false">IF(OR($B69="",$H69=""),"",IF($H69&gt;DateRef,0,YEARFRAC($H69,DateRef,1)))</f>
        <v/>
      </c>
      <c r="K69" s="42" t="str">
        <f aca="false">IF(OR($B69="",$H69=""),"",IF(EDATE($H69,12)&lt;=DateRef,"Plus d'un an","Moins d'un an"))</f>
        <v/>
      </c>
      <c r="L69" s="40"/>
      <c r="M69" s="43" t="str">
        <f aca="false">IF(OR($B69="",$A69=""),"",IF(SUMPRODUCT(MAX((Journal!$A$6:$A$1005=$A69)*Journal!$C$6:$C$1005))=0,"",SUMPRODUCT(MAX((Journal!$A$6:$A$1005=$A69)*Journal!$C$6:$C$1005))))</f>
        <v/>
      </c>
      <c r="N69" s="43" t="str">
        <f aca="false">IF($B69="","",IF(MAX($L69,$M69)=0,"",MAX($L69,$M69)))</f>
        <v/>
      </c>
      <c r="O69" s="44" t="str">
        <f aca="false">IF(OR($B69="",$H69=""),"",IF($N69="",IF(EDATE($H69,DelaiPremierEPP)&gt;DateRef,"1er EPP (1re année)","Aucun entretien renseigné"),IF(AND(ReglesTransitoires="Oui",EDATE($N69,AnciennePeriodiciteEP*12)&lt;DateVigueur),"Retard antérieur à la réforme","Périodicité "&amp;PeriodiciteEPP&amp;" ans")))</f>
        <v/>
      </c>
      <c r="P69" s="43" t="str">
        <f aca="false">IF(OR($B69="",$H69=""),"",IF($N69="",EDATE($H69,DelaiPremierEPP),IF(AND(ReglesTransitoires="Oui",EDATE($N69,AnciennePeriodiciteEP*12)&lt;DateVigueur),EDATE($N69,AnciennePeriodiciteEP*12),EDATE($N69,PeriodiciteEPP*12))))</f>
        <v/>
      </c>
      <c r="Q69" s="40"/>
      <c r="R69" s="45" t="str">
        <f aca="false">IF(OR($P69="",AND($I69&lt;&gt;"",$I69&lt;=DateRef)),"",$P69-DateRef)</f>
        <v/>
      </c>
      <c r="S69" s="42" t="str">
        <f aca="false">IF($B69="","",IF(AND($I69&lt;&gt;"",$I69&lt;=DateRef),"Sorti",IF($H69="","À compléter",IF(AND($Q69&lt;&gt;"",$Q69&gt;=DateRef,$Q69&lt;=$P69),"Planifié",IF($R69&lt;0,"En retard",IF($R69&lt;=SeuilAlerteEPP,"À planifier","À jour"))))))</f>
        <v/>
      </c>
      <c r="T69" s="46" t="str">
        <f aca="false">IF(OR($B69="",$S69="Sorti"),"",MID(IF($H69=""," | Date d'embauche manquante","")&amp;IF(AND($K69="Plus d'un an",$N69="")," | Précédent entretien à renseigner (ancienneté &gt; 1 an)","")&amp;IF($O69="Retard antérieur à la réforme"," | Ancien délai de 2 ans expiré avant la réforme","")&amp;IF(AND($N69&lt;&gt;"",$H69&lt;&gt;"",$N69&lt;$H69)," | Entretien antérieur à l'embauche ?","")&amp;IF(AND($N69&lt;&gt;"",$N69&gt;DateRef)," | Entretien daté dans le futur ?","")&amp;IF(AND($Q69&lt;&gt;"",$P69&lt;&gt;"",$Q69&gt;$P69)," | Date prévue après l'échéance","")&amp;IF(AND($Q69&lt;&gt;"",$Q69&lt;DateRef,OR($N69="",$N69&lt;$Q69))," | Entretien prévu passé : le consigner au Journal","")&amp;IF(AND($G69&lt;&gt;"",$X69="",YEAR(DateRef)-YEAR($G69)&gt;=AgeMiCarriere-1,YEAR(DateRef)-YEAR($G69)&lt;=AgeMiCarriere+1)," | Visite de mi-carrière à vérifier",""),4,1000))</f>
        <v/>
      </c>
      <c r="U69" s="39"/>
      <c r="V69" s="40"/>
      <c r="W69" s="42" t="str">
        <f aca="false">IF(OR($B69="",$V69=""),"",IF(AND($I69&lt;&gt;"",$I69&lt;=DateRef),"",IF(AND($N69&lt;&gt;"",$N69&gt;=$V69),"Réalisé",IF(AND($N69&lt;&gt;"",$N69&gt;=EDATE($V69,-FenetreRetour)),"Dispensé (EPP récent)",IF($V69&gt;DateRef,"À prévoir à la reprise","À proposer (reprise passée)")))))</f>
        <v/>
      </c>
      <c r="X69" s="40"/>
      <c r="Y69" s="43" t="str">
        <f aca="false">IF(OR($B69="",$X69=""),"",EDATE($X69,DelaiMiCarriere))</f>
        <v/>
      </c>
      <c r="Z69" s="42" t="str">
        <f aca="false">IF(OR($B69="",$X69=""),"",IF(AND($I69&lt;&gt;"",$I69&lt;=DateRef),"",IF(AND($N69&lt;&gt;"",$N69&gt;=$X69),"Réalisé",IF($Y69&lt;DateRef,"En retard","À planifier"))))</f>
        <v/>
      </c>
      <c r="AA69" s="47" t="str">
        <f aca="false">IF(OR($B69="",$G69=""),"",IF($G69&gt;DateRef,"",DATEDIF($G69,DateRef,"y")))</f>
        <v/>
      </c>
      <c r="AB69" s="43" t="str">
        <f aca="false">IF(OR($B69="",$G69=""),"",EDATE($G69,AgeFinCarriere*12))</f>
        <v/>
      </c>
      <c r="AC69" s="42" t="str">
        <f aca="false">IF(OR($B69="",$G69="",$H69=""),"",IF(AND($I69&lt;&gt;"",$I69&lt;=DateRef),"",IF($AB69&lt;DateVigueur,"Non concerné",IF(AND($N69&lt;&gt;"",$N69&gt;=MAX(EDATE($AB69,-FenetreFinCarriere*12),DateVigueur),$N69&lt;=$AB69),"Réalisé",IF(DateRef&gt;$AB69,"Non réalisé",IF(AND($Q69&lt;&gt;"",$Q69&gt;=EDATE($AB69,-FenetreFinCarriere*12),$Q69&lt;=$AB69),"Planifié dans la fenêtre",IF(AND(MAX($P69,DateRef)&gt;=EDATE($AB69,-FenetreFinCarriere*12),MAX($P69,DateRef)&lt;=$AB69),"Prochain EPP dans la fenêtre",IF(MAX($P69,DateRef)&gt;$AB69,"À programmer avant 60 ans",""))))))))</f>
        <v/>
      </c>
      <c r="AD69" s="40"/>
      <c r="AE69" s="43" t="str">
        <f aca="false">IF(OR($B69="",$H69="",AND($I69&lt;&gt;"",$I69&lt;=DateRef)),"",MAX($H69,$AD69,IF($A69="",0,SUMPRODUCT(MAX((Journal!$A$6:$A$1005=$A69)*((Journal!$D$6:$D$1005=TypeEDL)+(Journal!$D$6:$D$1005=TypeBilan6))*Journal!$C$6:$C$1005)))))</f>
        <v/>
      </c>
      <c r="AF69" s="43" t="str">
        <f aca="false">IF($AE69="","",IF(AND(ReglesTransitoires="Oui",EDATE($AE69,AnciennePeriodiciteEDL*12)&lt;DateVigueur),EDATE($AE69,AnciennePeriodiciteEDL*12),EDATE($AE69,PeriodiciteEDL*12)))</f>
        <v/>
      </c>
      <c r="AG69" s="42" t="str">
        <f aca="false">IF($AF69="","",IF(AND($I69&lt;&gt;"",$I69&lt;=DateRef),"",IF($AF69&lt;DateRef,"En retard",IF($AF69-DateRef&lt;=SeuilAlerteEDL,"À prévoir","À jour"))))</f>
        <v/>
      </c>
      <c r="AH69" s="39"/>
      <c r="AI69" s="39"/>
      <c r="AJ69" s="42" t="str">
        <f aca="false">IF(OR($B69="",$H69=""),"",IF(AND($I69&lt;&gt;"",$I69&lt;=DateRef),"",IF(Effectif&lt;SeuilEffectif,"Non concerné (&lt; "&amp;SeuilEffectif&amp;" salariés)",IF($AH69="Oui","Pas de risque",IF(AND(OR($AI69="Non",$S69="En retard"),$AH69="Non"),"Risque abondement",IF(OR($AI69="Non",$S69="En retard"),"À vérifier (formation ?)",IF($AI69="Oui","Pas de risque","À compléter")))))))</f>
        <v/>
      </c>
      <c r="AK69" s="39"/>
    </row>
    <row r="70" customFormat="false" ht="15" hidden="false" customHeight="false" outlineLevel="0" collapsed="false">
      <c r="A70" s="39"/>
      <c r="B70" s="39"/>
      <c r="C70" s="39"/>
      <c r="D70" s="39"/>
      <c r="E70" s="39"/>
      <c r="F70" s="39"/>
      <c r="G70" s="40"/>
      <c r="H70" s="40"/>
      <c r="I70" s="40"/>
      <c r="J70" s="41" t="str">
        <f aca="false">IF(OR($B70="",$H70=""),"",IF($H70&gt;DateRef,0,YEARFRAC($H70,DateRef,1)))</f>
        <v/>
      </c>
      <c r="K70" s="42" t="str">
        <f aca="false">IF(OR($B70="",$H70=""),"",IF(EDATE($H70,12)&lt;=DateRef,"Plus d'un an","Moins d'un an"))</f>
        <v/>
      </c>
      <c r="L70" s="40"/>
      <c r="M70" s="43" t="str">
        <f aca="false">IF(OR($B70="",$A70=""),"",IF(SUMPRODUCT(MAX((Journal!$A$6:$A$1005=$A70)*Journal!$C$6:$C$1005))=0,"",SUMPRODUCT(MAX((Journal!$A$6:$A$1005=$A70)*Journal!$C$6:$C$1005))))</f>
        <v/>
      </c>
      <c r="N70" s="43" t="str">
        <f aca="false">IF($B70="","",IF(MAX($L70,$M70)=0,"",MAX($L70,$M70)))</f>
        <v/>
      </c>
      <c r="O70" s="44" t="str">
        <f aca="false">IF(OR($B70="",$H70=""),"",IF($N70="",IF(EDATE($H70,DelaiPremierEPP)&gt;DateRef,"1er EPP (1re année)","Aucun entretien renseigné"),IF(AND(ReglesTransitoires="Oui",EDATE($N70,AnciennePeriodiciteEP*12)&lt;DateVigueur),"Retard antérieur à la réforme","Périodicité "&amp;PeriodiciteEPP&amp;" ans")))</f>
        <v/>
      </c>
      <c r="P70" s="43" t="str">
        <f aca="false">IF(OR($B70="",$H70=""),"",IF($N70="",EDATE($H70,DelaiPremierEPP),IF(AND(ReglesTransitoires="Oui",EDATE($N70,AnciennePeriodiciteEP*12)&lt;DateVigueur),EDATE($N70,AnciennePeriodiciteEP*12),EDATE($N70,PeriodiciteEPP*12))))</f>
        <v/>
      </c>
      <c r="Q70" s="40"/>
      <c r="R70" s="45" t="str">
        <f aca="false">IF(OR($P70="",AND($I70&lt;&gt;"",$I70&lt;=DateRef)),"",$P70-DateRef)</f>
        <v/>
      </c>
      <c r="S70" s="42" t="str">
        <f aca="false">IF($B70="","",IF(AND($I70&lt;&gt;"",$I70&lt;=DateRef),"Sorti",IF($H70="","À compléter",IF(AND($Q70&lt;&gt;"",$Q70&gt;=DateRef,$Q70&lt;=$P70),"Planifié",IF($R70&lt;0,"En retard",IF($R70&lt;=SeuilAlerteEPP,"À planifier","À jour"))))))</f>
        <v/>
      </c>
      <c r="T70" s="46" t="str">
        <f aca="false">IF(OR($B70="",$S70="Sorti"),"",MID(IF($H70=""," | Date d'embauche manquante","")&amp;IF(AND($K70="Plus d'un an",$N70="")," | Précédent entretien à renseigner (ancienneté &gt; 1 an)","")&amp;IF($O70="Retard antérieur à la réforme"," | Ancien délai de 2 ans expiré avant la réforme","")&amp;IF(AND($N70&lt;&gt;"",$H70&lt;&gt;"",$N70&lt;$H70)," | Entretien antérieur à l'embauche ?","")&amp;IF(AND($N70&lt;&gt;"",$N70&gt;DateRef)," | Entretien daté dans le futur ?","")&amp;IF(AND($Q70&lt;&gt;"",$P70&lt;&gt;"",$Q70&gt;$P70)," | Date prévue après l'échéance","")&amp;IF(AND($Q70&lt;&gt;"",$Q70&lt;DateRef,OR($N70="",$N70&lt;$Q70))," | Entretien prévu passé : le consigner au Journal","")&amp;IF(AND($G70&lt;&gt;"",$X70="",YEAR(DateRef)-YEAR($G70)&gt;=AgeMiCarriere-1,YEAR(DateRef)-YEAR($G70)&lt;=AgeMiCarriere+1)," | Visite de mi-carrière à vérifier",""),4,1000))</f>
        <v/>
      </c>
      <c r="U70" s="39"/>
      <c r="V70" s="40"/>
      <c r="W70" s="42" t="str">
        <f aca="false">IF(OR($B70="",$V70=""),"",IF(AND($I70&lt;&gt;"",$I70&lt;=DateRef),"",IF(AND($N70&lt;&gt;"",$N70&gt;=$V70),"Réalisé",IF(AND($N70&lt;&gt;"",$N70&gt;=EDATE($V70,-FenetreRetour)),"Dispensé (EPP récent)",IF($V70&gt;DateRef,"À prévoir à la reprise","À proposer (reprise passée)")))))</f>
        <v/>
      </c>
      <c r="X70" s="40"/>
      <c r="Y70" s="43" t="str">
        <f aca="false">IF(OR($B70="",$X70=""),"",EDATE($X70,DelaiMiCarriere))</f>
        <v/>
      </c>
      <c r="Z70" s="42" t="str">
        <f aca="false">IF(OR($B70="",$X70=""),"",IF(AND($I70&lt;&gt;"",$I70&lt;=DateRef),"",IF(AND($N70&lt;&gt;"",$N70&gt;=$X70),"Réalisé",IF($Y70&lt;DateRef,"En retard","À planifier"))))</f>
        <v/>
      </c>
      <c r="AA70" s="47" t="str">
        <f aca="false">IF(OR($B70="",$G70=""),"",IF($G70&gt;DateRef,"",DATEDIF($G70,DateRef,"y")))</f>
        <v/>
      </c>
      <c r="AB70" s="43" t="str">
        <f aca="false">IF(OR($B70="",$G70=""),"",EDATE($G70,AgeFinCarriere*12))</f>
        <v/>
      </c>
      <c r="AC70" s="42" t="str">
        <f aca="false">IF(OR($B70="",$G70="",$H70=""),"",IF(AND($I70&lt;&gt;"",$I70&lt;=DateRef),"",IF($AB70&lt;DateVigueur,"Non concerné",IF(AND($N70&lt;&gt;"",$N70&gt;=MAX(EDATE($AB70,-FenetreFinCarriere*12),DateVigueur),$N70&lt;=$AB70),"Réalisé",IF(DateRef&gt;$AB70,"Non réalisé",IF(AND($Q70&lt;&gt;"",$Q70&gt;=EDATE($AB70,-FenetreFinCarriere*12),$Q70&lt;=$AB70),"Planifié dans la fenêtre",IF(AND(MAX($P70,DateRef)&gt;=EDATE($AB70,-FenetreFinCarriere*12),MAX($P70,DateRef)&lt;=$AB70),"Prochain EPP dans la fenêtre",IF(MAX($P70,DateRef)&gt;$AB70,"À programmer avant 60 ans",""))))))))</f>
        <v/>
      </c>
      <c r="AD70" s="40"/>
      <c r="AE70" s="43" t="str">
        <f aca="false">IF(OR($B70="",$H70="",AND($I70&lt;&gt;"",$I70&lt;=DateRef)),"",MAX($H70,$AD70,IF($A70="",0,SUMPRODUCT(MAX((Journal!$A$6:$A$1005=$A70)*((Journal!$D$6:$D$1005=TypeEDL)+(Journal!$D$6:$D$1005=TypeBilan6))*Journal!$C$6:$C$1005)))))</f>
        <v/>
      </c>
      <c r="AF70" s="43" t="str">
        <f aca="false">IF($AE70="","",IF(AND(ReglesTransitoires="Oui",EDATE($AE70,AnciennePeriodiciteEDL*12)&lt;DateVigueur),EDATE($AE70,AnciennePeriodiciteEDL*12),EDATE($AE70,PeriodiciteEDL*12)))</f>
        <v/>
      </c>
      <c r="AG70" s="42" t="str">
        <f aca="false">IF($AF70="","",IF(AND($I70&lt;&gt;"",$I70&lt;=DateRef),"",IF($AF70&lt;DateRef,"En retard",IF($AF70-DateRef&lt;=SeuilAlerteEDL,"À prévoir","À jour"))))</f>
        <v/>
      </c>
      <c r="AH70" s="39"/>
      <c r="AI70" s="39"/>
      <c r="AJ70" s="42" t="str">
        <f aca="false">IF(OR($B70="",$H70=""),"",IF(AND($I70&lt;&gt;"",$I70&lt;=DateRef),"",IF(Effectif&lt;SeuilEffectif,"Non concerné (&lt; "&amp;SeuilEffectif&amp;" salariés)",IF($AH70="Oui","Pas de risque",IF(AND(OR($AI70="Non",$S70="En retard"),$AH70="Non"),"Risque abondement",IF(OR($AI70="Non",$S70="En retard"),"À vérifier (formation ?)",IF($AI70="Oui","Pas de risque","À compléter")))))))</f>
        <v/>
      </c>
      <c r="AK70" s="39"/>
    </row>
    <row r="71" customFormat="false" ht="15" hidden="false" customHeight="false" outlineLevel="0" collapsed="false">
      <c r="A71" s="39"/>
      <c r="B71" s="39"/>
      <c r="C71" s="39"/>
      <c r="D71" s="39"/>
      <c r="E71" s="39"/>
      <c r="F71" s="39"/>
      <c r="G71" s="40"/>
      <c r="H71" s="40"/>
      <c r="I71" s="40"/>
      <c r="J71" s="41" t="str">
        <f aca="false">IF(OR($B71="",$H71=""),"",IF($H71&gt;DateRef,0,YEARFRAC($H71,DateRef,1)))</f>
        <v/>
      </c>
      <c r="K71" s="42" t="str">
        <f aca="false">IF(OR($B71="",$H71=""),"",IF(EDATE($H71,12)&lt;=DateRef,"Plus d'un an","Moins d'un an"))</f>
        <v/>
      </c>
      <c r="L71" s="40"/>
      <c r="M71" s="43" t="str">
        <f aca="false">IF(OR($B71="",$A71=""),"",IF(SUMPRODUCT(MAX((Journal!$A$6:$A$1005=$A71)*Journal!$C$6:$C$1005))=0,"",SUMPRODUCT(MAX((Journal!$A$6:$A$1005=$A71)*Journal!$C$6:$C$1005))))</f>
        <v/>
      </c>
      <c r="N71" s="43" t="str">
        <f aca="false">IF($B71="","",IF(MAX($L71,$M71)=0,"",MAX($L71,$M71)))</f>
        <v/>
      </c>
      <c r="O71" s="44" t="str">
        <f aca="false">IF(OR($B71="",$H71=""),"",IF($N71="",IF(EDATE($H71,DelaiPremierEPP)&gt;DateRef,"1er EPP (1re année)","Aucun entretien renseigné"),IF(AND(ReglesTransitoires="Oui",EDATE($N71,AnciennePeriodiciteEP*12)&lt;DateVigueur),"Retard antérieur à la réforme","Périodicité "&amp;PeriodiciteEPP&amp;" ans")))</f>
        <v/>
      </c>
      <c r="P71" s="43" t="str">
        <f aca="false">IF(OR($B71="",$H71=""),"",IF($N71="",EDATE($H71,DelaiPremierEPP),IF(AND(ReglesTransitoires="Oui",EDATE($N71,AnciennePeriodiciteEP*12)&lt;DateVigueur),EDATE($N71,AnciennePeriodiciteEP*12),EDATE($N71,PeriodiciteEPP*12))))</f>
        <v/>
      </c>
      <c r="Q71" s="40"/>
      <c r="R71" s="45" t="str">
        <f aca="false">IF(OR($P71="",AND($I71&lt;&gt;"",$I71&lt;=DateRef)),"",$P71-DateRef)</f>
        <v/>
      </c>
      <c r="S71" s="42" t="str">
        <f aca="false">IF($B71="","",IF(AND($I71&lt;&gt;"",$I71&lt;=DateRef),"Sorti",IF($H71="","À compléter",IF(AND($Q71&lt;&gt;"",$Q71&gt;=DateRef,$Q71&lt;=$P71),"Planifié",IF($R71&lt;0,"En retard",IF($R71&lt;=SeuilAlerteEPP,"À planifier","À jour"))))))</f>
        <v/>
      </c>
      <c r="T71" s="46" t="str">
        <f aca="false">IF(OR($B71="",$S71="Sorti"),"",MID(IF($H71=""," | Date d'embauche manquante","")&amp;IF(AND($K71="Plus d'un an",$N71="")," | Précédent entretien à renseigner (ancienneté &gt; 1 an)","")&amp;IF($O71="Retard antérieur à la réforme"," | Ancien délai de 2 ans expiré avant la réforme","")&amp;IF(AND($N71&lt;&gt;"",$H71&lt;&gt;"",$N71&lt;$H71)," | Entretien antérieur à l'embauche ?","")&amp;IF(AND($N71&lt;&gt;"",$N71&gt;DateRef)," | Entretien daté dans le futur ?","")&amp;IF(AND($Q71&lt;&gt;"",$P71&lt;&gt;"",$Q71&gt;$P71)," | Date prévue après l'échéance","")&amp;IF(AND($Q71&lt;&gt;"",$Q71&lt;DateRef,OR($N71="",$N71&lt;$Q71))," | Entretien prévu passé : le consigner au Journal","")&amp;IF(AND($G71&lt;&gt;"",$X71="",YEAR(DateRef)-YEAR($G71)&gt;=AgeMiCarriere-1,YEAR(DateRef)-YEAR($G71)&lt;=AgeMiCarriere+1)," | Visite de mi-carrière à vérifier",""),4,1000))</f>
        <v/>
      </c>
      <c r="U71" s="39"/>
      <c r="V71" s="40"/>
      <c r="W71" s="42" t="str">
        <f aca="false">IF(OR($B71="",$V71=""),"",IF(AND($I71&lt;&gt;"",$I71&lt;=DateRef),"",IF(AND($N71&lt;&gt;"",$N71&gt;=$V71),"Réalisé",IF(AND($N71&lt;&gt;"",$N71&gt;=EDATE($V71,-FenetreRetour)),"Dispensé (EPP récent)",IF($V71&gt;DateRef,"À prévoir à la reprise","À proposer (reprise passée)")))))</f>
        <v/>
      </c>
      <c r="X71" s="40"/>
      <c r="Y71" s="43" t="str">
        <f aca="false">IF(OR($B71="",$X71=""),"",EDATE($X71,DelaiMiCarriere))</f>
        <v/>
      </c>
      <c r="Z71" s="42" t="str">
        <f aca="false">IF(OR($B71="",$X71=""),"",IF(AND($I71&lt;&gt;"",$I71&lt;=DateRef),"",IF(AND($N71&lt;&gt;"",$N71&gt;=$X71),"Réalisé",IF($Y71&lt;DateRef,"En retard","À planifier"))))</f>
        <v/>
      </c>
      <c r="AA71" s="47" t="str">
        <f aca="false">IF(OR($B71="",$G71=""),"",IF($G71&gt;DateRef,"",DATEDIF($G71,DateRef,"y")))</f>
        <v/>
      </c>
      <c r="AB71" s="43" t="str">
        <f aca="false">IF(OR($B71="",$G71=""),"",EDATE($G71,AgeFinCarriere*12))</f>
        <v/>
      </c>
      <c r="AC71" s="42" t="str">
        <f aca="false">IF(OR($B71="",$G71="",$H71=""),"",IF(AND($I71&lt;&gt;"",$I71&lt;=DateRef),"",IF($AB71&lt;DateVigueur,"Non concerné",IF(AND($N71&lt;&gt;"",$N71&gt;=MAX(EDATE($AB71,-FenetreFinCarriere*12),DateVigueur),$N71&lt;=$AB71),"Réalisé",IF(DateRef&gt;$AB71,"Non réalisé",IF(AND($Q71&lt;&gt;"",$Q71&gt;=EDATE($AB71,-FenetreFinCarriere*12),$Q71&lt;=$AB71),"Planifié dans la fenêtre",IF(AND(MAX($P71,DateRef)&gt;=EDATE($AB71,-FenetreFinCarriere*12),MAX($P71,DateRef)&lt;=$AB71),"Prochain EPP dans la fenêtre",IF(MAX($P71,DateRef)&gt;$AB71,"À programmer avant 60 ans",""))))))))</f>
        <v/>
      </c>
      <c r="AD71" s="40"/>
      <c r="AE71" s="43" t="str">
        <f aca="false">IF(OR($B71="",$H71="",AND($I71&lt;&gt;"",$I71&lt;=DateRef)),"",MAX($H71,$AD71,IF($A71="",0,SUMPRODUCT(MAX((Journal!$A$6:$A$1005=$A71)*((Journal!$D$6:$D$1005=TypeEDL)+(Journal!$D$6:$D$1005=TypeBilan6))*Journal!$C$6:$C$1005)))))</f>
        <v/>
      </c>
      <c r="AF71" s="43" t="str">
        <f aca="false">IF($AE71="","",IF(AND(ReglesTransitoires="Oui",EDATE($AE71,AnciennePeriodiciteEDL*12)&lt;DateVigueur),EDATE($AE71,AnciennePeriodiciteEDL*12),EDATE($AE71,PeriodiciteEDL*12)))</f>
        <v/>
      </c>
      <c r="AG71" s="42" t="str">
        <f aca="false">IF($AF71="","",IF(AND($I71&lt;&gt;"",$I71&lt;=DateRef),"",IF($AF71&lt;DateRef,"En retard",IF($AF71-DateRef&lt;=SeuilAlerteEDL,"À prévoir","À jour"))))</f>
        <v/>
      </c>
      <c r="AH71" s="39"/>
      <c r="AI71" s="39"/>
      <c r="AJ71" s="42" t="str">
        <f aca="false">IF(OR($B71="",$H71=""),"",IF(AND($I71&lt;&gt;"",$I71&lt;=DateRef),"",IF(Effectif&lt;SeuilEffectif,"Non concerné (&lt; "&amp;SeuilEffectif&amp;" salariés)",IF($AH71="Oui","Pas de risque",IF(AND(OR($AI71="Non",$S71="En retard"),$AH71="Non"),"Risque abondement",IF(OR($AI71="Non",$S71="En retard"),"À vérifier (formation ?)",IF($AI71="Oui","Pas de risque","À compléter")))))))</f>
        <v/>
      </c>
      <c r="AK71" s="39"/>
    </row>
    <row r="72" customFormat="false" ht="15" hidden="false" customHeight="false" outlineLevel="0" collapsed="false">
      <c r="A72" s="39"/>
      <c r="B72" s="39"/>
      <c r="C72" s="39"/>
      <c r="D72" s="39"/>
      <c r="E72" s="39"/>
      <c r="F72" s="39"/>
      <c r="G72" s="40"/>
      <c r="H72" s="40"/>
      <c r="I72" s="40"/>
      <c r="J72" s="41" t="str">
        <f aca="false">IF(OR($B72="",$H72=""),"",IF($H72&gt;DateRef,0,YEARFRAC($H72,DateRef,1)))</f>
        <v/>
      </c>
      <c r="K72" s="42" t="str">
        <f aca="false">IF(OR($B72="",$H72=""),"",IF(EDATE($H72,12)&lt;=DateRef,"Plus d'un an","Moins d'un an"))</f>
        <v/>
      </c>
      <c r="L72" s="40"/>
      <c r="M72" s="43" t="str">
        <f aca="false">IF(OR($B72="",$A72=""),"",IF(SUMPRODUCT(MAX((Journal!$A$6:$A$1005=$A72)*Journal!$C$6:$C$1005))=0,"",SUMPRODUCT(MAX((Journal!$A$6:$A$1005=$A72)*Journal!$C$6:$C$1005))))</f>
        <v/>
      </c>
      <c r="N72" s="43" t="str">
        <f aca="false">IF($B72="","",IF(MAX($L72,$M72)=0,"",MAX($L72,$M72)))</f>
        <v/>
      </c>
      <c r="O72" s="44" t="str">
        <f aca="false">IF(OR($B72="",$H72=""),"",IF($N72="",IF(EDATE($H72,DelaiPremierEPP)&gt;DateRef,"1er EPP (1re année)","Aucun entretien renseigné"),IF(AND(ReglesTransitoires="Oui",EDATE($N72,AnciennePeriodiciteEP*12)&lt;DateVigueur),"Retard antérieur à la réforme","Périodicité "&amp;PeriodiciteEPP&amp;" ans")))</f>
        <v/>
      </c>
      <c r="P72" s="43" t="str">
        <f aca="false">IF(OR($B72="",$H72=""),"",IF($N72="",EDATE($H72,DelaiPremierEPP),IF(AND(ReglesTransitoires="Oui",EDATE($N72,AnciennePeriodiciteEP*12)&lt;DateVigueur),EDATE($N72,AnciennePeriodiciteEP*12),EDATE($N72,PeriodiciteEPP*12))))</f>
        <v/>
      </c>
      <c r="Q72" s="40"/>
      <c r="R72" s="45" t="str">
        <f aca="false">IF(OR($P72="",AND($I72&lt;&gt;"",$I72&lt;=DateRef)),"",$P72-DateRef)</f>
        <v/>
      </c>
      <c r="S72" s="42" t="str">
        <f aca="false">IF($B72="","",IF(AND($I72&lt;&gt;"",$I72&lt;=DateRef),"Sorti",IF($H72="","À compléter",IF(AND($Q72&lt;&gt;"",$Q72&gt;=DateRef,$Q72&lt;=$P72),"Planifié",IF($R72&lt;0,"En retard",IF($R72&lt;=SeuilAlerteEPP,"À planifier","À jour"))))))</f>
        <v/>
      </c>
      <c r="T72" s="46" t="str">
        <f aca="false">IF(OR($B72="",$S72="Sorti"),"",MID(IF($H72=""," | Date d'embauche manquante","")&amp;IF(AND($K72="Plus d'un an",$N72="")," | Précédent entretien à renseigner (ancienneté &gt; 1 an)","")&amp;IF($O72="Retard antérieur à la réforme"," | Ancien délai de 2 ans expiré avant la réforme","")&amp;IF(AND($N72&lt;&gt;"",$H72&lt;&gt;"",$N72&lt;$H72)," | Entretien antérieur à l'embauche ?","")&amp;IF(AND($N72&lt;&gt;"",$N72&gt;DateRef)," | Entretien daté dans le futur ?","")&amp;IF(AND($Q72&lt;&gt;"",$P72&lt;&gt;"",$Q72&gt;$P72)," | Date prévue après l'échéance","")&amp;IF(AND($Q72&lt;&gt;"",$Q72&lt;DateRef,OR($N72="",$N72&lt;$Q72))," | Entretien prévu passé : le consigner au Journal","")&amp;IF(AND($G72&lt;&gt;"",$X72="",YEAR(DateRef)-YEAR($G72)&gt;=AgeMiCarriere-1,YEAR(DateRef)-YEAR($G72)&lt;=AgeMiCarriere+1)," | Visite de mi-carrière à vérifier",""),4,1000))</f>
        <v/>
      </c>
      <c r="U72" s="39"/>
      <c r="V72" s="40"/>
      <c r="W72" s="42" t="str">
        <f aca="false">IF(OR($B72="",$V72=""),"",IF(AND($I72&lt;&gt;"",$I72&lt;=DateRef),"",IF(AND($N72&lt;&gt;"",$N72&gt;=$V72),"Réalisé",IF(AND($N72&lt;&gt;"",$N72&gt;=EDATE($V72,-FenetreRetour)),"Dispensé (EPP récent)",IF($V72&gt;DateRef,"À prévoir à la reprise","À proposer (reprise passée)")))))</f>
        <v/>
      </c>
      <c r="X72" s="40"/>
      <c r="Y72" s="43" t="str">
        <f aca="false">IF(OR($B72="",$X72=""),"",EDATE($X72,DelaiMiCarriere))</f>
        <v/>
      </c>
      <c r="Z72" s="42" t="str">
        <f aca="false">IF(OR($B72="",$X72=""),"",IF(AND($I72&lt;&gt;"",$I72&lt;=DateRef),"",IF(AND($N72&lt;&gt;"",$N72&gt;=$X72),"Réalisé",IF($Y72&lt;DateRef,"En retard","À planifier"))))</f>
        <v/>
      </c>
      <c r="AA72" s="47" t="str">
        <f aca="false">IF(OR($B72="",$G72=""),"",IF($G72&gt;DateRef,"",DATEDIF($G72,DateRef,"y")))</f>
        <v/>
      </c>
      <c r="AB72" s="43" t="str">
        <f aca="false">IF(OR($B72="",$G72=""),"",EDATE($G72,AgeFinCarriere*12))</f>
        <v/>
      </c>
      <c r="AC72" s="42" t="str">
        <f aca="false">IF(OR($B72="",$G72="",$H72=""),"",IF(AND($I72&lt;&gt;"",$I72&lt;=DateRef),"",IF($AB72&lt;DateVigueur,"Non concerné",IF(AND($N72&lt;&gt;"",$N72&gt;=MAX(EDATE($AB72,-FenetreFinCarriere*12),DateVigueur),$N72&lt;=$AB72),"Réalisé",IF(DateRef&gt;$AB72,"Non réalisé",IF(AND($Q72&lt;&gt;"",$Q72&gt;=EDATE($AB72,-FenetreFinCarriere*12),$Q72&lt;=$AB72),"Planifié dans la fenêtre",IF(AND(MAX($P72,DateRef)&gt;=EDATE($AB72,-FenetreFinCarriere*12),MAX($P72,DateRef)&lt;=$AB72),"Prochain EPP dans la fenêtre",IF(MAX($P72,DateRef)&gt;$AB72,"À programmer avant 60 ans",""))))))))</f>
        <v/>
      </c>
      <c r="AD72" s="40"/>
      <c r="AE72" s="43" t="str">
        <f aca="false">IF(OR($B72="",$H72="",AND($I72&lt;&gt;"",$I72&lt;=DateRef)),"",MAX($H72,$AD72,IF($A72="",0,SUMPRODUCT(MAX((Journal!$A$6:$A$1005=$A72)*((Journal!$D$6:$D$1005=TypeEDL)+(Journal!$D$6:$D$1005=TypeBilan6))*Journal!$C$6:$C$1005)))))</f>
        <v/>
      </c>
      <c r="AF72" s="43" t="str">
        <f aca="false">IF($AE72="","",IF(AND(ReglesTransitoires="Oui",EDATE($AE72,AnciennePeriodiciteEDL*12)&lt;DateVigueur),EDATE($AE72,AnciennePeriodiciteEDL*12),EDATE($AE72,PeriodiciteEDL*12)))</f>
        <v/>
      </c>
      <c r="AG72" s="42" t="str">
        <f aca="false">IF($AF72="","",IF(AND($I72&lt;&gt;"",$I72&lt;=DateRef),"",IF($AF72&lt;DateRef,"En retard",IF($AF72-DateRef&lt;=SeuilAlerteEDL,"À prévoir","À jour"))))</f>
        <v/>
      </c>
      <c r="AH72" s="39"/>
      <c r="AI72" s="39"/>
      <c r="AJ72" s="42" t="str">
        <f aca="false">IF(OR($B72="",$H72=""),"",IF(AND($I72&lt;&gt;"",$I72&lt;=DateRef),"",IF(Effectif&lt;SeuilEffectif,"Non concerné (&lt; "&amp;SeuilEffectif&amp;" salariés)",IF($AH72="Oui","Pas de risque",IF(AND(OR($AI72="Non",$S72="En retard"),$AH72="Non"),"Risque abondement",IF(OR($AI72="Non",$S72="En retard"),"À vérifier (formation ?)",IF($AI72="Oui","Pas de risque","À compléter")))))))</f>
        <v/>
      </c>
      <c r="AK72" s="39"/>
    </row>
    <row r="73" customFormat="false" ht="15" hidden="false" customHeight="false" outlineLevel="0" collapsed="false">
      <c r="A73" s="39"/>
      <c r="B73" s="39"/>
      <c r="C73" s="39"/>
      <c r="D73" s="39"/>
      <c r="E73" s="39"/>
      <c r="F73" s="39"/>
      <c r="G73" s="40"/>
      <c r="H73" s="40"/>
      <c r="I73" s="40"/>
      <c r="J73" s="41" t="str">
        <f aca="false">IF(OR($B73="",$H73=""),"",IF($H73&gt;DateRef,0,YEARFRAC($H73,DateRef,1)))</f>
        <v/>
      </c>
      <c r="K73" s="42" t="str">
        <f aca="false">IF(OR($B73="",$H73=""),"",IF(EDATE($H73,12)&lt;=DateRef,"Plus d'un an","Moins d'un an"))</f>
        <v/>
      </c>
      <c r="L73" s="40"/>
      <c r="M73" s="43" t="str">
        <f aca="false">IF(OR($B73="",$A73=""),"",IF(SUMPRODUCT(MAX((Journal!$A$6:$A$1005=$A73)*Journal!$C$6:$C$1005))=0,"",SUMPRODUCT(MAX((Journal!$A$6:$A$1005=$A73)*Journal!$C$6:$C$1005))))</f>
        <v/>
      </c>
      <c r="N73" s="43" t="str">
        <f aca="false">IF($B73="","",IF(MAX($L73,$M73)=0,"",MAX($L73,$M73)))</f>
        <v/>
      </c>
      <c r="O73" s="44" t="str">
        <f aca="false">IF(OR($B73="",$H73=""),"",IF($N73="",IF(EDATE($H73,DelaiPremierEPP)&gt;DateRef,"1er EPP (1re année)","Aucun entretien renseigné"),IF(AND(ReglesTransitoires="Oui",EDATE($N73,AnciennePeriodiciteEP*12)&lt;DateVigueur),"Retard antérieur à la réforme","Périodicité "&amp;PeriodiciteEPP&amp;" ans")))</f>
        <v/>
      </c>
      <c r="P73" s="43" t="str">
        <f aca="false">IF(OR($B73="",$H73=""),"",IF($N73="",EDATE($H73,DelaiPremierEPP),IF(AND(ReglesTransitoires="Oui",EDATE($N73,AnciennePeriodiciteEP*12)&lt;DateVigueur),EDATE($N73,AnciennePeriodiciteEP*12),EDATE($N73,PeriodiciteEPP*12))))</f>
        <v/>
      </c>
      <c r="Q73" s="40"/>
      <c r="R73" s="45" t="str">
        <f aca="false">IF(OR($P73="",AND($I73&lt;&gt;"",$I73&lt;=DateRef)),"",$P73-DateRef)</f>
        <v/>
      </c>
      <c r="S73" s="42" t="str">
        <f aca="false">IF($B73="","",IF(AND($I73&lt;&gt;"",$I73&lt;=DateRef),"Sorti",IF($H73="","À compléter",IF(AND($Q73&lt;&gt;"",$Q73&gt;=DateRef,$Q73&lt;=$P73),"Planifié",IF($R73&lt;0,"En retard",IF($R73&lt;=SeuilAlerteEPP,"À planifier","À jour"))))))</f>
        <v/>
      </c>
      <c r="T73" s="46" t="str">
        <f aca="false">IF(OR($B73="",$S73="Sorti"),"",MID(IF($H73=""," | Date d'embauche manquante","")&amp;IF(AND($K73="Plus d'un an",$N73="")," | Précédent entretien à renseigner (ancienneté &gt; 1 an)","")&amp;IF($O73="Retard antérieur à la réforme"," | Ancien délai de 2 ans expiré avant la réforme","")&amp;IF(AND($N73&lt;&gt;"",$H73&lt;&gt;"",$N73&lt;$H73)," | Entretien antérieur à l'embauche ?","")&amp;IF(AND($N73&lt;&gt;"",$N73&gt;DateRef)," | Entretien daté dans le futur ?","")&amp;IF(AND($Q73&lt;&gt;"",$P73&lt;&gt;"",$Q73&gt;$P73)," | Date prévue après l'échéance","")&amp;IF(AND($Q73&lt;&gt;"",$Q73&lt;DateRef,OR($N73="",$N73&lt;$Q73))," | Entretien prévu passé : le consigner au Journal","")&amp;IF(AND($G73&lt;&gt;"",$X73="",YEAR(DateRef)-YEAR($G73)&gt;=AgeMiCarriere-1,YEAR(DateRef)-YEAR($G73)&lt;=AgeMiCarriere+1)," | Visite de mi-carrière à vérifier",""),4,1000))</f>
        <v/>
      </c>
      <c r="U73" s="39"/>
      <c r="V73" s="40"/>
      <c r="W73" s="42" t="str">
        <f aca="false">IF(OR($B73="",$V73=""),"",IF(AND($I73&lt;&gt;"",$I73&lt;=DateRef),"",IF(AND($N73&lt;&gt;"",$N73&gt;=$V73),"Réalisé",IF(AND($N73&lt;&gt;"",$N73&gt;=EDATE($V73,-FenetreRetour)),"Dispensé (EPP récent)",IF($V73&gt;DateRef,"À prévoir à la reprise","À proposer (reprise passée)")))))</f>
        <v/>
      </c>
      <c r="X73" s="40"/>
      <c r="Y73" s="43" t="str">
        <f aca="false">IF(OR($B73="",$X73=""),"",EDATE($X73,DelaiMiCarriere))</f>
        <v/>
      </c>
      <c r="Z73" s="42" t="str">
        <f aca="false">IF(OR($B73="",$X73=""),"",IF(AND($I73&lt;&gt;"",$I73&lt;=DateRef),"",IF(AND($N73&lt;&gt;"",$N73&gt;=$X73),"Réalisé",IF($Y73&lt;DateRef,"En retard","À planifier"))))</f>
        <v/>
      </c>
      <c r="AA73" s="47" t="str">
        <f aca="false">IF(OR($B73="",$G73=""),"",IF($G73&gt;DateRef,"",DATEDIF($G73,DateRef,"y")))</f>
        <v/>
      </c>
      <c r="AB73" s="43" t="str">
        <f aca="false">IF(OR($B73="",$G73=""),"",EDATE($G73,AgeFinCarriere*12))</f>
        <v/>
      </c>
      <c r="AC73" s="42" t="str">
        <f aca="false">IF(OR($B73="",$G73="",$H73=""),"",IF(AND($I73&lt;&gt;"",$I73&lt;=DateRef),"",IF($AB73&lt;DateVigueur,"Non concerné",IF(AND($N73&lt;&gt;"",$N73&gt;=MAX(EDATE($AB73,-FenetreFinCarriere*12),DateVigueur),$N73&lt;=$AB73),"Réalisé",IF(DateRef&gt;$AB73,"Non réalisé",IF(AND($Q73&lt;&gt;"",$Q73&gt;=EDATE($AB73,-FenetreFinCarriere*12),$Q73&lt;=$AB73),"Planifié dans la fenêtre",IF(AND(MAX($P73,DateRef)&gt;=EDATE($AB73,-FenetreFinCarriere*12),MAX($P73,DateRef)&lt;=$AB73),"Prochain EPP dans la fenêtre",IF(MAX($P73,DateRef)&gt;$AB73,"À programmer avant 60 ans",""))))))))</f>
        <v/>
      </c>
      <c r="AD73" s="40"/>
      <c r="AE73" s="43" t="str">
        <f aca="false">IF(OR($B73="",$H73="",AND($I73&lt;&gt;"",$I73&lt;=DateRef)),"",MAX($H73,$AD73,IF($A73="",0,SUMPRODUCT(MAX((Journal!$A$6:$A$1005=$A73)*((Journal!$D$6:$D$1005=TypeEDL)+(Journal!$D$6:$D$1005=TypeBilan6))*Journal!$C$6:$C$1005)))))</f>
        <v/>
      </c>
      <c r="AF73" s="43" t="str">
        <f aca="false">IF($AE73="","",IF(AND(ReglesTransitoires="Oui",EDATE($AE73,AnciennePeriodiciteEDL*12)&lt;DateVigueur),EDATE($AE73,AnciennePeriodiciteEDL*12),EDATE($AE73,PeriodiciteEDL*12)))</f>
        <v/>
      </c>
      <c r="AG73" s="42" t="str">
        <f aca="false">IF($AF73="","",IF(AND($I73&lt;&gt;"",$I73&lt;=DateRef),"",IF($AF73&lt;DateRef,"En retard",IF($AF73-DateRef&lt;=SeuilAlerteEDL,"À prévoir","À jour"))))</f>
        <v/>
      </c>
      <c r="AH73" s="39"/>
      <c r="AI73" s="39"/>
      <c r="AJ73" s="42" t="str">
        <f aca="false">IF(OR($B73="",$H73=""),"",IF(AND($I73&lt;&gt;"",$I73&lt;=DateRef),"",IF(Effectif&lt;SeuilEffectif,"Non concerné (&lt; "&amp;SeuilEffectif&amp;" salariés)",IF($AH73="Oui","Pas de risque",IF(AND(OR($AI73="Non",$S73="En retard"),$AH73="Non"),"Risque abondement",IF(OR($AI73="Non",$S73="En retard"),"À vérifier (formation ?)",IF($AI73="Oui","Pas de risque","À compléter")))))))</f>
        <v/>
      </c>
      <c r="AK73" s="39"/>
    </row>
    <row r="74" customFormat="false" ht="15" hidden="false" customHeight="false" outlineLevel="0" collapsed="false">
      <c r="A74" s="39"/>
      <c r="B74" s="39"/>
      <c r="C74" s="39"/>
      <c r="D74" s="39"/>
      <c r="E74" s="39"/>
      <c r="F74" s="39"/>
      <c r="G74" s="40"/>
      <c r="H74" s="40"/>
      <c r="I74" s="40"/>
      <c r="J74" s="41" t="str">
        <f aca="false">IF(OR($B74="",$H74=""),"",IF($H74&gt;DateRef,0,YEARFRAC($H74,DateRef,1)))</f>
        <v/>
      </c>
      <c r="K74" s="42" t="str">
        <f aca="false">IF(OR($B74="",$H74=""),"",IF(EDATE($H74,12)&lt;=DateRef,"Plus d'un an","Moins d'un an"))</f>
        <v/>
      </c>
      <c r="L74" s="40"/>
      <c r="M74" s="43" t="str">
        <f aca="false">IF(OR($B74="",$A74=""),"",IF(SUMPRODUCT(MAX((Journal!$A$6:$A$1005=$A74)*Journal!$C$6:$C$1005))=0,"",SUMPRODUCT(MAX((Journal!$A$6:$A$1005=$A74)*Journal!$C$6:$C$1005))))</f>
        <v/>
      </c>
      <c r="N74" s="43" t="str">
        <f aca="false">IF($B74="","",IF(MAX($L74,$M74)=0,"",MAX($L74,$M74)))</f>
        <v/>
      </c>
      <c r="O74" s="44" t="str">
        <f aca="false">IF(OR($B74="",$H74=""),"",IF($N74="",IF(EDATE($H74,DelaiPremierEPP)&gt;DateRef,"1er EPP (1re année)","Aucun entretien renseigné"),IF(AND(ReglesTransitoires="Oui",EDATE($N74,AnciennePeriodiciteEP*12)&lt;DateVigueur),"Retard antérieur à la réforme","Périodicité "&amp;PeriodiciteEPP&amp;" ans")))</f>
        <v/>
      </c>
      <c r="P74" s="43" t="str">
        <f aca="false">IF(OR($B74="",$H74=""),"",IF($N74="",EDATE($H74,DelaiPremierEPP),IF(AND(ReglesTransitoires="Oui",EDATE($N74,AnciennePeriodiciteEP*12)&lt;DateVigueur),EDATE($N74,AnciennePeriodiciteEP*12),EDATE($N74,PeriodiciteEPP*12))))</f>
        <v/>
      </c>
      <c r="Q74" s="40"/>
      <c r="R74" s="45" t="str">
        <f aca="false">IF(OR($P74="",AND($I74&lt;&gt;"",$I74&lt;=DateRef)),"",$P74-DateRef)</f>
        <v/>
      </c>
      <c r="S74" s="42" t="str">
        <f aca="false">IF($B74="","",IF(AND($I74&lt;&gt;"",$I74&lt;=DateRef),"Sorti",IF($H74="","À compléter",IF(AND($Q74&lt;&gt;"",$Q74&gt;=DateRef,$Q74&lt;=$P74),"Planifié",IF($R74&lt;0,"En retard",IF($R74&lt;=SeuilAlerteEPP,"À planifier","À jour"))))))</f>
        <v/>
      </c>
      <c r="T74" s="46" t="str">
        <f aca="false">IF(OR($B74="",$S74="Sorti"),"",MID(IF($H74=""," | Date d'embauche manquante","")&amp;IF(AND($K74="Plus d'un an",$N74="")," | Précédent entretien à renseigner (ancienneté &gt; 1 an)","")&amp;IF($O74="Retard antérieur à la réforme"," | Ancien délai de 2 ans expiré avant la réforme","")&amp;IF(AND($N74&lt;&gt;"",$H74&lt;&gt;"",$N74&lt;$H74)," | Entretien antérieur à l'embauche ?","")&amp;IF(AND($N74&lt;&gt;"",$N74&gt;DateRef)," | Entretien daté dans le futur ?","")&amp;IF(AND($Q74&lt;&gt;"",$P74&lt;&gt;"",$Q74&gt;$P74)," | Date prévue après l'échéance","")&amp;IF(AND($Q74&lt;&gt;"",$Q74&lt;DateRef,OR($N74="",$N74&lt;$Q74))," | Entretien prévu passé : le consigner au Journal","")&amp;IF(AND($G74&lt;&gt;"",$X74="",YEAR(DateRef)-YEAR($G74)&gt;=AgeMiCarriere-1,YEAR(DateRef)-YEAR($G74)&lt;=AgeMiCarriere+1)," | Visite de mi-carrière à vérifier",""),4,1000))</f>
        <v/>
      </c>
      <c r="U74" s="39"/>
      <c r="V74" s="40"/>
      <c r="W74" s="42" t="str">
        <f aca="false">IF(OR($B74="",$V74=""),"",IF(AND($I74&lt;&gt;"",$I74&lt;=DateRef),"",IF(AND($N74&lt;&gt;"",$N74&gt;=$V74),"Réalisé",IF(AND($N74&lt;&gt;"",$N74&gt;=EDATE($V74,-FenetreRetour)),"Dispensé (EPP récent)",IF($V74&gt;DateRef,"À prévoir à la reprise","À proposer (reprise passée)")))))</f>
        <v/>
      </c>
      <c r="X74" s="40"/>
      <c r="Y74" s="43" t="str">
        <f aca="false">IF(OR($B74="",$X74=""),"",EDATE($X74,DelaiMiCarriere))</f>
        <v/>
      </c>
      <c r="Z74" s="42" t="str">
        <f aca="false">IF(OR($B74="",$X74=""),"",IF(AND($I74&lt;&gt;"",$I74&lt;=DateRef),"",IF(AND($N74&lt;&gt;"",$N74&gt;=$X74),"Réalisé",IF($Y74&lt;DateRef,"En retard","À planifier"))))</f>
        <v/>
      </c>
      <c r="AA74" s="47" t="str">
        <f aca="false">IF(OR($B74="",$G74=""),"",IF($G74&gt;DateRef,"",DATEDIF($G74,DateRef,"y")))</f>
        <v/>
      </c>
      <c r="AB74" s="43" t="str">
        <f aca="false">IF(OR($B74="",$G74=""),"",EDATE($G74,AgeFinCarriere*12))</f>
        <v/>
      </c>
      <c r="AC74" s="42" t="str">
        <f aca="false">IF(OR($B74="",$G74="",$H74=""),"",IF(AND($I74&lt;&gt;"",$I74&lt;=DateRef),"",IF($AB74&lt;DateVigueur,"Non concerné",IF(AND($N74&lt;&gt;"",$N74&gt;=MAX(EDATE($AB74,-FenetreFinCarriere*12),DateVigueur),$N74&lt;=$AB74),"Réalisé",IF(DateRef&gt;$AB74,"Non réalisé",IF(AND($Q74&lt;&gt;"",$Q74&gt;=EDATE($AB74,-FenetreFinCarriere*12),$Q74&lt;=$AB74),"Planifié dans la fenêtre",IF(AND(MAX($P74,DateRef)&gt;=EDATE($AB74,-FenetreFinCarriere*12),MAX($P74,DateRef)&lt;=$AB74),"Prochain EPP dans la fenêtre",IF(MAX($P74,DateRef)&gt;$AB74,"À programmer avant 60 ans",""))))))))</f>
        <v/>
      </c>
      <c r="AD74" s="40"/>
      <c r="AE74" s="43" t="str">
        <f aca="false">IF(OR($B74="",$H74="",AND($I74&lt;&gt;"",$I74&lt;=DateRef)),"",MAX($H74,$AD74,IF($A74="",0,SUMPRODUCT(MAX((Journal!$A$6:$A$1005=$A74)*((Journal!$D$6:$D$1005=TypeEDL)+(Journal!$D$6:$D$1005=TypeBilan6))*Journal!$C$6:$C$1005)))))</f>
        <v/>
      </c>
      <c r="AF74" s="43" t="str">
        <f aca="false">IF($AE74="","",IF(AND(ReglesTransitoires="Oui",EDATE($AE74,AnciennePeriodiciteEDL*12)&lt;DateVigueur),EDATE($AE74,AnciennePeriodiciteEDL*12),EDATE($AE74,PeriodiciteEDL*12)))</f>
        <v/>
      </c>
      <c r="AG74" s="42" t="str">
        <f aca="false">IF($AF74="","",IF(AND($I74&lt;&gt;"",$I74&lt;=DateRef),"",IF($AF74&lt;DateRef,"En retard",IF($AF74-DateRef&lt;=SeuilAlerteEDL,"À prévoir","À jour"))))</f>
        <v/>
      </c>
      <c r="AH74" s="39"/>
      <c r="AI74" s="39"/>
      <c r="AJ74" s="42" t="str">
        <f aca="false">IF(OR($B74="",$H74=""),"",IF(AND($I74&lt;&gt;"",$I74&lt;=DateRef),"",IF(Effectif&lt;SeuilEffectif,"Non concerné (&lt; "&amp;SeuilEffectif&amp;" salariés)",IF($AH74="Oui","Pas de risque",IF(AND(OR($AI74="Non",$S74="En retard"),$AH74="Non"),"Risque abondement",IF(OR($AI74="Non",$S74="En retard"),"À vérifier (formation ?)",IF($AI74="Oui","Pas de risque","À compléter")))))))</f>
        <v/>
      </c>
      <c r="AK74" s="39"/>
    </row>
    <row r="75" customFormat="false" ht="15" hidden="false" customHeight="false" outlineLevel="0" collapsed="false">
      <c r="A75" s="39"/>
      <c r="B75" s="39"/>
      <c r="C75" s="39"/>
      <c r="D75" s="39"/>
      <c r="E75" s="39"/>
      <c r="F75" s="39"/>
      <c r="G75" s="40"/>
      <c r="H75" s="40"/>
      <c r="I75" s="40"/>
      <c r="J75" s="41" t="str">
        <f aca="false">IF(OR($B75="",$H75=""),"",IF($H75&gt;DateRef,0,YEARFRAC($H75,DateRef,1)))</f>
        <v/>
      </c>
      <c r="K75" s="42" t="str">
        <f aca="false">IF(OR($B75="",$H75=""),"",IF(EDATE($H75,12)&lt;=DateRef,"Plus d'un an","Moins d'un an"))</f>
        <v/>
      </c>
      <c r="L75" s="40"/>
      <c r="M75" s="43" t="str">
        <f aca="false">IF(OR($B75="",$A75=""),"",IF(SUMPRODUCT(MAX((Journal!$A$6:$A$1005=$A75)*Journal!$C$6:$C$1005))=0,"",SUMPRODUCT(MAX((Journal!$A$6:$A$1005=$A75)*Journal!$C$6:$C$1005))))</f>
        <v/>
      </c>
      <c r="N75" s="43" t="str">
        <f aca="false">IF($B75="","",IF(MAX($L75,$M75)=0,"",MAX($L75,$M75)))</f>
        <v/>
      </c>
      <c r="O75" s="44" t="str">
        <f aca="false">IF(OR($B75="",$H75=""),"",IF($N75="",IF(EDATE($H75,DelaiPremierEPP)&gt;DateRef,"1er EPP (1re année)","Aucun entretien renseigné"),IF(AND(ReglesTransitoires="Oui",EDATE($N75,AnciennePeriodiciteEP*12)&lt;DateVigueur),"Retard antérieur à la réforme","Périodicité "&amp;PeriodiciteEPP&amp;" ans")))</f>
        <v/>
      </c>
      <c r="P75" s="43" t="str">
        <f aca="false">IF(OR($B75="",$H75=""),"",IF($N75="",EDATE($H75,DelaiPremierEPP),IF(AND(ReglesTransitoires="Oui",EDATE($N75,AnciennePeriodiciteEP*12)&lt;DateVigueur),EDATE($N75,AnciennePeriodiciteEP*12),EDATE($N75,PeriodiciteEPP*12))))</f>
        <v/>
      </c>
      <c r="Q75" s="40"/>
      <c r="R75" s="45" t="str">
        <f aca="false">IF(OR($P75="",AND($I75&lt;&gt;"",$I75&lt;=DateRef)),"",$P75-DateRef)</f>
        <v/>
      </c>
      <c r="S75" s="42" t="str">
        <f aca="false">IF($B75="","",IF(AND($I75&lt;&gt;"",$I75&lt;=DateRef),"Sorti",IF($H75="","À compléter",IF(AND($Q75&lt;&gt;"",$Q75&gt;=DateRef,$Q75&lt;=$P75),"Planifié",IF($R75&lt;0,"En retard",IF($R75&lt;=SeuilAlerteEPP,"À planifier","À jour"))))))</f>
        <v/>
      </c>
      <c r="T75" s="46" t="str">
        <f aca="false">IF(OR($B75="",$S75="Sorti"),"",MID(IF($H75=""," | Date d'embauche manquante","")&amp;IF(AND($K75="Plus d'un an",$N75="")," | Précédent entretien à renseigner (ancienneté &gt; 1 an)","")&amp;IF($O75="Retard antérieur à la réforme"," | Ancien délai de 2 ans expiré avant la réforme","")&amp;IF(AND($N75&lt;&gt;"",$H75&lt;&gt;"",$N75&lt;$H75)," | Entretien antérieur à l'embauche ?","")&amp;IF(AND($N75&lt;&gt;"",$N75&gt;DateRef)," | Entretien daté dans le futur ?","")&amp;IF(AND($Q75&lt;&gt;"",$P75&lt;&gt;"",$Q75&gt;$P75)," | Date prévue après l'échéance","")&amp;IF(AND($Q75&lt;&gt;"",$Q75&lt;DateRef,OR($N75="",$N75&lt;$Q75))," | Entretien prévu passé : le consigner au Journal","")&amp;IF(AND($G75&lt;&gt;"",$X75="",YEAR(DateRef)-YEAR($G75)&gt;=AgeMiCarriere-1,YEAR(DateRef)-YEAR($G75)&lt;=AgeMiCarriere+1)," | Visite de mi-carrière à vérifier",""),4,1000))</f>
        <v/>
      </c>
      <c r="U75" s="39"/>
      <c r="V75" s="40"/>
      <c r="W75" s="42" t="str">
        <f aca="false">IF(OR($B75="",$V75=""),"",IF(AND($I75&lt;&gt;"",$I75&lt;=DateRef),"",IF(AND($N75&lt;&gt;"",$N75&gt;=$V75),"Réalisé",IF(AND($N75&lt;&gt;"",$N75&gt;=EDATE($V75,-FenetreRetour)),"Dispensé (EPP récent)",IF($V75&gt;DateRef,"À prévoir à la reprise","À proposer (reprise passée)")))))</f>
        <v/>
      </c>
      <c r="X75" s="40"/>
      <c r="Y75" s="43" t="str">
        <f aca="false">IF(OR($B75="",$X75=""),"",EDATE($X75,DelaiMiCarriere))</f>
        <v/>
      </c>
      <c r="Z75" s="42" t="str">
        <f aca="false">IF(OR($B75="",$X75=""),"",IF(AND($I75&lt;&gt;"",$I75&lt;=DateRef),"",IF(AND($N75&lt;&gt;"",$N75&gt;=$X75),"Réalisé",IF($Y75&lt;DateRef,"En retard","À planifier"))))</f>
        <v/>
      </c>
      <c r="AA75" s="47" t="str">
        <f aca="false">IF(OR($B75="",$G75=""),"",IF($G75&gt;DateRef,"",DATEDIF($G75,DateRef,"y")))</f>
        <v/>
      </c>
      <c r="AB75" s="43" t="str">
        <f aca="false">IF(OR($B75="",$G75=""),"",EDATE($G75,AgeFinCarriere*12))</f>
        <v/>
      </c>
      <c r="AC75" s="42" t="str">
        <f aca="false">IF(OR($B75="",$G75="",$H75=""),"",IF(AND($I75&lt;&gt;"",$I75&lt;=DateRef),"",IF($AB75&lt;DateVigueur,"Non concerné",IF(AND($N75&lt;&gt;"",$N75&gt;=MAX(EDATE($AB75,-FenetreFinCarriere*12),DateVigueur),$N75&lt;=$AB75),"Réalisé",IF(DateRef&gt;$AB75,"Non réalisé",IF(AND($Q75&lt;&gt;"",$Q75&gt;=EDATE($AB75,-FenetreFinCarriere*12),$Q75&lt;=$AB75),"Planifié dans la fenêtre",IF(AND(MAX($P75,DateRef)&gt;=EDATE($AB75,-FenetreFinCarriere*12),MAX($P75,DateRef)&lt;=$AB75),"Prochain EPP dans la fenêtre",IF(MAX($P75,DateRef)&gt;$AB75,"À programmer avant 60 ans",""))))))))</f>
        <v/>
      </c>
      <c r="AD75" s="40"/>
      <c r="AE75" s="43" t="str">
        <f aca="false">IF(OR($B75="",$H75="",AND($I75&lt;&gt;"",$I75&lt;=DateRef)),"",MAX($H75,$AD75,IF($A75="",0,SUMPRODUCT(MAX((Journal!$A$6:$A$1005=$A75)*((Journal!$D$6:$D$1005=TypeEDL)+(Journal!$D$6:$D$1005=TypeBilan6))*Journal!$C$6:$C$1005)))))</f>
        <v/>
      </c>
      <c r="AF75" s="43" t="str">
        <f aca="false">IF($AE75="","",IF(AND(ReglesTransitoires="Oui",EDATE($AE75,AnciennePeriodiciteEDL*12)&lt;DateVigueur),EDATE($AE75,AnciennePeriodiciteEDL*12),EDATE($AE75,PeriodiciteEDL*12)))</f>
        <v/>
      </c>
      <c r="AG75" s="42" t="str">
        <f aca="false">IF($AF75="","",IF(AND($I75&lt;&gt;"",$I75&lt;=DateRef),"",IF($AF75&lt;DateRef,"En retard",IF($AF75-DateRef&lt;=SeuilAlerteEDL,"À prévoir","À jour"))))</f>
        <v/>
      </c>
      <c r="AH75" s="39"/>
      <c r="AI75" s="39"/>
      <c r="AJ75" s="42" t="str">
        <f aca="false">IF(OR($B75="",$H75=""),"",IF(AND($I75&lt;&gt;"",$I75&lt;=DateRef),"",IF(Effectif&lt;SeuilEffectif,"Non concerné (&lt; "&amp;SeuilEffectif&amp;" salariés)",IF($AH75="Oui","Pas de risque",IF(AND(OR($AI75="Non",$S75="En retard"),$AH75="Non"),"Risque abondement",IF(OR($AI75="Non",$S75="En retard"),"À vérifier (formation ?)",IF($AI75="Oui","Pas de risque","À compléter")))))))</f>
        <v/>
      </c>
      <c r="AK75" s="39"/>
    </row>
    <row r="76" customFormat="false" ht="15" hidden="false" customHeight="false" outlineLevel="0" collapsed="false">
      <c r="A76" s="39"/>
      <c r="B76" s="39"/>
      <c r="C76" s="39"/>
      <c r="D76" s="39"/>
      <c r="E76" s="39"/>
      <c r="F76" s="39"/>
      <c r="G76" s="40"/>
      <c r="H76" s="40"/>
      <c r="I76" s="40"/>
      <c r="J76" s="41" t="str">
        <f aca="false">IF(OR($B76="",$H76=""),"",IF($H76&gt;DateRef,0,YEARFRAC($H76,DateRef,1)))</f>
        <v/>
      </c>
      <c r="K76" s="42" t="str">
        <f aca="false">IF(OR($B76="",$H76=""),"",IF(EDATE($H76,12)&lt;=DateRef,"Plus d'un an","Moins d'un an"))</f>
        <v/>
      </c>
      <c r="L76" s="40"/>
      <c r="M76" s="43" t="str">
        <f aca="false">IF(OR($B76="",$A76=""),"",IF(SUMPRODUCT(MAX((Journal!$A$6:$A$1005=$A76)*Journal!$C$6:$C$1005))=0,"",SUMPRODUCT(MAX((Journal!$A$6:$A$1005=$A76)*Journal!$C$6:$C$1005))))</f>
        <v/>
      </c>
      <c r="N76" s="43" t="str">
        <f aca="false">IF($B76="","",IF(MAX($L76,$M76)=0,"",MAX($L76,$M76)))</f>
        <v/>
      </c>
      <c r="O76" s="44" t="str">
        <f aca="false">IF(OR($B76="",$H76=""),"",IF($N76="",IF(EDATE($H76,DelaiPremierEPP)&gt;DateRef,"1er EPP (1re année)","Aucun entretien renseigné"),IF(AND(ReglesTransitoires="Oui",EDATE($N76,AnciennePeriodiciteEP*12)&lt;DateVigueur),"Retard antérieur à la réforme","Périodicité "&amp;PeriodiciteEPP&amp;" ans")))</f>
        <v/>
      </c>
      <c r="P76" s="43" t="str">
        <f aca="false">IF(OR($B76="",$H76=""),"",IF($N76="",EDATE($H76,DelaiPremierEPP),IF(AND(ReglesTransitoires="Oui",EDATE($N76,AnciennePeriodiciteEP*12)&lt;DateVigueur),EDATE($N76,AnciennePeriodiciteEP*12),EDATE($N76,PeriodiciteEPP*12))))</f>
        <v/>
      </c>
      <c r="Q76" s="40"/>
      <c r="R76" s="45" t="str">
        <f aca="false">IF(OR($P76="",AND($I76&lt;&gt;"",$I76&lt;=DateRef)),"",$P76-DateRef)</f>
        <v/>
      </c>
      <c r="S76" s="42" t="str">
        <f aca="false">IF($B76="","",IF(AND($I76&lt;&gt;"",$I76&lt;=DateRef),"Sorti",IF($H76="","À compléter",IF(AND($Q76&lt;&gt;"",$Q76&gt;=DateRef,$Q76&lt;=$P76),"Planifié",IF($R76&lt;0,"En retard",IF($R76&lt;=SeuilAlerteEPP,"À planifier","À jour"))))))</f>
        <v/>
      </c>
      <c r="T76" s="46" t="str">
        <f aca="false">IF(OR($B76="",$S76="Sorti"),"",MID(IF($H76=""," | Date d'embauche manquante","")&amp;IF(AND($K76="Plus d'un an",$N76="")," | Précédent entretien à renseigner (ancienneté &gt; 1 an)","")&amp;IF($O76="Retard antérieur à la réforme"," | Ancien délai de 2 ans expiré avant la réforme","")&amp;IF(AND($N76&lt;&gt;"",$H76&lt;&gt;"",$N76&lt;$H76)," | Entretien antérieur à l'embauche ?","")&amp;IF(AND($N76&lt;&gt;"",$N76&gt;DateRef)," | Entretien daté dans le futur ?","")&amp;IF(AND($Q76&lt;&gt;"",$P76&lt;&gt;"",$Q76&gt;$P76)," | Date prévue après l'échéance","")&amp;IF(AND($Q76&lt;&gt;"",$Q76&lt;DateRef,OR($N76="",$N76&lt;$Q76))," | Entretien prévu passé : le consigner au Journal","")&amp;IF(AND($G76&lt;&gt;"",$X76="",YEAR(DateRef)-YEAR($G76)&gt;=AgeMiCarriere-1,YEAR(DateRef)-YEAR($G76)&lt;=AgeMiCarriere+1)," | Visite de mi-carrière à vérifier",""),4,1000))</f>
        <v/>
      </c>
      <c r="U76" s="39"/>
      <c r="V76" s="40"/>
      <c r="W76" s="42" t="str">
        <f aca="false">IF(OR($B76="",$V76=""),"",IF(AND($I76&lt;&gt;"",$I76&lt;=DateRef),"",IF(AND($N76&lt;&gt;"",$N76&gt;=$V76),"Réalisé",IF(AND($N76&lt;&gt;"",$N76&gt;=EDATE($V76,-FenetreRetour)),"Dispensé (EPP récent)",IF($V76&gt;DateRef,"À prévoir à la reprise","À proposer (reprise passée)")))))</f>
        <v/>
      </c>
      <c r="X76" s="40"/>
      <c r="Y76" s="43" t="str">
        <f aca="false">IF(OR($B76="",$X76=""),"",EDATE($X76,DelaiMiCarriere))</f>
        <v/>
      </c>
      <c r="Z76" s="42" t="str">
        <f aca="false">IF(OR($B76="",$X76=""),"",IF(AND($I76&lt;&gt;"",$I76&lt;=DateRef),"",IF(AND($N76&lt;&gt;"",$N76&gt;=$X76),"Réalisé",IF($Y76&lt;DateRef,"En retard","À planifier"))))</f>
        <v/>
      </c>
      <c r="AA76" s="47" t="str">
        <f aca="false">IF(OR($B76="",$G76=""),"",IF($G76&gt;DateRef,"",DATEDIF($G76,DateRef,"y")))</f>
        <v/>
      </c>
      <c r="AB76" s="43" t="str">
        <f aca="false">IF(OR($B76="",$G76=""),"",EDATE($G76,AgeFinCarriere*12))</f>
        <v/>
      </c>
      <c r="AC76" s="42" t="str">
        <f aca="false">IF(OR($B76="",$G76="",$H76=""),"",IF(AND($I76&lt;&gt;"",$I76&lt;=DateRef),"",IF($AB76&lt;DateVigueur,"Non concerné",IF(AND($N76&lt;&gt;"",$N76&gt;=MAX(EDATE($AB76,-FenetreFinCarriere*12),DateVigueur),$N76&lt;=$AB76),"Réalisé",IF(DateRef&gt;$AB76,"Non réalisé",IF(AND($Q76&lt;&gt;"",$Q76&gt;=EDATE($AB76,-FenetreFinCarriere*12),$Q76&lt;=$AB76),"Planifié dans la fenêtre",IF(AND(MAX($P76,DateRef)&gt;=EDATE($AB76,-FenetreFinCarriere*12),MAX($P76,DateRef)&lt;=$AB76),"Prochain EPP dans la fenêtre",IF(MAX($P76,DateRef)&gt;$AB76,"À programmer avant 60 ans",""))))))))</f>
        <v/>
      </c>
      <c r="AD76" s="40"/>
      <c r="AE76" s="43" t="str">
        <f aca="false">IF(OR($B76="",$H76="",AND($I76&lt;&gt;"",$I76&lt;=DateRef)),"",MAX($H76,$AD76,IF($A76="",0,SUMPRODUCT(MAX((Journal!$A$6:$A$1005=$A76)*((Journal!$D$6:$D$1005=TypeEDL)+(Journal!$D$6:$D$1005=TypeBilan6))*Journal!$C$6:$C$1005)))))</f>
        <v/>
      </c>
      <c r="AF76" s="43" t="str">
        <f aca="false">IF($AE76="","",IF(AND(ReglesTransitoires="Oui",EDATE($AE76,AnciennePeriodiciteEDL*12)&lt;DateVigueur),EDATE($AE76,AnciennePeriodiciteEDL*12),EDATE($AE76,PeriodiciteEDL*12)))</f>
        <v/>
      </c>
      <c r="AG76" s="42" t="str">
        <f aca="false">IF($AF76="","",IF(AND($I76&lt;&gt;"",$I76&lt;=DateRef),"",IF($AF76&lt;DateRef,"En retard",IF($AF76-DateRef&lt;=SeuilAlerteEDL,"À prévoir","À jour"))))</f>
        <v/>
      </c>
      <c r="AH76" s="39"/>
      <c r="AI76" s="39"/>
      <c r="AJ76" s="42" t="str">
        <f aca="false">IF(OR($B76="",$H76=""),"",IF(AND($I76&lt;&gt;"",$I76&lt;=DateRef),"",IF(Effectif&lt;SeuilEffectif,"Non concerné (&lt; "&amp;SeuilEffectif&amp;" salariés)",IF($AH76="Oui","Pas de risque",IF(AND(OR($AI76="Non",$S76="En retard"),$AH76="Non"),"Risque abondement",IF(OR($AI76="Non",$S76="En retard"),"À vérifier (formation ?)",IF($AI76="Oui","Pas de risque","À compléter")))))))</f>
        <v/>
      </c>
      <c r="AK76" s="39"/>
    </row>
    <row r="77" customFormat="false" ht="15" hidden="false" customHeight="false" outlineLevel="0" collapsed="false">
      <c r="A77" s="39"/>
      <c r="B77" s="39"/>
      <c r="C77" s="39"/>
      <c r="D77" s="39"/>
      <c r="E77" s="39"/>
      <c r="F77" s="39"/>
      <c r="G77" s="40"/>
      <c r="H77" s="40"/>
      <c r="I77" s="40"/>
      <c r="J77" s="41" t="str">
        <f aca="false">IF(OR($B77="",$H77=""),"",IF($H77&gt;DateRef,0,YEARFRAC($H77,DateRef,1)))</f>
        <v/>
      </c>
      <c r="K77" s="42" t="str">
        <f aca="false">IF(OR($B77="",$H77=""),"",IF(EDATE($H77,12)&lt;=DateRef,"Plus d'un an","Moins d'un an"))</f>
        <v/>
      </c>
      <c r="L77" s="40"/>
      <c r="M77" s="43" t="str">
        <f aca="false">IF(OR($B77="",$A77=""),"",IF(SUMPRODUCT(MAX((Journal!$A$6:$A$1005=$A77)*Journal!$C$6:$C$1005))=0,"",SUMPRODUCT(MAX((Journal!$A$6:$A$1005=$A77)*Journal!$C$6:$C$1005))))</f>
        <v/>
      </c>
      <c r="N77" s="43" t="str">
        <f aca="false">IF($B77="","",IF(MAX($L77,$M77)=0,"",MAX($L77,$M77)))</f>
        <v/>
      </c>
      <c r="O77" s="44" t="str">
        <f aca="false">IF(OR($B77="",$H77=""),"",IF($N77="",IF(EDATE($H77,DelaiPremierEPP)&gt;DateRef,"1er EPP (1re année)","Aucun entretien renseigné"),IF(AND(ReglesTransitoires="Oui",EDATE($N77,AnciennePeriodiciteEP*12)&lt;DateVigueur),"Retard antérieur à la réforme","Périodicité "&amp;PeriodiciteEPP&amp;" ans")))</f>
        <v/>
      </c>
      <c r="P77" s="43" t="str">
        <f aca="false">IF(OR($B77="",$H77=""),"",IF($N77="",EDATE($H77,DelaiPremierEPP),IF(AND(ReglesTransitoires="Oui",EDATE($N77,AnciennePeriodiciteEP*12)&lt;DateVigueur),EDATE($N77,AnciennePeriodiciteEP*12),EDATE($N77,PeriodiciteEPP*12))))</f>
        <v/>
      </c>
      <c r="Q77" s="40"/>
      <c r="R77" s="45" t="str">
        <f aca="false">IF(OR($P77="",AND($I77&lt;&gt;"",$I77&lt;=DateRef)),"",$P77-DateRef)</f>
        <v/>
      </c>
      <c r="S77" s="42" t="str">
        <f aca="false">IF($B77="","",IF(AND($I77&lt;&gt;"",$I77&lt;=DateRef),"Sorti",IF($H77="","À compléter",IF(AND($Q77&lt;&gt;"",$Q77&gt;=DateRef,$Q77&lt;=$P77),"Planifié",IF($R77&lt;0,"En retard",IF($R77&lt;=SeuilAlerteEPP,"À planifier","À jour"))))))</f>
        <v/>
      </c>
      <c r="T77" s="46" t="str">
        <f aca="false">IF(OR($B77="",$S77="Sorti"),"",MID(IF($H77=""," | Date d'embauche manquante","")&amp;IF(AND($K77="Plus d'un an",$N77="")," | Précédent entretien à renseigner (ancienneté &gt; 1 an)","")&amp;IF($O77="Retard antérieur à la réforme"," | Ancien délai de 2 ans expiré avant la réforme","")&amp;IF(AND($N77&lt;&gt;"",$H77&lt;&gt;"",$N77&lt;$H77)," | Entretien antérieur à l'embauche ?","")&amp;IF(AND($N77&lt;&gt;"",$N77&gt;DateRef)," | Entretien daté dans le futur ?","")&amp;IF(AND($Q77&lt;&gt;"",$P77&lt;&gt;"",$Q77&gt;$P77)," | Date prévue après l'échéance","")&amp;IF(AND($Q77&lt;&gt;"",$Q77&lt;DateRef,OR($N77="",$N77&lt;$Q77))," | Entretien prévu passé : le consigner au Journal","")&amp;IF(AND($G77&lt;&gt;"",$X77="",YEAR(DateRef)-YEAR($G77)&gt;=AgeMiCarriere-1,YEAR(DateRef)-YEAR($G77)&lt;=AgeMiCarriere+1)," | Visite de mi-carrière à vérifier",""),4,1000))</f>
        <v/>
      </c>
      <c r="U77" s="39"/>
      <c r="V77" s="40"/>
      <c r="W77" s="42" t="str">
        <f aca="false">IF(OR($B77="",$V77=""),"",IF(AND($I77&lt;&gt;"",$I77&lt;=DateRef),"",IF(AND($N77&lt;&gt;"",$N77&gt;=$V77),"Réalisé",IF(AND($N77&lt;&gt;"",$N77&gt;=EDATE($V77,-FenetreRetour)),"Dispensé (EPP récent)",IF($V77&gt;DateRef,"À prévoir à la reprise","À proposer (reprise passée)")))))</f>
        <v/>
      </c>
      <c r="X77" s="40"/>
      <c r="Y77" s="43" t="str">
        <f aca="false">IF(OR($B77="",$X77=""),"",EDATE($X77,DelaiMiCarriere))</f>
        <v/>
      </c>
      <c r="Z77" s="42" t="str">
        <f aca="false">IF(OR($B77="",$X77=""),"",IF(AND($I77&lt;&gt;"",$I77&lt;=DateRef),"",IF(AND($N77&lt;&gt;"",$N77&gt;=$X77),"Réalisé",IF($Y77&lt;DateRef,"En retard","À planifier"))))</f>
        <v/>
      </c>
      <c r="AA77" s="47" t="str">
        <f aca="false">IF(OR($B77="",$G77=""),"",IF($G77&gt;DateRef,"",DATEDIF($G77,DateRef,"y")))</f>
        <v/>
      </c>
      <c r="AB77" s="43" t="str">
        <f aca="false">IF(OR($B77="",$G77=""),"",EDATE($G77,AgeFinCarriere*12))</f>
        <v/>
      </c>
      <c r="AC77" s="42" t="str">
        <f aca="false">IF(OR($B77="",$G77="",$H77=""),"",IF(AND($I77&lt;&gt;"",$I77&lt;=DateRef),"",IF($AB77&lt;DateVigueur,"Non concerné",IF(AND($N77&lt;&gt;"",$N77&gt;=MAX(EDATE($AB77,-FenetreFinCarriere*12),DateVigueur),$N77&lt;=$AB77),"Réalisé",IF(DateRef&gt;$AB77,"Non réalisé",IF(AND($Q77&lt;&gt;"",$Q77&gt;=EDATE($AB77,-FenetreFinCarriere*12),$Q77&lt;=$AB77),"Planifié dans la fenêtre",IF(AND(MAX($P77,DateRef)&gt;=EDATE($AB77,-FenetreFinCarriere*12),MAX($P77,DateRef)&lt;=$AB77),"Prochain EPP dans la fenêtre",IF(MAX($P77,DateRef)&gt;$AB77,"À programmer avant 60 ans",""))))))))</f>
        <v/>
      </c>
      <c r="AD77" s="40"/>
      <c r="AE77" s="43" t="str">
        <f aca="false">IF(OR($B77="",$H77="",AND($I77&lt;&gt;"",$I77&lt;=DateRef)),"",MAX($H77,$AD77,IF($A77="",0,SUMPRODUCT(MAX((Journal!$A$6:$A$1005=$A77)*((Journal!$D$6:$D$1005=TypeEDL)+(Journal!$D$6:$D$1005=TypeBilan6))*Journal!$C$6:$C$1005)))))</f>
        <v/>
      </c>
      <c r="AF77" s="43" t="str">
        <f aca="false">IF($AE77="","",IF(AND(ReglesTransitoires="Oui",EDATE($AE77,AnciennePeriodiciteEDL*12)&lt;DateVigueur),EDATE($AE77,AnciennePeriodiciteEDL*12),EDATE($AE77,PeriodiciteEDL*12)))</f>
        <v/>
      </c>
      <c r="AG77" s="42" t="str">
        <f aca="false">IF($AF77="","",IF(AND($I77&lt;&gt;"",$I77&lt;=DateRef),"",IF($AF77&lt;DateRef,"En retard",IF($AF77-DateRef&lt;=SeuilAlerteEDL,"À prévoir","À jour"))))</f>
        <v/>
      </c>
      <c r="AH77" s="39"/>
      <c r="AI77" s="39"/>
      <c r="AJ77" s="42" t="str">
        <f aca="false">IF(OR($B77="",$H77=""),"",IF(AND($I77&lt;&gt;"",$I77&lt;=DateRef),"",IF(Effectif&lt;SeuilEffectif,"Non concerné (&lt; "&amp;SeuilEffectif&amp;" salariés)",IF($AH77="Oui","Pas de risque",IF(AND(OR($AI77="Non",$S77="En retard"),$AH77="Non"),"Risque abondement",IF(OR($AI77="Non",$S77="En retard"),"À vérifier (formation ?)",IF($AI77="Oui","Pas de risque","À compléter")))))))</f>
        <v/>
      </c>
      <c r="AK77" s="39"/>
    </row>
    <row r="78" customFormat="false" ht="15" hidden="false" customHeight="false" outlineLevel="0" collapsed="false">
      <c r="A78" s="39"/>
      <c r="B78" s="39"/>
      <c r="C78" s="39"/>
      <c r="D78" s="39"/>
      <c r="E78" s="39"/>
      <c r="F78" s="39"/>
      <c r="G78" s="40"/>
      <c r="H78" s="40"/>
      <c r="I78" s="40"/>
      <c r="J78" s="41" t="str">
        <f aca="false">IF(OR($B78="",$H78=""),"",IF($H78&gt;DateRef,0,YEARFRAC($H78,DateRef,1)))</f>
        <v/>
      </c>
      <c r="K78" s="42" t="str">
        <f aca="false">IF(OR($B78="",$H78=""),"",IF(EDATE($H78,12)&lt;=DateRef,"Plus d'un an","Moins d'un an"))</f>
        <v/>
      </c>
      <c r="L78" s="40"/>
      <c r="M78" s="43" t="str">
        <f aca="false">IF(OR($B78="",$A78=""),"",IF(SUMPRODUCT(MAX((Journal!$A$6:$A$1005=$A78)*Journal!$C$6:$C$1005))=0,"",SUMPRODUCT(MAX((Journal!$A$6:$A$1005=$A78)*Journal!$C$6:$C$1005))))</f>
        <v/>
      </c>
      <c r="N78" s="43" t="str">
        <f aca="false">IF($B78="","",IF(MAX($L78,$M78)=0,"",MAX($L78,$M78)))</f>
        <v/>
      </c>
      <c r="O78" s="44" t="str">
        <f aca="false">IF(OR($B78="",$H78=""),"",IF($N78="",IF(EDATE($H78,DelaiPremierEPP)&gt;DateRef,"1er EPP (1re année)","Aucun entretien renseigné"),IF(AND(ReglesTransitoires="Oui",EDATE($N78,AnciennePeriodiciteEP*12)&lt;DateVigueur),"Retard antérieur à la réforme","Périodicité "&amp;PeriodiciteEPP&amp;" ans")))</f>
        <v/>
      </c>
      <c r="P78" s="43" t="str">
        <f aca="false">IF(OR($B78="",$H78=""),"",IF($N78="",EDATE($H78,DelaiPremierEPP),IF(AND(ReglesTransitoires="Oui",EDATE($N78,AnciennePeriodiciteEP*12)&lt;DateVigueur),EDATE($N78,AnciennePeriodiciteEP*12),EDATE($N78,PeriodiciteEPP*12))))</f>
        <v/>
      </c>
      <c r="Q78" s="40"/>
      <c r="R78" s="45" t="str">
        <f aca="false">IF(OR($P78="",AND($I78&lt;&gt;"",$I78&lt;=DateRef)),"",$P78-DateRef)</f>
        <v/>
      </c>
      <c r="S78" s="42" t="str">
        <f aca="false">IF($B78="","",IF(AND($I78&lt;&gt;"",$I78&lt;=DateRef),"Sorti",IF($H78="","À compléter",IF(AND($Q78&lt;&gt;"",$Q78&gt;=DateRef,$Q78&lt;=$P78),"Planifié",IF($R78&lt;0,"En retard",IF($R78&lt;=SeuilAlerteEPP,"À planifier","À jour"))))))</f>
        <v/>
      </c>
      <c r="T78" s="46" t="str">
        <f aca="false">IF(OR($B78="",$S78="Sorti"),"",MID(IF($H78=""," | Date d'embauche manquante","")&amp;IF(AND($K78="Plus d'un an",$N78="")," | Précédent entretien à renseigner (ancienneté &gt; 1 an)","")&amp;IF($O78="Retard antérieur à la réforme"," | Ancien délai de 2 ans expiré avant la réforme","")&amp;IF(AND($N78&lt;&gt;"",$H78&lt;&gt;"",$N78&lt;$H78)," | Entretien antérieur à l'embauche ?","")&amp;IF(AND($N78&lt;&gt;"",$N78&gt;DateRef)," | Entretien daté dans le futur ?","")&amp;IF(AND($Q78&lt;&gt;"",$P78&lt;&gt;"",$Q78&gt;$P78)," | Date prévue après l'échéance","")&amp;IF(AND($Q78&lt;&gt;"",$Q78&lt;DateRef,OR($N78="",$N78&lt;$Q78))," | Entretien prévu passé : le consigner au Journal","")&amp;IF(AND($G78&lt;&gt;"",$X78="",YEAR(DateRef)-YEAR($G78)&gt;=AgeMiCarriere-1,YEAR(DateRef)-YEAR($G78)&lt;=AgeMiCarriere+1)," | Visite de mi-carrière à vérifier",""),4,1000))</f>
        <v/>
      </c>
      <c r="U78" s="39"/>
      <c r="V78" s="40"/>
      <c r="W78" s="42" t="str">
        <f aca="false">IF(OR($B78="",$V78=""),"",IF(AND($I78&lt;&gt;"",$I78&lt;=DateRef),"",IF(AND($N78&lt;&gt;"",$N78&gt;=$V78),"Réalisé",IF(AND($N78&lt;&gt;"",$N78&gt;=EDATE($V78,-FenetreRetour)),"Dispensé (EPP récent)",IF($V78&gt;DateRef,"À prévoir à la reprise","À proposer (reprise passée)")))))</f>
        <v/>
      </c>
      <c r="X78" s="40"/>
      <c r="Y78" s="43" t="str">
        <f aca="false">IF(OR($B78="",$X78=""),"",EDATE($X78,DelaiMiCarriere))</f>
        <v/>
      </c>
      <c r="Z78" s="42" t="str">
        <f aca="false">IF(OR($B78="",$X78=""),"",IF(AND($I78&lt;&gt;"",$I78&lt;=DateRef),"",IF(AND($N78&lt;&gt;"",$N78&gt;=$X78),"Réalisé",IF($Y78&lt;DateRef,"En retard","À planifier"))))</f>
        <v/>
      </c>
      <c r="AA78" s="47" t="str">
        <f aca="false">IF(OR($B78="",$G78=""),"",IF($G78&gt;DateRef,"",DATEDIF($G78,DateRef,"y")))</f>
        <v/>
      </c>
      <c r="AB78" s="43" t="str">
        <f aca="false">IF(OR($B78="",$G78=""),"",EDATE($G78,AgeFinCarriere*12))</f>
        <v/>
      </c>
      <c r="AC78" s="42" t="str">
        <f aca="false">IF(OR($B78="",$G78="",$H78=""),"",IF(AND($I78&lt;&gt;"",$I78&lt;=DateRef),"",IF($AB78&lt;DateVigueur,"Non concerné",IF(AND($N78&lt;&gt;"",$N78&gt;=MAX(EDATE($AB78,-FenetreFinCarriere*12),DateVigueur),$N78&lt;=$AB78),"Réalisé",IF(DateRef&gt;$AB78,"Non réalisé",IF(AND($Q78&lt;&gt;"",$Q78&gt;=EDATE($AB78,-FenetreFinCarriere*12),$Q78&lt;=$AB78),"Planifié dans la fenêtre",IF(AND(MAX($P78,DateRef)&gt;=EDATE($AB78,-FenetreFinCarriere*12),MAX($P78,DateRef)&lt;=$AB78),"Prochain EPP dans la fenêtre",IF(MAX($P78,DateRef)&gt;$AB78,"À programmer avant 60 ans",""))))))))</f>
        <v/>
      </c>
      <c r="AD78" s="40"/>
      <c r="AE78" s="43" t="str">
        <f aca="false">IF(OR($B78="",$H78="",AND($I78&lt;&gt;"",$I78&lt;=DateRef)),"",MAX($H78,$AD78,IF($A78="",0,SUMPRODUCT(MAX((Journal!$A$6:$A$1005=$A78)*((Journal!$D$6:$D$1005=TypeEDL)+(Journal!$D$6:$D$1005=TypeBilan6))*Journal!$C$6:$C$1005)))))</f>
        <v/>
      </c>
      <c r="AF78" s="43" t="str">
        <f aca="false">IF($AE78="","",IF(AND(ReglesTransitoires="Oui",EDATE($AE78,AnciennePeriodiciteEDL*12)&lt;DateVigueur),EDATE($AE78,AnciennePeriodiciteEDL*12),EDATE($AE78,PeriodiciteEDL*12)))</f>
        <v/>
      </c>
      <c r="AG78" s="42" t="str">
        <f aca="false">IF($AF78="","",IF(AND($I78&lt;&gt;"",$I78&lt;=DateRef),"",IF($AF78&lt;DateRef,"En retard",IF($AF78-DateRef&lt;=SeuilAlerteEDL,"À prévoir","À jour"))))</f>
        <v/>
      </c>
      <c r="AH78" s="39"/>
      <c r="AI78" s="39"/>
      <c r="AJ78" s="42" t="str">
        <f aca="false">IF(OR($B78="",$H78=""),"",IF(AND($I78&lt;&gt;"",$I78&lt;=DateRef),"",IF(Effectif&lt;SeuilEffectif,"Non concerné (&lt; "&amp;SeuilEffectif&amp;" salariés)",IF($AH78="Oui","Pas de risque",IF(AND(OR($AI78="Non",$S78="En retard"),$AH78="Non"),"Risque abondement",IF(OR($AI78="Non",$S78="En retard"),"À vérifier (formation ?)",IF($AI78="Oui","Pas de risque","À compléter")))))))</f>
        <v/>
      </c>
      <c r="AK78" s="39"/>
    </row>
    <row r="79" customFormat="false" ht="15" hidden="false" customHeight="false" outlineLevel="0" collapsed="false">
      <c r="A79" s="39"/>
      <c r="B79" s="39"/>
      <c r="C79" s="39"/>
      <c r="D79" s="39"/>
      <c r="E79" s="39"/>
      <c r="F79" s="39"/>
      <c r="G79" s="40"/>
      <c r="H79" s="40"/>
      <c r="I79" s="40"/>
      <c r="J79" s="41" t="str">
        <f aca="false">IF(OR($B79="",$H79=""),"",IF($H79&gt;DateRef,0,YEARFRAC($H79,DateRef,1)))</f>
        <v/>
      </c>
      <c r="K79" s="42" t="str">
        <f aca="false">IF(OR($B79="",$H79=""),"",IF(EDATE($H79,12)&lt;=DateRef,"Plus d'un an","Moins d'un an"))</f>
        <v/>
      </c>
      <c r="L79" s="40"/>
      <c r="M79" s="43" t="str">
        <f aca="false">IF(OR($B79="",$A79=""),"",IF(SUMPRODUCT(MAX((Journal!$A$6:$A$1005=$A79)*Journal!$C$6:$C$1005))=0,"",SUMPRODUCT(MAX((Journal!$A$6:$A$1005=$A79)*Journal!$C$6:$C$1005))))</f>
        <v/>
      </c>
      <c r="N79" s="43" t="str">
        <f aca="false">IF($B79="","",IF(MAX($L79,$M79)=0,"",MAX($L79,$M79)))</f>
        <v/>
      </c>
      <c r="O79" s="44" t="str">
        <f aca="false">IF(OR($B79="",$H79=""),"",IF($N79="",IF(EDATE($H79,DelaiPremierEPP)&gt;DateRef,"1er EPP (1re année)","Aucun entretien renseigné"),IF(AND(ReglesTransitoires="Oui",EDATE($N79,AnciennePeriodiciteEP*12)&lt;DateVigueur),"Retard antérieur à la réforme","Périodicité "&amp;PeriodiciteEPP&amp;" ans")))</f>
        <v/>
      </c>
      <c r="P79" s="43" t="str">
        <f aca="false">IF(OR($B79="",$H79=""),"",IF($N79="",EDATE($H79,DelaiPremierEPP),IF(AND(ReglesTransitoires="Oui",EDATE($N79,AnciennePeriodiciteEP*12)&lt;DateVigueur),EDATE($N79,AnciennePeriodiciteEP*12),EDATE($N79,PeriodiciteEPP*12))))</f>
        <v/>
      </c>
      <c r="Q79" s="40"/>
      <c r="R79" s="45" t="str">
        <f aca="false">IF(OR($P79="",AND($I79&lt;&gt;"",$I79&lt;=DateRef)),"",$P79-DateRef)</f>
        <v/>
      </c>
      <c r="S79" s="42" t="str">
        <f aca="false">IF($B79="","",IF(AND($I79&lt;&gt;"",$I79&lt;=DateRef),"Sorti",IF($H79="","À compléter",IF(AND($Q79&lt;&gt;"",$Q79&gt;=DateRef,$Q79&lt;=$P79),"Planifié",IF($R79&lt;0,"En retard",IF($R79&lt;=SeuilAlerteEPP,"À planifier","À jour"))))))</f>
        <v/>
      </c>
      <c r="T79" s="46" t="str">
        <f aca="false">IF(OR($B79="",$S79="Sorti"),"",MID(IF($H79=""," | Date d'embauche manquante","")&amp;IF(AND($K79="Plus d'un an",$N79="")," | Précédent entretien à renseigner (ancienneté &gt; 1 an)","")&amp;IF($O79="Retard antérieur à la réforme"," | Ancien délai de 2 ans expiré avant la réforme","")&amp;IF(AND($N79&lt;&gt;"",$H79&lt;&gt;"",$N79&lt;$H79)," | Entretien antérieur à l'embauche ?","")&amp;IF(AND($N79&lt;&gt;"",$N79&gt;DateRef)," | Entretien daté dans le futur ?","")&amp;IF(AND($Q79&lt;&gt;"",$P79&lt;&gt;"",$Q79&gt;$P79)," | Date prévue après l'échéance","")&amp;IF(AND($Q79&lt;&gt;"",$Q79&lt;DateRef,OR($N79="",$N79&lt;$Q79))," | Entretien prévu passé : le consigner au Journal","")&amp;IF(AND($G79&lt;&gt;"",$X79="",YEAR(DateRef)-YEAR($G79)&gt;=AgeMiCarriere-1,YEAR(DateRef)-YEAR($G79)&lt;=AgeMiCarriere+1)," | Visite de mi-carrière à vérifier",""),4,1000))</f>
        <v/>
      </c>
      <c r="U79" s="39"/>
      <c r="V79" s="40"/>
      <c r="W79" s="42" t="str">
        <f aca="false">IF(OR($B79="",$V79=""),"",IF(AND($I79&lt;&gt;"",$I79&lt;=DateRef),"",IF(AND($N79&lt;&gt;"",$N79&gt;=$V79),"Réalisé",IF(AND($N79&lt;&gt;"",$N79&gt;=EDATE($V79,-FenetreRetour)),"Dispensé (EPP récent)",IF($V79&gt;DateRef,"À prévoir à la reprise","À proposer (reprise passée)")))))</f>
        <v/>
      </c>
      <c r="X79" s="40"/>
      <c r="Y79" s="43" t="str">
        <f aca="false">IF(OR($B79="",$X79=""),"",EDATE($X79,DelaiMiCarriere))</f>
        <v/>
      </c>
      <c r="Z79" s="42" t="str">
        <f aca="false">IF(OR($B79="",$X79=""),"",IF(AND($I79&lt;&gt;"",$I79&lt;=DateRef),"",IF(AND($N79&lt;&gt;"",$N79&gt;=$X79),"Réalisé",IF($Y79&lt;DateRef,"En retard","À planifier"))))</f>
        <v/>
      </c>
      <c r="AA79" s="47" t="str">
        <f aca="false">IF(OR($B79="",$G79=""),"",IF($G79&gt;DateRef,"",DATEDIF($G79,DateRef,"y")))</f>
        <v/>
      </c>
      <c r="AB79" s="43" t="str">
        <f aca="false">IF(OR($B79="",$G79=""),"",EDATE($G79,AgeFinCarriere*12))</f>
        <v/>
      </c>
      <c r="AC79" s="42" t="str">
        <f aca="false">IF(OR($B79="",$G79="",$H79=""),"",IF(AND($I79&lt;&gt;"",$I79&lt;=DateRef),"",IF($AB79&lt;DateVigueur,"Non concerné",IF(AND($N79&lt;&gt;"",$N79&gt;=MAX(EDATE($AB79,-FenetreFinCarriere*12),DateVigueur),$N79&lt;=$AB79),"Réalisé",IF(DateRef&gt;$AB79,"Non réalisé",IF(AND($Q79&lt;&gt;"",$Q79&gt;=EDATE($AB79,-FenetreFinCarriere*12),$Q79&lt;=$AB79),"Planifié dans la fenêtre",IF(AND(MAX($P79,DateRef)&gt;=EDATE($AB79,-FenetreFinCarriere*12),MAX($P79,DateRef)&lt;=$AB79),"Prochain EPP dans la fenêtre",IF(MAX($P79,DateRef)&gt;$AB79,"À programmer avant 60 ans",""))))))))</f>
        <v/>
      </c>
      <c r="AD79" s="40"/>
      <c r="AE79" s="43" t="str">
        <f aca="false">IF(OR($B79="",$H79="",AND($I79&lt;&gt;"",$I79&lt;=DateRef)),"",MAX($H79,$AD79,IF($A79="",0,SUMPRODUCT(MAX((Journal!$A$6:$A$1005=$A79)*((Journal!$D$6:$D$1005=TypeEDL)+(Journal!$D$6:$D$1005=TypeBilan6))*Journal!$C$6:$C$1005)))))</f>
        <v/>
      </c>
      <c r="AF79" s="43" t="str">
        <f aca="false">IF($AE79="","",IF(AND(ReglesTransitoires="Oui",EDATE($AE79,AnciennePeriodiciteEDL*12)&lt;DateVigueur),EDATE($AE79,AnciennePeriodiciteEDL*12),EDATE($AE79,PeriodiciteEDL*12)))</f>
        <v/>
      </c>
      <c r="AG79" s="42" t="str">
        <f aca="false">IF($AF79="","",IF(AND($I79&lt;&gt;"",$I79&lt;=DateRef),"",IF($AF79&lt;DateRef,"En retard",IF($AF79-DateRef&lt;=SeuilAlerteEDL,"À prévoir","À jour"))))</f>
        <v/>
      </c>
      <c r="AH79" s="39"/>
      <c r="AI79" s="39"/>
      <c r="AJ79" s="42" t="str">
        <f aca="false">IF(OR($B79="",$H79=""),"",IF(AND($I79&lt;&gt;"",$I79&lt;=DateRef),"",IF(Effectif&lt;SeuilEffectif,"Non concerné (&lt; "&amp;SeuilEffectif&amp;" salariés)",IF($AH79="Oui","Pas de risque",IF(AND(OR($AI79="Non",$S79="En retard"),$AH79="Non"),"Risque abondement",IF(OR($AI79="Non",$S79="En retard"),"À vérifier (formation ?)",IF($AI79="Oui","Pas de risque","À compléter")))))))</f>
        <v/>
      </c>
      <c r="AK79" s="39"/>
    </row>
    <row r="80" customFormat="false" ht="15" hidden="false" customHeight="false" outlineLevel="0" collapsed="false">
      <c r="A80" s="39"/>
      <c r="B80" s="39"/>
      <c r="C80" s="39"/>
      <c r="D80" s="39"/>
      <c r="E80" s="39"/>
      <c r="F80" s="39"/>
      <c r="G80" s="40"/>
      <c r="H80" s="40"/>
      <c r="I80" s="40"/>
      <c r="J80" s="41" t="str">
        <f aca="false">IF(OR($B80="",$H80=""),"",IF($H80&gt;DateRef,0,YEARFRAC($H80,DateRef,1)))</f>
        <v/>
      </c>
      <c r="K80" s="42" t="str">
        <f aca="false">IF(OR($B80="",$H80=""),"",IF(EDATE($H80,12)&lt;=DateRef,"Plus d'un an","Moins d'un an"))</f>
        <v/>
      </c>
      <c r="L80" s="40"/>
      <c r="M80" s="43" t="str">
        <f aca="false">IF(OR($B80="",$A80=""),"",IF(SUMPRODUCT(MAX((Journal!$A$6:$A$1005=$A80)*Journal!$C$6:$C$1005))=0,"",SUMPRODUCT(MAX((Journal!$A$6:$A$1005=$A80)*Journal!$C$6:$C$1005))))</f>
        <v/>
      </c>
      <c r="N80" s="43" t="str">
        <f aca="false">IF($B80="","",IF(MAX($L80,$M80)=0,"",MAX($L80,$M80)))</f>
        <v/>
      </c>
      <c r="O80" s="44" t="str">
        <f aca="false">IF(OR($B80="",$H80=""),"",IF($N80="",IF(EDATE($H80,DelaiPremierEPP)&gt;DateRef,"1er EPP (1re année)","Aucun entretien renseigné"),IF(AND(ReglesTransitoires="Oui",EDATE($N80,AnciennePeriodiciteEP*12)&lt;DateVigueur),"Retard antérieur à la réforme","Périodicité "&amp;PeriodiciteEPP&amp;" ans")))</f>
        <v/>
      </c>
      <c r="P80" s="43" t="str">
        <f aca="false">IF(OR($B80="",$H80=""),"",IF($N80="",EDATE($H80,DelaiPremierEPP),IF(AND(ReglesTransitoires="Oui",EDATE($N80,AnciennePeriodiciteEP*12)&lt;DateVigueur),EDATE($N80,AnciennePeriodiciteEP*12),EDATE($N80,PeriodiciteEPP*12))))</f>
        <v/>
      </c>
      <c r="Q80" s="40"/>
      <c r="R80" s="45" t="str">
        <f aca="false">IF(OR($P80="",AND($I80&lt;&gt;"",$I80&lt;=DateRef)),"",$P80-DateRef)</f>
        <v/>
      </c>
      <c r="S80" s="42" t="str">
        <f aca="false">IF($B80="","",IF(AND($I80&lt;&gt;"",$I80&lt;=DateRef),"Sorti",IF($H80="","À compléter",IF(AND($Q80&lt;&gt;"",$Q80&gt;=DateRef,$Q80&lt;=$P80),"Planifié",IF($R80&lt;0,"En retard",IF($R80&lt;=SeuilAlerteEPP,"À planifier","À jour"))))))</f>
        <v/>
      </c>
      <c r="T80" s="46" t="str">
        <f aca="false">IF(OR($B80="",$S80="Sorti"),"",MID(IF($H80=""," | Date d'embauche manquante","")&amp;IF(AND($K80="Plus d'un an",$N80="")," | Précédent entretien à renseigner (ancienneté &gt; 1 an)","")&amp;IF($O80="Retard antérieur à la réforme"," | Ancien délai de 2 ans expiré avant la réforme","")&amp;IF(AND($N80&lt;&gt;"",$H80&lt;&gt;"",$N80&lt;$H80)," | Entretien antérieur à l'embauche ?","")&amp;IF(AND($N80&lt;&gt;"",$N80&gt;DateRef)," | Entretien daté dans le futur ?","")&amp;IF(AND($Q80&lt;&gt;"",$P80&lt;&gt;"",$Q80&gt;$P80)," | Date prévue après l'échéance","")&amp;IF(AND($Q80&lt;&gt;"",$Q80&lt;DateRef,OR($N80="",$N80&lt;$Q80))," | Entretien prévu passé : le consigner au Journal","")&amp;IF(AND($G80&lt;&gt;"",$X80="",YEAR(DateRef)-YEAR($G80)&gt;=AgeMiCarriere-1,YEAR(DateRef)-YEAR($G80)&lt;=AgeMiCarriere+1)," | Visite de mi-carrière à vérifier",""),4,1000))</f>
        <v/>
      </c>
      <c r="U80" s="39"/>
      <c r="V80" s="40"/>
      <c r="W80" s="42" t="str">
        <f aca="false">IF(OR($B80="",$V80=""),"",IF(AND($I80&lt;&gt;"",$I80&lt;=DateRef),"",IF(AND($N80&lt;&gt;"",$N80&gt;=$V80),"Réalisé",IF(AND($N80&lt;&gt;"",$N80&gt;=EDATE($V80,-FenetreRetour)),"Dispensé (EPP récent)",IF($V80&gt;DateRef,"À prévoir à la reprise","À proposer (reprise passée)")))))</f>
        <v/>
      </c>
      <c r="X80" s="40"/>
      <c r="Y80" s="43" t="str">
        <f aca="false">IF(OR($B80="",$X80=""),"",EDATE($X80,DelaiMiCarriere))</f>
        <v/>
      </c>
      <c r="Z80" s="42" t="str">
        <f aca="false">IF(OR($B80="",$X80=""),"",IF(AND($I80&lt;&gt;"",$I80&lt;=DateRef),"",IF(AND($N80&lt;&gt;"",$N80&gt;=$X80),"Réalisé",IF($Y80&lt;DateRef,"En retard","À planifier"))))</f>
        <v/>
      </c>
      <c r="AA80" s="47" t="str">
        <f aca="false">IF(OR($B80="",$G80=""),"",IF($G80&gt;DateRef,"",DATEDIF($G80,DateRef,"y")))</f>
        <v/>
      </c>
      <c r="AB80" s="43" t="str">
        <f aca="false">IF(OR($B80="",$G80=""),"",EDATE($G80,AgeFinCarriere*12))</f>
        <v/>
      </c>
      <c r="AC80" s="42" t="str">
        <f aca="false">IF(OR($B80="",$G80="",$H80=""),"",IF(AND($I80&lt;&gt;"",$I80&lt;=DateRef),"",IF($AB80&lt;DateVigueur,"Non concerné",IF(AND($N80&lt;&gt;"",$N80&gt;=MAX(EDATE($AB80,-FenetreFinCarriere*12),DateVigueur),$N80&lt;=$AB80),"Réalisé",IF(DateRef&gt;$AB80,"Non réalisé",IF(AND($Q80&lt;&gt;"",$Q80&gt;=EDATE($AB80,-FenetreFinCarriere*12),$Q80&lt;=$AB80),"Planifié dans la fenêtre",IF(AND(MAX($P80,DateRef)&gt;=EDATE($AB80,-FenetreFinCarriere*12),MAX($P80,DateRef)&lt;=$AB80),"Prochain EPP dans la fenêtre",IF(MAX($P80,DateRef)&gt;$AB80,"À programmer avant 60 ans",""))))))))</f>
        <v/>
      </c>
      <c r="AD80" s="40"/>
      <c r="AE80" s="43" t="str">
        <f aca="false">IF(OR($B80="",$H80="",AND($I80&lt;&gt;"",$I80&lt;=DateRef)),"",MAX($H80,$AD80,IF($A80="",0,SUMPRODUCT(MAX((Journal!$A$6:$A$1005=$A80)*((Journal!$D$6:$D$1005=TypeEDL)+(Journal!$D$6:$D$1005=TypeBilan6))*Journal!$C$6:$C$1005)))))</f>
        <v/>
      </c>
      <c r="AF80" s="43" t="str">
        <f aca="false">IF($AE80="","",IF(AND(ReglesTransitoires="Oui",EDATE($AE80,AnciennePeriodiciteEDL*12)&lt;DateVigueur),EDATE($AE80,AnciennePeriodiciteEDL*12),EDATE($AE80,PeriodiciteEDL*12)))</f>
        <v/>
      </c>
      <c r="AG80" s="42" t="str">
        <f aca="false">IF($AF80="","",IF(AND($I80&lt;&gt;"",$I80&lt;=DateRef),"",IF($AF80&lt;DateRef,"En retard",IF($AF80-DateRef&lt;=SeuilAlerteEDL,"À prévoir","À jour"))))</f>
        <v/>
      </c>
      <c r="AH80" s="39"/>
      <c r="AI80" s="39"/>
      <c r="AJ80" s="42" t="str">
        <f aca="false">IF(OR($B80="",$H80=""),"",IF(AND($I80&lt;&gt;"",$I80&lt;=DateRef),"",IF(Effectif&lt;SeuilEffectif,"Non concerné (&lt; "&amp;SeuilEffectif&amp;" salariés)",IF($AH80="Oui","Pas de risque",IF(AND(OR($AI80="Non",$S80="En retard"),$AH80="Non"),"Risque abondement",IF(OR($AI80="Non",$S80="En retard"),"À vérifier (formation ?)",IF($AI80="Oui","Pas de risque","À compléter")))))))</f>
        <v/>
      </c>
      <c r="AK80" s="39"/>
    </row>
    <row r="81" customFormat="false" ht="15" hidden="false" customHeight="false" outlineLevel="0" collapsed="false">
      <c r="A81" s="39"/>
      <c r="B81" s="39"/>
      <c r="C81" s="39"/>
      <c r="D81" s="39"/>
      <c r="E81" s="39"/>
      <c r="F81" s="39"/>
      <c r="G81" s="40"/>
      <c r="H81" s="40"/>
      <c r="I81" s="40"/>
      <c r="J81" s="41" t="str">
        <f aca="false">IF(OR($B81="",$H81=""),"",IF($H81&gt;DateRef,0,YEARFRAC($H81,DateRef,1)))</f>
        <v/>
      </c>
      <c r="K81" s="42" t="str">
        <f aca="false">IF(OR($B81="",$H81=""),"",IF(EDATE($H81,12)&lt;=DateRef,"Plus d'un an","Moins d'un an"))</f>
        <v/>
      </c>
      <c r="L81" s="40"/>
      <c r="M81" s="43" t="str">
        <f aca="false">IF(OR($B81="",$A81=""),"",IF(SUMPRODUCT(MAX((Journal!$A$6:$A$1005=$A81)*Journal!$C$6:$C$1005))=0,"",SUMPRODUCT(MAX((Journal!$A$6:$A$1005=$A81)*Journal!$C$6:$C$1005))))</f>
        <v/>
      </c>
      <c r="N81" s="43" t="str">
        <f aca="false">IF($B81="","",IF(MAX($L81,$M81)=0,"",MAX($L81,$M81)))</f>
        <v/>
      </c>
      <c r="O81" s="44" t="str">
        <f aca="false">IF(OR($B81="",$H81=""),"",IF($N81="",IF(EDATE($H81,DelaiPremierEPP)&gt;DateRef,"1er EPP (1re année)","Aucun entretien renseigné"),IF(AND(ReglesTransitoires="Oui",EDATE($N81,AnciennePeriodiciteEP*12)&lt;DateVigueur),"Retard antérieur à la réforme","Périodicité "&amp;PeriodiciteEPP&amp;" ans")))</f>
        <v/>
      </c>
      <c r="P81" s="43" t="str">
        <f aca="false">IF(OR($B81="",$H81=""),"",IF($N81="",EDATE($H81,DelaiPremierEPP),IF(AND(ReglesTransitoires="Oui",EDATE($N81,AnciennePeriodiciteEP*12)&lt;DateVigueur),EDATE($N81,AnciennePeriodiciteEP*12),EDATE($N81,PeriodiciteEPP*12))))</f>
        <v/>
      </c>
      <c r="Q81" s="40"/>
      <c r="R81" s="45" t="str">
        <f aca="false">IF(OR($P81="",AND($I81&lt;&gt;"",$I81&lt;=DateRef)),"",$P81-DateRef)</f>
        <v/>
      </c>
      <c r="S81" s="42" t="str">
        <f aca="false">IF($B81="","",IF(AND($I81&lt;&gt;"",$I81&lt;=DateRef),"Sorti",IF($H81="","À compléter",IF(AND($Q81&lt;&gt;"",$Q81&gt;=DateRef,$Q81&lt;=$P81),"Planifié",IF($R81&lt;0,"En retard",IF($R81&lt;=SeuilAlerteEPP,"À planifier","À jour"))))))</f>
        <v/>
      </c>
      <c r="T81" s="46" t="str">
        <f aca="false">IF(OR($B81="",$S81="Sorti"),"",MID(IF($H81=""," | Date d'embauche manquante","")&amp;IF(AND($K81="Plus d'un an",$N81="")," | Précédent entretien à renseigner (ancienneté &gt; 1 an)","")&amp;IF($O81="Retard antérieur à la réforme"," | Ancien délai de 2 ans expiré avant la réforme","")&amp;IF(AND($N81&lt;&gt;"",$H81&lt;&gt;"",$N81&lt;$H81)," | Entretien antérieur à l'embauche ?","")&amp;IF(AND($N81&lt;&gt;"",$N81&gt;DateRef)," | Entretien daté dans le futur ?","")&amp;IF(AND($Q81&lt;&gt;"",$P81&lt;&gt;"",$Q81&gt;$P81)," | Date prévue après l'échéance","")&amp;IF(AND($Q81&lt;&gt;"",$Q81&lt;DateRef,OR($N81="",$N81&lt;$Q81))," | Entretien prévu passé : le consigner au Journal","")&amp;IF(AND($G81&lt;&gt;"",$X81="",YEAR(DateRef)-YEAR($G81)&gt;=AgeMiCarriere-1,YEAR(DateRef)-YEAR($G81)&lt;=AgeMiCarriere+1)," | Visite de mi-carrière à vérifier",""),4,1000))</f>
        <v/>
      </c>
      <c r="U81" s="39"/>
      <c r="V81" s="40"/>
      <c r="W81" s="42" t="str">
        <f aca="false">IF(OR($B81="",$V81=""),"",IF(AND($I81&lt;&gt;"",$I81&lt;=DateRef),"",IF(AND($N81&lt;&gt;"",$N81&gt;=$V81),"Réalisé",IF(AND($N81&lt;&gt;"",$N81&gt;=EDATE($V81,-FenetreRetour)),"Dispensé (EPP récent)",IF($V81&gt;DateRef,"À prévoir à la reprise","À proposer (reprise passée)")))))</f>
        <v/>
      </c>
      <c r="X81" s="40"/>
      <c r="Y81" s="43" t="str">
        <f aca="false">IF(OR($B81="",$X81=""),"",EDATE($X81,DelaiMiCarriere))</f>
        <v/>
      </c>
      <c r="Z81" s="42" t="str">
        <f aca="false">IF(OR($B81="",$X81=""),"",IF(AND($I81&lt;&gt;"",$I81&lt;=DateRef),"",IF(AND($N81&lt;&gt;"",$N81&gt;=$X81),"Réalisé",IF($Y81&lt;DateRef,"En retard","À planifier"))))</f>
        <v/>
      </c>
      <c r="AA81" s="47" t="str">
        <f aca="false">IF(OR($B81="",$G81=""),"",IF($G81&gt;DateRef,"",DATEDIF($G81,DateRef,"y")))</f>
        <v/>
      </c>
      <c r="AB81" s="43" t="str">
        <f aca="false">IF(OR($B81="",$G81=""),"",EDATE($G81,AgeFinCarriere*12))</f>
        <v/>
      </c>
      <c r="AC81" s="42" t="str">
        <f aca="false">IF(OR($B81="",$G81="",$H81=""),"",IF(AND($I81&lt;&gt;"",$I81&lt;=DateRef),"",IF($AB81&lt;DateVigueur,"Non concerné",IF(AND($N81&lt;&gt;"",$N81&gt;=MAX(EDATE($AB81,-FenetreFinCarriere*12),DateVigueur),$N81&lt;=$AB81),"Réalisé",IF(DateRef&gt;$AB81,"Non réalisé",IF(AND($Q81&lt;&gt;"",$Q81&gt;=EDATE($AB81,-FenetreFinCarriere*12),$Q81&lt;=$AB81),"Planifié dans la fenêtre",IF(AND(MAX($P81,DateRef)&gt;=EDATE($AB81,-FenetreFinCarriere*12),MAX($P81,DateRef)&lt;=$AB81),"Prochain EPP dans la fenêtre",IF(MAX($P81,DateRef)&gt;$AB81,"À programmer avant 60 ans",""))))))))</f>
        <v/>
      </c>
      <c r="AD81" s="40"/>
      <c r="AE81" s="43" t="str">
        <f aca="false">IF(OR($B81="",$H81="",AND($I81&lt;&gt;"",$I81&lt;=DateRef)),"",MAX($H81,$AD81,IF($A81="",0,SUMPRODUCT(MAX((Journal!$A$6:$A$1005=$A81)*((Journal!$D$6:$D$1005=TypeEDL)+(Journal!$D$6:$D$1005=TypeBilan6))*Journal!$C$6:$C$1005)))))</f>
        <v/>
      </c>
      <c r="AF81" s="43" t="str">
        <f aca="false">IF($AE81="","",IF(AND(ReglesTransitoires="Oui",EDATE($AE81,AnciennePeriodiciteEDL*12)&lt;DateVigueur),EDATE($AE81,AnciennePeriodiciteEDL*12),EDATE($AE81,PeriodiciteEDL*12)))</f>
        <v/>
      </c>
      <c r="AG81" s="42" t="str">
        <f aca="false">IF($AF81="","",IF(AND($I81&lt;&gt;"",$I81&lt;=DateRef),"",IF($AF81&lt;DateRef,"En retard",IF($AF81-DateRef&lt;=SeuilAlerteEDL,"À prévoir","À jour"))))</f>
        <v/>
      </c>
      <c r="AH81" s="39"/>
      <c r="AI81" s="39"/>
      <c r="AJ81" s="42" t="str">
        <f aca="false">IF(OR($B81="",$H81=""),"",IF(AND($I81&lt;&gt;"",$I81&lt;=DateRef),"",IF(Effectif&lt;SeuilEffectif,"Non concerné (&lt; "&amp;SeuilEffectif&amp;" salariés)",IF($AH81="Oui","Pas de risque",IF(AND(OR($AI81="Non",$S81="En retard"),$AH81="Non"),"Risque abondement",IF(OR($AI81="Non",$S81="En retard"),"À vérifier (formation ?)",IF($AI81="Oui","Pas de risque","À compléter")))))))</f>
        <v/>
      </c>
      <c r="AK81" s="39"/>
    </row>
    <row r="82" customFormat="false" ht="15" hidden="false" customHeight="false" outlineLevel="0" collapsed="false">
      <c r="A82" s="39"/>
      <c r="B82" s="39"/>
      <c r="C82" s="39"/>
      <c r="D82" s="39"/>
      <c r="E82" s="39"/>
      <c r="F82" s="39"/>
      <c r="G82" s="40"/>
      <c r="H82" s="40"/>
      <c r="I82" s="40"/>
      <c r="J82" s="41" t="str">
        <f aca="false">IF(OR($B82="",$H82=""),"",IF($H82&gt;DateRef,0,YEARFRAC($H82,DateRef,1)))</f>
        <v/>
      </c>
      <c r="K82" s="42" t="str">
        <f aca="false">IF(OR($B82="",$H82=""),"",IF(EDATE($H82,12)&lt;=DateRef,"Plus d'un an","Moins d'un an"))</f>
        <v/>
      </c>
      <c r="L82" s="40"/>
      <c r="M82" s="43" t="str">
        <f aca="false">IF(OR($B82="",$A82=""),"",IF(SUMPRODUCT(MAX((Journal!$A$6:$A$1005=$A82)*Journal!$C$6:$C$1005))=0,"",SUMPRODUCT(MAX((Journal!$A$6:$A$1005=$A82)*Journal!$C$6:$C$1005))))</f>
        <v/>
      </c>
      <c r="N82" s="43" t="str">
        <f aca="false">IF($B82="","",IF(MAX($L82,$M82)=0,"",MAX($L82,$M82)))</f>
        <v/>
      </c>
      <c r="O82" s="44" t="str">
        <f aca="false">IF(OR($B82="",$H82=""),"",IF($N82="",IF(EDATE($H82,DelaiPremierEPP)&gt;DateRef,"1er EPP (1re année)","Aucun entretien renseigné"),IF(AND(ReglesTransitoires="Oui",EDATE($N82,AnciennePeriodiciteEP*12)&lt;DateVigueur),"Retard antérieur à la réforme","Périodicité "&amp;PeriodiciteEPP&amp;" ans")))</f>
        <v/>
      </c>
      <c r="P82" s="43" t="str">
        <f aca="false">IF(OR($B82="",$H82=""),"",IF($N82="",EDATE($H82,DelaiPremierEPP),IF(AND(ReglesTransitoires="Oui",EDATE($N82,AnciennePeriodiciteEP*12)&lt;DateVigueur),EDATE($N82,AnciennePeriodiciteEP*12),EDATE($N82,PeriodiciteEPP*12))))</f>
        <v/>
      </c>
      <c r="Q82" s="40"/>
      <c r="R82" s="45" t="str">
        <f aca="false">IF(OR($P82="",AND($I82&lt;&gt;"",$I82&lt;=DateRef)),"",$P82-DateRef)</f>
        <v/>
      </c>
      <c r="S82" s="42" t="str">
        <f aca="false">IF($B82="","",IF(AND($I82&lt;&gt;"",$I82&lt;=DateRef),"Sorti",IF($H82="","À compléter",IF(AND($Q82&lt;&gt;"",$Q82&gt;=DateRef,$Q82&lt;=$P82),"Planifié",IF($R82&lt;0,"En retard",IF($R82&lt;=SeuilAlerteEPP,"À planifier","À jour"))))))</f>
        <v/>
      </c>
      <c r="T82" s="46" t="str">
        <f aca="false">IF(OR($B82="",$S82="Sorti"),"",MID(IF($H82=""," | Date d'embauche manquante","")&amp;IF(AND($K82="Plus d'un an",$N82="")," | Précédent entretien à renseigner (ancienneté &gt; 1 an)","")&amp;IF($O82="Retard antérieur à la réforme"," | Ancien délai de 2 ans expiré avant la réforme","")&amp;IF(AND($N82&lt;&gt;"",$H82&lt;&gt;"",$N82&lt;$H82)," | Entretien antérieur à l'embauche ?","")&amp;IF(AND($N82&lt;&gt;"",$N82&gt;DateRef)," | Entretien daté dans le futur ?","")&amp;IF(AND($Q82&lt;&gt;"",$P82&lt;&gt;"",$Q82&gt;$P82)," | Date prévue après l'échéance","")&amp;IF(AND($Q82&lt;&gt;"",$Q82&lt;DateRef,OR($N82="",$N82&lt;$Q82))," | Entretien prévu passé : le consigner au Journal","")&amp;IF(AND($G82&lt;&gt;"",$X82="",YEAR(DateRef)-YEAR($G82)&gt;=AgeMiCarriere-1,YEAR(DateRef)-YEAR($G82)&lt;=AgeMiCarriere+1)," | Visite de mi-carrière à vérifier",""),4,1000))</f>
        <v/>
      </c>
      <c r="U82" s="39"/>
      <c r="V82" s="40"/>
      <c r="W82" s="42" t="str">
        <f aca="false">IF(OR($B82="",$V82=""),"",IF(AND($I82&lt;&gt;"",$I82&lt;=DateRef),"",IF(AND($N82&lt;&gt;"",$N82&gt;=$V82),"Réalisé",IF(AND($N82&lt;&gt;"",$N82&gt;=EDATE($V82,-FenetreRetour)),"Dispensé (EPP récent)",IF($V82&gt;DateRef,"À prévoir à la reprise","À proposer (reprise passée)")))))</f>
        <v/>
      </c>
      <c r="X82" s="40"/>
      <c r="Y82" s="43" t="str">
        <f aca="false">IF(OR($B82="",$X82=""),"",EDATE($X82,DelaiMiCarriere))</f>
        <v/>
      </c>
      <c r="Z82" s="42" t="str">
        <f aca="false">IF(OR($B82="",$X82=""),"",IF(AND($I82&lt;&gt;"",$I82&lt;=DateRef),"",IF(AND($N82&lt;&gt;"",$N82&gt;=$X82),"Réalisé",IF($Y82&lt;DateRef,"En retard","À planifier"))))</f>
        <v/>
      </c>
      <c r="AA82" s="47" t="str">
        <f aca="false">IF(OR($B82="",$G82=""),"",IF($G82&gt;DateRef,"",DATEDIF($G82,DateRef,"y")))</f>
        <v/>
      </c>
      <c r="AB82" s="43" t="str">
        <f aca="false">IF(OR($B82="",$G82=""),"",EDATE($G82,AgeFinCarriere*12))</f>
        <v/>
      </c>
      <c r="AC82" s="42" t="str">
        <f aca="false">IF(OR($B82="",$G82="",$H82=""),"",IF(AND($I82&lt;&gt;"",$I82&lt;=DateRef),"",IF($AB82&lt;DateVigueur,"Non concerné",IF(AND($N82&lt;&gt;"",$N82&gt;=MAX(EDATE($AB82,-FenetreFinCarriere*12),DateVigueur),$N82&lt;=$AB82),"Réalisé",IF(DateRef&gt;$AB82,"Non réalisé",IF(AND($Q82&lt;&gt;"",$Q82&gt;=EDATE($AB82,-FenetreFinCarriere*12),$Q82&lt;=$AB82),"Planifié dans la fenêtre",IF(AND(MAX($P82,DateRef)&gt;=EDATE($AB82,-FenetreFinCarriere*12),MAX($P82,DateRef)&lt;=$AB82),"Prochain EPP dans la fenêtre",IF(MAX($P82,DateRef)&gt;$AB82,"À programmer avant 60 ans",""))))))))</f>
        <v/>
      </c>
      <c r="AD82" s="40"/>
      <c r="AE82" s="43" t="str">
        <f aca="false">IF(OR($B82="",$H82="",AND($I82&lt;&gt;"",$I82&lt;=DateRef)),"",MAX($H82,$AD82,IF($A82="",0,SUMPRODUCT(MAX((Journal!$A$6:$A$1005=$A82)*((Journal!$D$6:$D$1005=TypeEDL)+(Journal!$D$6:$D$1005=TypeBilan6))*Journal!$C$6:$C$1005)))))</f>
        <v/>
      </c>
      <c r="AF82" s="43" t="str">
        <f aca="false">IF($AE82="","",IF(AND(ReglesTransitoires="Oui",EDATE($AE82,AnciennePeriodiciteEDL*12)&lt;DateVigueur),EDATE($AE82,AnciennePeriodiciteEDL*12),EDATE($AE82,PeriodiciteEDL*12)))</f>
        <v/>
      </c>
      <c r="AG82" s="42" t="str">
        <f aca="false">IF($AF82="","",IF(AND($I82&lt;&gt;"",$I82&lt;=DateRef),"",IF($AF82&lt;DateRef,"En retard",IF($AF82-DateRef&lt;=SeuilAlerteEDL,"À prévoir","À jour"))))</f>
        <v/>
      </c>
      <c r="AH82" s="39"/>
      <c r="AI82" s="39"/>
      <c r="AJ82" s="42" t="str">
        <f aca="false">IF(OR($B82="",$H82=""),"",IF(AND($I82&lt;&gt;"",$I82&lt;=DateRef),"",IF(Effectif&lt;SeuilEffectif,"Non concerné (&lt; "&amp;SeuilEffectif&amp;" salariés)",IF($AH82="Oui","Pas de risque",IF(AND(OR($AI82="Non",$S82="En retard"),$AH82="Non"),"Risque abondement",IF(OR($AI82="Non",$S82="En retard"),"À vérifier (formation ?)",IF($AI82="Oui","Pas de risque","À compléter")))))))</f>
        <v/>
      </c>
      <c r="AK82" s="39"/>
    </row>
    <row r="83" customFormat="false" ht="15" hidden="false" customHeight="false" outlineLevel="0" collapsed="false">
      <c r="A83" s="39"/>
      <c r="B83" s="39"/>
      <c r="C83" s="39"/>
      <c r="D83" s="39"/>
      <c r="E83" s="39"/>
      <c r="F83" s="39"/>
      <c r="G83" s="40"/>
      <c r="H83" s="40"/>
      <c r="I83" s="40"/>
      <c r="J83" s="41" t="str">
        <f aca="false">IF(OR($B83="",$H83=""),"",IF($H83&gt;DateRef,0,YEARFRAC($H83,DateRef,1)))</f>
        <v/>
      </c>
      <c r="K83" s="42" t="str">
        <f aca="false">IF(OR($B83="",$H83=""),"",IF(EDATE($H83,12)&lt;=DateRef,"Plus d'un an","Moins d'un an"))</f>
        <v/>
      </c>
      <c r="L83" s="40"/>
      <c r="M83" s="43" t="str">
        <f aca="false">IF(OR($B83="",$A83=""),"",IF(SUMPRODUCT(MAX((Journal!$A$6:$A$1005=$A83)*Journal!$C$6:$C$1005))=0,"",SUMPRODUCT(MAX((Journal!$A$6:$A$1005=$A83)*Journal!$C$6:$C$1005))))</f>
        <v/>
      </c>
      <c r="N83" s="43" t="str">
        <f aca="false">IF($B83="","",IF(MAX($L83,$M83)=0,"",MAX($L83,$M83)))</f>
        <v/>
      </c>
      <c r="O83" s="44" t="str">
        <f aca="false">IF(OR($B83="",$H83=""),"",IF($N83="",IF(EDATE($H83,DelaiPremierEPP)&gt;DateRef,"1er EPP (1re année)","Aucun entretien renseigné"),IF(AND(ReglesTransitoires="Oui",EDATE($N83,AnciennePeriodiciteEP*12)&lt;DateVigueur),"Retard antérieur à la réforme","Périodicité "&amp;PeriodiciteEPP&amp;" ans")))</f>
        <v/>
      </c>
      <c r="P83" s="43" t="str">
        <f aca="false">IF(OR($B83="",$H83=""),"",IF($N83="",EDATE($H83,DelaiPremierEPP),IF(AND(ReglesTransitoires="Oui",EDATE($N83,AnciennePeriodiciteEP*12)&lt;DateVigueur),EDATE($N83,AnciennePeriodiciteEP*12),EDATE($N83,PeriodiciteEPP*12))))</f>
        <v/>
      </c>
      <c r="Q83" s="40"/>
      <c r="R83" s="45" t="str">
        <f aca="false">IF(OR($P83="",AND($I83&lt;&gt;"",$I83&lt;=DateRef)),"",$P83-DateRef)</f>
        <v/>
      </c>
      <c r="S83" s="42" t="str">
        <f aca="false">IF($B83="","",IF(AND($I83&lt;&gt;"",$I83&lt;=DateRef),"Sorti",IF($H83="","À compléter",IF(AND($Q83&lt;&gt;"",$Q83&gt;=DateRef,$Q83&lt;=$P83),"Planifié",IF($R83&lt;0,"En retard",IF($R83&lt;=SeuilAlerteEPP,"À planifier","À jour"))))))</f>
        <v/>
      </c>
      <c r="T83" s="46" t="str">
        <f aca="false">IF(OR($B83="",$S83="Sorti"),"",MID(IF($H83=""," | Date d'embauche manquante","")&amp;IF(AND($K83="Plus d'un an",$N83="")," | Précédent entretien à renseigner (ancienneté &gt; 1 an)","")&amp;IF($O83="Retard antérieur à la réforme"," | Ancien délai de 2 ans expiré avant la réforme","")&amp;IF(AND($N83&lt;&gt;"",$H83&lt;&gt;"",$N83&lt;$H83)," | Entretien antérieur à l'embauche ?","")&amp;IF(AND($N83&lt;&gt;"",$N83&gt;DateRef)," | Entretien daté dans le futur ?","")&amp;IF(AND($Q83&lt;&gt;"",$P83&lt;&gt;"",$Q83&gt;$P83)," | Date prévue après l'échéance","")&amp;IF(AND($Q83&lt;&gt;"",$Q83&lt;DateRef,OR($N83="",$N83&lt;$Q83))," | Entretien prévu passé : le consigner au Journal","")&amp;IF(AND($G83&lt;&gt;"",$X83="",YEAR(DateRef)-YEAR($G83)&gt;=AgeMiCarriere-1,YEAR(DateRef)-YEAR($G83)&lt;=AgeMiCarriere+1)," | Visite de mi-carrière à vérifier",""),4,1000))</f>
        <v/>
      </c>
      <c r="U83" s="39"/>
      <c r="V83" s="40"/>
      <c r="W83" s="42" t="str">
        <f aca="false">IF(OR($B83="",$V83=""),"",IF(AND($I83&lt;&gt;"",$I83&lt;=DateRef),"",IF(AND($N83&lt;&gt;"",$N83&gt;=$V83),"Réalisé",IF(AND($N83&lt;&gt;"",$N83&gt;=EDATE($V83,-FenetreRetour)),"Dispensé (EPP récent)",IF($V83&gt;DateRef,"À prévoir à la reprise","À proposer (reprise passée)")))))</f>
        <v/>
      </c>
      <c r="X83" s="40"/>
      <c r="Y83" s="43" t="str">
        <f aca="false">IF(OR($B83="",$X83=""),"",EDATE($X83,DelaiMiCarriere))</f>
        <v/>
      </c>
      <c r="Z83" s="42" t="str">
        <f aca="false">IF(OR($B83="",$X83=""),"",IF(AND($I83&lt;&gt;"",$I83&lt;=DateRef),"",IF(AND($N83&lt;&gt;"",$N83&gt;=$X83),"Réalisé",IF($Y83&lt;DateRef,"En retard","À planifier"))))</f>
        <v/>
      </c>
      <c r="AA83" s="47" t="str">
        <f aca="false">IF(OR($B83="",$G83=""),"",IF($G83&gt;DateRef,"",DATEDIF($G83,DateRef,"y")))</f>
        <v/>
      </c>
      <c r="AB83" s="43" t="str">
        <f aca="false">IF(OR($B83="",$G83=""),"",EDATE($G83,AgeFinCarriere*12))</f>
        <v/>
      </c>
      <c r="AC83" s="42" t="str">
        <f aca="false">IF(OR($B83="",$G83="",$H83=""),"",IF(AND($I83&lt;&gt;"",$I83&lt;=DateRef),"",IF($AB83&lt;DateVigueur,"Non concerné",IF(AND($N83&lt;&gt;"",$N83&gt;=MAX(EDATE($AB83,-FenetreFinCarriere*12),DateVigueur),$N83&lt;=$AB83),"Réalisé",IF(DateRef&gt;$AB83,"Non réalisé",IF(AND($Q83&lt;&gt;"",$Q83&gt;=EDATE($AB83,-FenetreFinCarriere*12),$Q83&lt;=$AB83),"Planifié dans la fenêtre",IF(AND(MAX($P83,DateRef)&gt;=EDATE($AB83,-FenetreFinCarriere*12),MAX($P83,DateRef)&lt;=$AB83),"Prochain EPP dans la fenêtre",IF(MAX($P83,DateRef)&gt;$AB83,"À programmer avant 60 ans",""))))))))</f>
        <v/>
      </c>
      <c r="AD83" s="40"/>
      <c r="AE83" s="43" t="str">
        <f aca="false">IF(OR($B83="",$H83="",AND($I83&lt;&gt;"",$I83&lt;=DateRef)),"",MAX($H83,$AD83,IF($A83="",0,SUMPRODUCT(MAX((Journal!$A$6:$A$1005=$A83)*((Journal!$D$6:$D$1005=TypeEDL)+(Journal!$D$6:$D$1005=TypeBilan6))*Journal!$C$6:$C$1005)))))</f>
        <v/>
      </c>
      <c r="AF83" s="43" t="str">
        <f aca="false">IF($AE83="","",IF(AND(ReglesTransitoires="Oui",EDATE($AE83,AnciennePeriodiciteEDL*12)&lt;DateVigueur),EDATE($AE83,AnciennePeriodiciteEDL*12),EDATE($AE83,PeriodiciteEDL*12)))</f>
        <v/>
      </c>
      <c r="AG83" s="42" t="str">
        <f aca="false">IF($AF83="","",IF(AND($I83&lt;&gt;"",$I83&lt;=DateRef),"",IF($AF83&lt;DateRef,"En retard",IF($AF83-DateRef&lt;=SeuilAlerteEDL,"À prévoir","À jour"))))</f>
        <v/>
      </c>
      <c r="AH83" s="39"/>
      <c r="AI83" s="39"/>
      <c r="AJ83" s="42" t="str">
        <f aca="false">IF(OR($B83="",$H83=""),"",IF(AND($I83&lt;&gt;"",$I83&lt;=DateRef),"",IF(Effectif&lt;SeuilEffectif,"Non concerné (&lt; "&amp;SeuilEffectif&amp;" salariés)",IF($AH83="Oui","Pas de risque",IF(AND(OR($AI83="Non",$S83="En retard"),$AH83="Non"),"Risque abondement",IF(OR($AI83="Non",$S83="En retard"),"À vérifier (formation ?)",IF($AI83="Oui","Pas de risque","À compléter")))))))</f>
        <v/>
      </c>
      <c r="AK83" s="39"/>
    </row>
    <row r="84" customFormat="false" ht="15" hidden="false" customHeight="false" outlineLevel="0" collapsed="false">
      <c r="A84" s="39"/>
      <c r="B84" s="39"/>
      <c r="C84" s="39"/>
      <c r="D84" s="39"/>
      <c r="E84" s="39"/>
      <c r="F84" s="39"/>
      <c r="G84" s="40"/>
      <c r="H84" s="40"/>
      <c r="I84" s="40"/>
      <c r="J84" s="41" t="str">
        <f aca="false">IF(OR($B84="",$H84=""),"",IF($H84&gt;DateRef,0,YEARFRAC($H84,DateRef,1)))</f>
        <v/>
      </c>
      <c r="K84" s="42" t="str">
        <f aca="false">IF(OR($B84="",$H84=""),"",IF(EDATE($H84,12)&lt;=DateRef,"Plus d'un an","Moins d'un an"))</f>
        <v/>
      </c>
      <c r="L84" s="40"/>
      <c r="M84" s="43" t="str">
        <f aca="false">IF(OR($B84="",$A84=""),"",IF(SUMPRODUCT(MAX((Journal!$A$6:$A$1005=$A84)*Journal!$C$6:$C$1005))=0,"",SUMPRODUCT(MAX((Journal!$A$6:$A$1005=$A84)*Journal!$C$6:$C$1005))))</f>
        <v/>
      </c>
      <c r="N84" s="43" t="str">
        <f aca="false">IF($B84="","",IF(MAX($L84,$M84)=0,"",MAX($L84,$M84)))</f>
        <v/>
      </c>
      <c r="O84" s="44" t="str">
        <f aca="false">IF(OR($B84="",$H84=""),"",IF($N84="",IF(EDATE($H84,DelaiPremierEPP)&gt;DateRef,"1er EPP (1re année)","Aucun entretien renseigné"),IF(AND(ReglesTransitoires="Oui",EDATE($N84,AnciennePeriodiciteEP*12)&lt;DateVigueur),"Retard antérieur à la réforme","Périodicité "&amp;PeriodiciteEPP&amp;" ans")))</f>
        <v/>
      </c>
      <c r="P84" s="43" t="str">
        <f aca="false">IF(OR($B84="",$H84=""),"",IF($N84="",EDATE($H84,DelaiPremierEPP),IF(AND(ReglesTransitoires="Oui",EDATE($N84,AnciennePeriodiciteEP*12)&lt;DateVigueur),EDATE($N84,AnciennePeriodiciteEP*12),EDATE($N84,PeriodiciteEPP*12))))</f>
        <v/>
      </c>
      <c r="Q84" s="40"/>
      <c r="R84" s="45" t="str">
        <f aca="false">IF(OR($P84="",AND($I84&lt;&gt;"",$I84&lt;=DateRef)),"",$P84-DateRef)</f>
        <v/>
      </c>
      <c r="S84" s="42" t="str">
        <f aca="false">IF($B84="","",IF(AND($I84&lt;&gt;"",$I84&lt;=DateRef),"Sorti",IF($H84="","À compléter",IF(AND($Q84&lt;&gt;"",$Q84&gt;=DateRef,$Q84&lt;=$P84),"Planifié",IF($R84&lt;0,"En retard",IF($R84&lt;=SeuilAlerteEPP,"À planifier","À jour"))))))</f>
        <v/>
      </c>
      <c r="T84" s="46" t="str">
        <f aca="false">IF(OR($B84="",$S84="Sorti"),"",MID(IF($H84=""," | Date d'embauche manquante","")&amp;IF(AND($K84="Plus d'un an",$N84="")," | Précédent entretien à renseigner (ancienneté &gt; 1 an)","")&amp;IF($O84="Retard antérieur à la réforme"," | Ancien délai de 2 ans expiré avant la réforme","")&amp;IF(AND($N84&lt;&gt;"",$H84&lt;&gt;"",$N84&lt;$H84)," | Entretien antérieur à l'embauche ?","")&amp;IF(AND($N84&lt;&gt;"",$N84&gt;DateRef)," | Entretien daté dans le futur ?","")&amp;IF(AND($Q84&lt;&gt;"",$P84&lt;&gt;"",$Q84&gt;$P84)," | Date prévue après l'échéance","")&amp;IF(AND($Q84&lt;&gt;"",$Q84&lt;DateRef,OR($N84="",$N84&lt;$Q84))," | Entretien prévu passé : le consigner au Journal","")&amp;IF(AND($G84&lt;&gt;"",$X84="",YEAR(DateRef)-YEAR($G84)&gt;=AgeMiCarriere-1,YEAR(DateRef)-YEAR($G84)&lt;=AgeMiCarriere+1)," | Visite de mi-carrière à vérifier",""),4,1000))</f>
        <v/>
      </c>
      <c r="U84" s="39"/>
      <c r="V84" s="40"/>
      <c r="W84" s="42" t="str">
        <f aca="false">IF(OR($B84="",$V84=""),"",IF(AND($I84&lt;&gt;"",$I84&lt;=DateRef),"",IF(AND($N84&lt;&gt;"",$N84&gt;=$V84),"Réalisé",IF(AND($N84&lt;&gt;"",$N84&gt;=EDATE($V84,-FenetreRetour)),"Dispensé (EPP récent)",IF($V84&gt;DateRef,"À prévoir à la reprise","À proposer (reprise passée)")))))</f>
        <v/>
      </c>
      <c r="X84" s="40"/>
      <c r="Y84" s="43" t="str">
        <f aca="false">IF(OR($B84="",$X84=""),"",EDATE($X84,DelaiMiCarriere))</f>
        <v/>
      </c>
      <c r="Z84" s="42" t="str">
        <f aca="false">IF(OR($B84="",$X84=""),"",IF(AND($I84&lt;&gt;"",$I84&lt;=DateRef),"",IF(AND($N84&lt;&gt;"",$N84&gt;=$X84),"Réalisé",IF($Y84&lt;DateRef,"En retard","À planifier"))))</f>
        <v/>
      </c>
      <c r="AA84" s="47" t="str">
        <f aca="false">IF(OR($B84="",$G84=""),"",IF($G84&gt;DateRef,"",DATEDIF($G84,DateRef,"y")))</f>
        <v/>
      </c>
      <c r="AB84" s="43" t="str">
        <f aca="false">IF(OR($B84="",$G84=""),"",EDATE($G84,AgeFinCarriere*12))</f>
        <v/>
      </c>
      <c r="AC84" s="42" t="str">
        <f aca="false">IF(OR($B84="",$G84="",$H84=""),"",IF(AND($I84&lt;&gt;"",$I84&lt;=DateRef),"",IF($AB84&lt;DateVigueur,"Non concerné",IF(AND($N84&lt;&gt;"",$N84&gt;=MAX(EDATE($AB84,-FenetreFinCarriere*12),DateVigueur),$N84&lt;=$AB84),"Réalisé",IF(DateRef&gt;$AB84,"Non réalisé",IF(AND($Q84&lt;&gt;"",$Q84&gt;=EDATE($AB84,-FenetreFinCarriere*12),$Q84&lt;=$AB84),"Planifié dans la fenêtre",IF(AND(MAX($P84,DateRef)&gt;=EDATE($AB84,-FenetreFinCarriere*12),MAX($P84,DateRef)&lt;=$AB84),"Prochain EPP dans la fenêtre",IF(MAX($P84,DateRef)&gt;$AB84,"À programmer avant 60 ans",""))))))))</f>
        <v/>
      </c>
      <c r="AD84" s="40"/>
      <c r="AE84" s="43" t="str">
        <f aca="false">IF(OR($B84="",$H84="",AND($I84&lt;&gt;"",$I84&lt;=DateRef)),"",MAX($H84,$AD84,IF($A84="",0,SUMPRODUCT(MAX((Journal!$A$6:$A$1005=$A84)*((Journal!$D$6:$D$1005=TypeEDL)+(Journal!$D$6:$D$1005=TypeBilan6))*Journal!$C$6:$C$1005)))))</f>
        <v/>
      </c>
      <c r="AF84" s="43" t="str">
        <f aca="false">IF($AE84="","",IF(AND(ReglesTransitoires="Oui",EDATE($AE84,AnciennePeriodiciteEDL*12)&lt;DateVigueur),EDATE($AE84,AnciennePeriodiciteEDL*12),EDATE($AE84,PeriodiciteEDL*12)))</f>
        <v/>
      </c>
      <c r="AG84" s="42" t="str">
        <f aca="false">IF($AF84="","",IF(AND($I84&lt;&gt;"",$I84&lt;=DateRef),"",IF($AF84&lt;DateRef,"En retard",IF($AF84-DateRef&lt;=SeuilAlerteEDL,"À prévoir","À jour"))))</f>
        <v/>
      </c>
      <c r="AH84" s="39"/>
      <c r="AI84" s="39"/>
      <c r="AJ84" s="42" t="str">
        <f aca="false">IF(OR($B84="",$H84=""),"",IF(AND($I84&lt;&gt;"",$I84&lt;=DateRef),"",IF(Effectif&lt;SeuilEffectif,"Non concerné (&lt; "&amp;SeuilEffectif&amp;" salariés)",IF($AH84="Oui","Pas de risque",IF(AND(OR($AI84="Non",$S84="En retard"),$AH84="Non"),"Risque abondement",IF(OR($AI84="Non",$S84="En retard"),"À vérifier (formation ?)",IF($AI84="Oui","Pas de risque","À compléter")))))))</f>
        <v/>
      </c>
      <c r="AK84" s="39"/>
    </row>
    <row r="85" customFormat="false" ht="15" hidden="false" customHeight="false" outlineLevel="0" collapsed="false">
      <c r="A85" s="39"/>
      <c r="B85" s="39"/>
      <c r="C85" s="39"/>
      <c r="D85" s="39"/>
      <c r="E85" s="39"/>
      <c r="F85" s="39"/>
      <c r="G85" s="40"/>
      <c r="H85" s="40"/>
      <c r="I85" s="40"/>
      <c r="J85" s="41" t="str">
        <f aca="false">IF(OR($B85="",$H85=""),"",IF($H85&gt;DateRef,0,YEARFRAC($H85,DateRef,1)))</f>
        <v/>
      </c>
      <c r="K85" s="42" t="str">
        <f aca="false">IF(OR($B85="",$H85=""),"",IF(EDATE($H85,12)&lt;=DateRef,"Plus d'un an","Moins d'un an"))</f>
        <v/>
      </c>
      <c r="L85" s="40"/>
      <c r="M85" s="43" t="str">
        <f aca="false">IF(OR($B85="",$A85=""),"",IF(SUMPRODUCT(MAX((Journal!$A$6:$A$1005=$A85)*Journal!$C$6:$C$1005))=0,"",SUMPRODUCT(MAX((Journal!$A$6:$A$1005=$A85)*Journal!$C$6:$C$1005))))</f>
        <v/>
      </c>
      <c r="N85" s="43" t="str">
        <f aca="false">IF($B85="","",IF(MAX($L85,$M85)=0,"",MAX($L85,$M85)))</f>
        <v/>
      </c>
      <c r="O85" s="44" t="str">
        <f aca="false">IF(OR($B85="",$H85=""),"",IF($N85="",IF(EDATE($H85,DelaiPremierEPP)&gt;DateRef,"1er EPP (1re année)","Aucun entretien renseigné"),IF(AND(ReglesTransitoires="Oui",EDATE($N85,AnciennePeriodiciteEP*12)&lt;DateVigueur),"Retard antérieur à la réforme","Périodicité "&amp;PeriodiciteEPP&amp;" ans")))</f>
        <v/>
      </c>
      <c r="P85" s="43" t="str">
        <f aca="false">IF(OR($B85="",$H85=""),"",IF($N85="",EDATE($H85,DelaiPremierEPP),IF(AND(ReglesTransitoires="Oui",EDATE($N85,AnciennePeriodiciteEP*12)&lt;DateVigueur),EDATE($N85,AnciennePeriodiciteEP*12),EDATE($N85,PeriodiciteEPP*12))))</f>
        <v/>
      </c>
      <c r="Q85" s="40"/>
      <c r="R85" s="45" t="str">
        <f aca="false">IF(OR($P85="",AND($I85&lt;&gt;"",$I85&lt;=DateRef)),"",$P85-DateRef)</f>
        <v/>
      </c>
      <c r="S85" s="42" t="str">
        <f aca="false">IF($B85="","",IF(AND($I85&lt;&gt;"",$I85&lt;=DateRef),"Sorti",IF($H85="","À compléter",IF(AND($Q85&lt;&gt;"",$Q85&gt;=DateRef,$Q85&lt;=$P85),"Planifié",IF($R85&lt;0,"En retard",IF($R85&lt;=SeuilAlerteEPP,"À planifier","À jour"))))))</f>
        <v/>
      </c>
      <c r="T85" s="46" t="str">
        <f aca="false">IF(OR($B85="",$S85="Sorti"),"",MID(IF($H85=""," | Date d'embauche manquante","")&amp;IF(AND($K85="Plus d'un an",$N85="")," | Précédent entretien à renseigner (ancienneté &gt; 1 an)","")&amp;IF($O85="Retard antérieur à la réforme"," | Ancien délai de 2 ans expiré avant la réforme","")&amp;IF(AND($N85&lt;&gt;"",$H85&lt;&gt;"",$N85&lt;$H85)," | Entretien antérieur à l'embauche ?","")&amp;IF(AND($N85&lt;&gt;"",$N85&gt;DateRef)," | Entretien daté dans le futur ?","")&amp;IF(AND($Q85&lt;&gt;"",$P85&lt;&gt;"",$Q85&gt;$P85)," | Date prévue après l'échéance","")&amp;IF(AND($Q85&lt;&gt;"",$Q85&lt;DateRef,OR($N85="",$N85&lt;$Q85))," | Entretien prévu passé : le consigner au Journal","")&amp;IF(AND($G85&lt;&gt;"",$X85="",YEAR(DateRef)-YEAR($G85)&gt;=AgeMiCarriere-1,YEAR(DateRef)-YEAR($G85)&lt;=AgeMiCarriere+1)," | Visite de mi-carrière à vérifier",""),4,1000))</f>
        <v/>
      </c>
      <c r="U85" s="39"/>
      <c r="V85" s="40"/>
      <c r="W85" s="42" t="str">
        <f aca="false">IF(OR($B85="",$V85=""),"",IF(AND($I85&lt;&gt;"",$I85&lt;=DateRef),"",IF(AND($N85&lt;&gt;"",$N85&gt;=$V85),"Réalisé",IF(AND($N85&lt;&gt;"",$N85&gt;=EDATE($V85,-FenetreRetour)),"Dispensé (EPP récent)",IF($V85&gt;DateRef,"À prévoir à la reprise","À proposer (reprise passée)")))))</f>
        <v/>
      </c>
      <c r="X85" s="40"/>
      <c r="Y85" s="43" t="str">
        <f aca="false">IF(OR($B85="",$X85=""),"",EDATE($X85,DelaiMiCarriere))</f>
        <v/>
      </c>
      <c r="Z85" s="42" t="str">
        <f aca="false">IF(OR($B85="",$X85=""),"",IF(AND($I85&lt;&gt;"",$I85&lt;=DateRef),"",IF(AND($N85&lt;&gt;"",$N85&gt;=$X85),"Réalisé",IF($Y85&lt;DateRef,"En retard","À planifier"))))</f>
        <v/>
      </c>
      <c r="AA85" s="47" t="str">
        <f aca="false">IF(OR($B85="",$G85=""),"",IF($G85&gt;DateRef,"",DATEDIF($G85,DateRef,"y")))</f>
        <v/>
      </c>
      <c r="AB85" s="43" t="str">
        <f aca="false">IF(OR($B85="",$G85=""),"",EDATE($G85,AgeFinCarriere*12))</f>
        <v/>
      </c>
      <c r="AC85" s="42" t="str">
        <f aca="false">IF(OR($B85="",$G85="",$H85=""),"",IF(AND($I85&lt;&gt;"",$I85&lt;=DateRef),"",IF($AB85&lt;DateVigueur,"Non concerné",IF(AND($N85&lt;&gt;"",$N85&gt;=MAX(EDATE($AB85,-FenetreFinCarriere*12),DateVigueur),$N85&lt;=$AB85),"Réalisé",IF(DateRef&gt;$AB85,"Non réalisé",IF(AND($Q85&lt;&gt;"",$Q85&gt;=EDATE($AB85,-FenetreFinCarriere*12),$Q85&lt;=$AB85),"Planifié dans la fenêtre",IF(AND(MAX($P85,DateRef)&gt;=EDATE($AB85,-FenetreFinCarriere*12),MAX($P85,DateRef)&lt;=$AB85),"Prochain EPP dans la fenêtre",IF(MAX($P85,DateRef)&gt;$AB85,"À programmer avant 60 ans",""))))))))</f>
        <v/>
      </c>
      <c r="AD85" s="40"/>
      <c r="AE85" s="43" t="str">
        <f aca="false">IF(OR($B85="",$H85="",AND($I85&lt;&gt;"",$I85&lt;=DateRef)),"",MAX($H85,$AD85,IF($A85="",0,SUMPRODUCT(MAX((Journal!$A$6:$A$1005=$A85)*((Journal!$D$6:$D$1005=TypeEDL)+(Journal!$D$6:$D$1005=TypeBilan6))*Journal!$C$6:$C$1005)))))</f>
        <v/>
      </c>
      <c r="AF85" s="43" t="str">
        <f aca="false">IF($AE85="","",IF(AND(ReglesTransitoires="Oui",EDATE($AE85,AnciennePeriodiciteEDL*12)&lt;DateVigueur),EDATE($AE85,AnciennePeriodiciteEDL*12),EDATE($AE85,PeriodiciteEDL*12)))</f>
        <v/>
      </c>
      <c r="AG85" s="42" t="str">
        <f aca="false">IF($AF85="","",IF(AND($I85&lt;&gt;"",$I85&lt;=DateRef),"",IF($AF85&lt;DateRef,"En retard",IF($AF85-DateRef&lt;=SeuilAlerteEDL,"À prévoir","À jour"))))</f>
        <v/>
      </c>
      <c r="AH85" s="39"/>
      <c r="AI85" s="39"/>
      <c r="AJ85" s="42" t="str">
        <f aca="false">IF(OR($B85="",$H85=""),"",IF(AND($I85&lt;&gt;"",$I85&lt;=DateRef),"",IF(Effectif&lt;SeuilEffectif,"Non concerné (&lt; "&amp;SeuilEffectif&amp;" salariés)",IF($AH85="Oui","Pas de risque",IF(AND(OR($AI85="Non",$S85="En retard"),$AH85="Non"),"Risque abondement",IF(OR($AI85="Non",$S85="En retard"),"À vérifier (formation ?)",IF($AI85="Oui","Pas de risque","À compléter")))))))</f>
        <v/>
      </c>
      <c r="AK85" s="39"/>
    </row>
    <row r="86" customFormat="false" ht="15" hidden="false" customHeight="false" outlineLevel="0" collapsed="false">
      <c r="A86" s="39"/>
      <c r="B86" s="39"/>
      <c r="C86" s="39"/>
      <c r="D86" s="39"/>
      <c r="E86" s="39"/>
      <c r="F86" s="39"/>
      <c r="G86" s="40"/>
      <c r="H86" s="40"/>
      <c r="I86" s="40"/>
      <c r="J86" s="41" t="str">
        <f aca="false">IF(OR($B86="",$H86=""),"",IF($H86&gt;DateRef,0,YEARFRAC($H86,DateRef,1)))</f>
        <v/>
      </c>
      <c r="K86" s="42" t="str">
        <f aca="false">IF(OR($B86="",$H86=""),"",IF(EDATE($H86,12)&lt;=DateRef,"Plus d'un an","Moins d'un an"))</f>
        <v/>
      </c>
      <c r="L86" s="40"/>
      <c r="M86" s="43" t="str">
        <f aca="false">IF(OR($B86="",$A86=""),"",IF(SUMPRODUCT(MAX((Journal!$A$6:$A$1005=$A86)*Journal!$C$6:$C$1005))=0,"",SUMPRODUCT(MAX((Journal!$A$6:$A$1005=$A86)*Journal!$C$6:$C$1005))))</f>
        <v/>
      </c>
      <c r="N86" s="43" t="str">
        <f aca="false">IF($B86="","",IF(MAX($L86,$M86)=0,"",MAX($L86,$M86)))</f>
        <v/>
      </c>
      <c r="O86" s="44" t="str">
        <f aca="false">IF(OR($B86="",$H86=""),"",IF($N86="",IF(EDATE($H86,DelaiPremierEPP)&gt;DateRef,"1er EPP (1re année)","Aucun entretien renseigné"),IF(AND(ReglesTransitoires="Oui",EDATE($N86,AnciennePeriodiciteEP*12)&lt;DateVigueur),"Retard antérieur à la réforme","Périodicité "&amp;PeriodiciteEPP&amp;" ans")))</f>
        <v/>
      </c>
      <c r="P86" s="43" t="str">
        <f aca="false">IF(OR($B86="",$H86=""),"",IF($N86="",EDATE($H86,DelaiPremierEPP),IF(AND(ReglesTransitoires="Oui",EDATE($N86,AnciennePeriodiciteEP*12)&lt;DateVigueur),EDATE($N86,AnciennePeriodiciteEP*12),EDATE($N86,PeriodiciteEPP*12))))</f>
        <v/>
      </c>
      <c r="Q86" s="40"/>
      <c r="R86" s="45" t="str">
        <f aca="false">IF(OR($P86="",AND($I86&lt;&gt;"",$I86&lt;=DateRef)),"",$P86-DateRef)</f>
        <v/>
      </c>
      <c r="S86" s="42" t="str">
        <f aca="false">IF($B86="","",IF(AND($I86&lt;&gt;"",$I86&lt;=DateRef),"Sorti",IF($H86="","À compléter",IF(AND($Q86&lt;&gt;"",$Q86&gt;=DateRef,$Q86&lt;=$P86),"Planifié",IF($R86&lt;0,"En retard",IF($R86&lt;=SeuilAlerteEPP,"À planifier","À jour"))))))</f>
        <v/>
      </c>
      <c r="T86" s="46" t="str">
        <f aca="false">IF(OR($B86="",$S86="Sorti"),"",MID(IF($H86=""," | Date d'embauche manquante","")&amp;IF(AND($K86="Plus d'un an",$N86="")," | Précédent entretien à renseigner (ancienneté &gt; 1 an)","")&amp;IF($O86="Retard antérieur à la réforme"," | Ancien délai de 2 ans expiré avant la réforme","")&amp;IF(AND($N86&lt;&gt;"",$H86&lt;&gt;"",$N86&lt;$H86)," | Entretien antérieur à l'embauche ?","")&amp;IF(AND($N86&lt;&gt;"",$N86&gt;DateRef)," | Entretien daté dans le futur ?","")&amp;IF(AND($Q86&lt;&gt;"",$P86&lt;&gt;"",$Q86&gt;$P86)," | Date prévue après l'échéance","")&amp;IF(AND($Q86&lt;&gt;"",$Q86&lt;DateRef,OR($N86="",$N86&lt;$Q86))," | Entretien prévu passé : le consigner au Journal","")&amp;IF(AND($G86&lt;&gt;"",$X86="",YEAR(DateRef)-YEAR($G86)&gt;=AgeMiCarriere-1,YEAR(DateRef)-YEAR($G86)&lt;=AgeMiCarriere+1)," | Visite de mi-carrière à vérifier",""),4,1000))</f>
        <v/>
      </c>
      <c r="U86" s="39"/>
      <c r="V86" s="40"/>
      <c r="W86" s="42" t="str">
        <f aca="false">IF(OR($B86="",$V86=""),"",IF(AND($I86&lt;&gt;"",$I86&lt;=DateRef),"",IF(AND($N86&lt;&gt;"",$N86&gt;=$V86),"Réalisé",IF(AND($N86&lt;&gt;"",$N86&gt;=EDATE($V86,-FenetreRetour)),"Dispensé (EPP récent)",IF($V86&gt;DateRef,"À prévoir à la reprise","À proposer (reprise passée)")))))</f>
        <v/>
      </c>
      <c r="X86" s="40"/>
      <c r="Y86" s="43" t="str">
        <f aca="false">IF(OR($B86="",$X86=""),"",EDATE($X86,DelaiMiCarriere))</f>
        <v/>
      </c>
      <c r="Z86" s="42" t="str">
        <f aca="false">IF(OR($B86="",$X86=""),"",IF(AND($I86&lt;&gt;"",$I86&lt;=DateRef),"",IF(AND($N86&lt;&gt;"",$N86&gt;=$X86),"Réalisé",IF($Y86&lt;DateRef,"En retard","À planifier"))))</f>
        <v/>
      </c>
      <c r="AA86" s="47" t="str">
        <f aca="false">IF(OR($B86="",$G86=""),"",IF($G86&gt;DateRef,"",DATEDIF($G86,DateRef,"y")))</f>
        <v/>
      </c>
      <c r="AB86" s="43" t="str">
        <f aca="false">IF(OR($B86="",$G86=""),"",EDATE($G86,AgeFinCarriere*12))</f>
        <v/>
      </c>
      <c r="AC86" s="42" t="str">
        <f aca="false">IF(OR($B86="",$G86="",$H86=""),"",IF(AND($I86&lt;&gt;"",$I86&lt;=DateRef),"",IF($AB86&lt;DateVigueur,"Non concerné",IF(AND($N86&lt;&gt;"",$N86&gt;=MAX(EDATE($AB86,-FenetreFinCarriere*12),DateVigueur),$N86&lt;=$AB86),"Réalisé",IF(DateRef&gt;$AB86,"Non réalisé",IF(AND($Q86&lt;&gt;"",$Q86&gt;=EDATE($AB86,-FenetreFinCarriere*12),$Q86&lt;=$AB86),"Planifié dans la fenêtre",IF(AND(MAX($P86,DateRef)&gt;=EDATE($AB86,-FenetreFinCarriere*12),MAX($P86,DateRef)&lt;=$AB86),"Prochain EPP dans la fenêtre",IF(MAX($P86,DateRef)&gt;$AB86,"À programmer avant 60 ans",""))))))))</f>
        <v/>
      </c>
      <c r="AD86" s="40"/>
      <c r="AE86" s="43" t="str">
        <f aca="false">IF(OR($B86="",$H86="",AND($I86&lt;&gt;"",$I86&lt;=DateRef)),"",MAX($H86,$AD86,IF($A86="",0,SUMPRODUCT(MAX((Journal!$A$6:$A$1005=$A86)*((Journal!$D$6:$D$1005=TypeEDL)+(Journal!$D$6:$D$1005=TypeBilan6))*Journal!$C$6:$C$1005)))))</f>
        <v/>
      </c>
      <c r="AF86" s="43" t="str">
        <f aca="false">IF($AE86="","",IF(AND(ReglesTransitoires="Oui",EDATE($AE86,AnciennePeriodiciteEDL*12)&lt;DateVigueur),EDATE($AE86,AnciennePeriodiciteEDL*12),EDATE($AE86,PeriodiciteEDL*12)))</f>
        <v/>
      </c>
      <c r="AG86" s="42" t="str">
        <f aca="false">IF($AF86="","",IF(AND($I86&lt;&gt;"",$I86&lt;=DateRef),"",IF($AF86&lt;DateRef,"En retard",IF($AF86-DateRef&lt;=SeuilAlerteEDL,"À prévoir","À jour"))))</f>
        <v/>
      </c>
      <c r="AH86" s="39"/>
      <c r="AI86" s="39"/>
      <c r="AJ86" s="42" t="str">
        <f aca="false">IF(OR($B86="",$H86=""),"",IF(AND($I86&lt;&gt;"",$I86&lt;=DateRef),"",IF(Effectif&lt;SeuilEffectif,"Non concerné (&lt; "&amp;SeuilEffectif&amp;" salariés)",IF($AH86="Oui","Pas de risque",IF(AND(OR($AI86="Non",$S86="En retard"),$AH86="Non"),"Risque abondement",IF(OR($AI86="Non",$S86="En retard"),"À vérifier (formation ?)",IF($AI86="Oui","Pas de risque","À compléter")))))))</f>
        <v/>
      </c>
      <c r="AK86" s="39"/>
    </row>
    <row r="87" customFormat="false" ht="15" hidden="false" customHeight="false" outlineLevel="0" collapsed="false">
      <c r="A87" s="39"/>
      <c r="B87" s="39"/>
      <c r="C87" s="39"/>
      <c r="D87" s="39"/>
      <c r="E87" s="39"/>
      <c r="F87" s="39"/>
      <c r="G87" s="40"/>
      <c r="H87" s="40"/>
      <c r="I87" s="40"/>
      <c r="J87" s="41" t="str">
        <f aca="false">IF(OR($B87="",$H87=""),"",IF($H87&gt;DateRef,0,YEARFRAC($H87,DateRef,1)))</f>
        <v/>
      </c>
      <c r="K87" s="42" t="str">
        <f aca="false">IF(OR($B87="",$H87=""),"",IF(EDATE($H87,12)&lt;=DateRef,"Plus d'un an","Moins d'un an"))</f>
        <v/>
      </c>
      <c r="L87" s="40"/>
      <c r="M87" s="43" t="str">
        <f aca="false">IF(OR($B87="",$A87=""),"",IF(SUMPRODUCT(MAX((Journal!$A$6:$A$1005=$A87)*Journal!$C$6:$C$1005))=0,"",SUMPRODUCT(MAX((Journal!$A$6:$A$1005=$A87)*Journal!$C$6:$C$1005))))</f>
        <v/>
      </c>
      <c r="N87" s="43" t="str">
        <f aca="false">IF($B87="","",IF(MAX($L87,$M87)=0,"",MAX($L87,$M87)))</f>
        <v/>
      </c>
      <c r="O87" s="44" t="str">
        <f aca="false">IF(OR($B87="",$H87=""),"",IF($N87="",IF(EDATE($H87,DelaiPremierEPP)&gt;DateRef,"1er EPP (1re année)","Aucun entretien renseigné"),IF(AND(ReglesTransitoires="Oui",EDATE($N87,AnciennePeriodiciteEP*12)&lt;DateVigueur),"Retard antérieur à la réforme","Périodicité "&amp;PeriodiciteEPP&amp;" ans")))</f>
        <v/>
      </c>
      <c r="P87" s="43" t="str">
        <f aca="false">IF(OR($B87="",$H87=""),"",IF($N87="",EDATE($H87,DelaiPremierEPP),IF(AND(ReglesTransitoires="Oui",EDATE($N87,AnciennePeriodiciteEP*12)&lt;DateVigueur),EDATE($N87,AnciennePeriodiciteEP*12),EDATE($N87,PeriodiciteEPP*12))))</f>
        <v/>
      </c>
      <c r="Q87" s="40"/>
      <c r="R87" s="45" t="str">
        <f aca="false">IF(OR($P87="",AND($I87&lt;&gt;"",$I87&lt;=DateRef)),"",$P87-DateRef)</f>
        <v/>
      </c>
      <c r="S87" s="42" t="str">
        <f aca="false">IF($B87="","",IF(AND($I87&lt;&gt;"",$I87&lt;=DateRef),"Sorti",IF($H87="","À compléter",IF(AND($Q87&lt;&gt;"",$Q87&gt;=DateRef,$Q87&lt;=$P87),"Planifié",IF($R87&lt;0,"En retard",IF($R87&lt;=SeuilAlerteEPP,"À planifier","À jour"))))))</f>
        <v/>
      </c>
      <c r="T87" s="46" t="str">
        <f aca="false">IF(OR($B87="",$S87="Sorti"),"",MID(IF($H87=""," | Date d'embauche manquante","")&amp;IF(AND($K87="Plus d'un an",$N87="")," | Précédent entretien à renseigner (ancienneté &gt; 1 an)","")&amp;IF($O87="Retard antérieur à la réforme"," | Ancien délai de 2 ans expiré avant la réforme","")&amp;IF(AND($N87&lt;&gt;"",$H87&lt;&gt;"",$N87&lt;$H87)," | Entretien antérieur à l'embauche ?","")&amp;IF(AND($N87&lt;&gt;"",$N87&gt;DateRef)," | Entretien daté dans le futur ?","")&amp;IF(AND($Q87&lt;&gt;"",$P87&lt;&gt;"",$Q87&gt;$P87)," | Date prévue après l'échéance","")&amp;IF(AND($Q87&lt;&gt;"",$Q87&lt;DateRef,OR($N87="",$N87&lt;$Q87))," | Entretien prévu passé : le consigner au Journal","")&amp;IF(AND($G87&lt;&gt;"",$X87="",YEAR(DateRef)-YEAR($G87)&gt;=AgeMiCarriere-1,YEAR(DateRef)-YEAR($G87)&lt;=AgeMiCarriere+1)," | Visite de mi-carrière à vérifier",""),4,1000))</f>
        <v/>
      </c>
      <c r="U87" s="39"/>
      <c r="V87" s="40"/>
      <c r="W87" s="42" t="str">
        <f aca="false">IF(OR($B87="",$V87=""),"",IF(AND($I87&lt;&gt;"",$I87&lt;=DateRef),"",IF(AND($N87&lt;&gt;"",$N87&gt;=$V87),"Réalisé",IF(AND($N87&lt;&gt;"",$N87&gt;=EDATE($V87,-FenetreRetour)),"Dispensé (EPP récent)",IF($V87&gt;DateRef,"À prévoir à la reprise","À proposer (reprise passée)")))))</f>
        <v/>
      </c>
      <c r="X87" s="40"/>
      <c r="Y87" s="43" t="str">
        <f aca="false">IF(OR($B87="",$X87=""),"",EDATE($X87,DelaiMiCarriere))</f>
        <v/>
      </c>
      <c r="Z87" s="42" t="str">
        <f aca="false">IF(OR($B87="",$X87=""),"",IF(AND($I87&lt;&gt;"",$I87&lt;=DateRef),"",IF(AND($N87&lt;&gt;"",$N87&gt;=$X87),"Réalisé",IF($Y87&lt;DateRef,"En retard","À planifier"))))</f>
        <v/>
      </c>
      <c r="AA87" s="47" t="str">
        <f aca="false">IF(OR($B87="",$G87=""),"",IF($G87&gt;DateRef,"",DATEDIF($G87,DateRef,"y")))</f>
        <v/>
      </c>
      <c r="AB87" s="43" t="str">
        <f aca="false">IF(OR($B87="",$G87=""),"",EDATE($G87,AgeFinCarriere*12))</f>
        <v/>
      </c>
      <c r="AC87" s="42" t="str">
        <f aca="false">IF(OR($B87="",$G87="",$H87=""),"",IF(AND($I87&lt;&gt;"",$I87&lt;=DateRef),"",IF($AB87&lt;DateVigueur,"Non concerné",IF(AND($N87&lt;&gt;"",$N87&gt;=MAX(EDATE($AB87,-FenetreFinCarriere*12),DateVigueur),$N87&lt;=$AB87),"Réalisé",IF(DateRef&gt;$AB87,"Non réalisé",IF(AND($Q87&lt;&gt;"",$Q87&gt;=EDATE($AB87,-FenetreFinCarriere*12),$Q87&lt;=$AB87),"Planifié dans la fenêtre",IF(AND(MAX($P87,DateRef)&gt;=EDATE($AB87,-FenetreFinCarriere*12),MAX($P87,DateRef)&lt;=$AB87),"Prochain EPP dans la fenêtre",IF(MAX($P87,DateRef)&gt;$AB87,"À programmer avant 60 ans",""))))))))</f>
        <v/>
      </c>
      <c r="AD87" s="40"/>
      <c r="AE87" s="43" t="str">
        <f aca="false">IF(OR($B87="",$H87="",AND($I87&lt;&gt;"",$I87&lt;=DateRef)),"",MAX($H87,$AD87,IF($A87="",0,SUMPRODUCT(MAX((Journal!$A$6:$A$1005=$A87)*((Journal!$D$6:$D$1005=TypeEDL)+(Journal!$D$6:$D$1005=TypeBilan6))*Journal!$C$6:$C$1005)))))</f>
        <v/>
      </c>
      <c r="AF87" s="43" t="str">
        <f aca="false">IF($AE87="","",IF(AND(ReglesTransitoires="Oui",EDATE($AE87,AnciennePeriodiciteEDL*12)&lt;DateVigueur),EDATE($AE87,AnciennePeriodiciteEDL*12),EDATE($AE87,PeriodiciteEDL*12)))</f>
        <v/>
      </c>
      <c r="AG87" s="42" t="str">
        <f aca="false">IF($AF87="","",IF(AND($I87&lt;&gt;"",$I87&lt;=DateRef),"",IF($AF87&lt;DateRef,"En retard",IF($AF87-DateRef&lt;=SeuilAlerteEDL,"À prévoir","À jour"))))</f>
        <v/>
      </c>
      <c r="AH87" s="39"/>
      <c r="AI87" s="39"/>
      <c r="AJ87" s="42" t="str">
        <f aca="false">IF(OR($B87="",$H87=""),"",IF(AND($I87&lt;&gt;"",$I87&lt;=DateRef),"",IF(Effectif&lt;SeuilEffectif,"Non concerné (&lt; "&amp;SeuilEffectif&amp;" salariés)",IF($AH87="Oui","Pas de risque",IF(AND(OR($AI87="Non",$S87="En retard"),$AH87="Non"),"Risque abondement",IF(OR($AI87="Non",$S87="En retard"),"À vérifier (formation ?)",IF($AI87="Oui","Pas de risque","À compléter")))))))</f>
        <v/>
      </c>
      <c r="AK87" s="39"/>
    </row>
    <row r="88" customFormat="false" ht="15" hidden="false" customHeight="false" outlineLevel="0" collapsed="false">
      <c r="A88" s="39"/>
      <c r="B88" s="39"/>
      <c r="C88" s="39"/>
      <c r="D88" s="39"/>
      <c r="E88" s="39"/>
      <c r="F88" s="39"/>
      <c r="G88" s="40"/>
      <c r="H88" s="40"/>
      <c r="I88" s="40"/>
      <c r="J88" s="41" t="str">
        <f aca="false">IF(OR($B88="",$H88=""),"",IF($H88&gt;DateRef,0,YEARFRAC($H88,DateRef,1)))</f>
        <v/>
      </c>
      <c r="K88" s="42" t="str">
        <f aca="false">IF(OR($B88="",$H88=""),"",IF(EDATE($H88,12)&lt;=DateRef,"Plus d'un an","Moins d'un an"))</f>
        <v/>
      </c>
      <c r="L88" s="40"/>
      <c r="M88" s="43" t="str">
        <f aca="false">IF(OR($B88="",$A88=""),"",IF(SUMPRODUCT(MAX((Journal!$A$6:$A$1005=$A88)*Journal!$C$6:$C$1005))=0,"",SUMPRODUCT(MAX((Journal!$A$6:$A$1005=$A88)*Journal!$C$6:$C$1005))))</f>
        <v/>
      </c>
      <c r="N88" s="43" t="str">
        <f aca="false">IF($B88="","",IF(MAX($L88,$M88)=0,"",MAX($L88,$M88)))</f>
        <v/>
      </c>
      <c r="O88" s="44" t="str">
        <f aca="false">IF(OR($B88="",$H88=""),"",IF($N88="",IF(EDATE($H88,DelaiPremierEPP)&gt;DateRef,"1er EPP (1re année)","Aucun entretien renseigné"),IF(AND(ReglesTransitoires="Oui",EDATE($N88,AnciennePeriodiciteEP*12)&lt;DateVigueur),"Retard antérieur à la réforme","Périodicité "&amp;PeriodiciteEPP&amp;" ans")))</f>
        <v/>
      </c>
      <c r="P88" s="43" t="str">
        <f aca="false">IF(OR($B88="",$H88=""),"",IF($N88="",EDATE($H88,DelaiPremierEPP),IF(AND(ReglesTransitoires="Oui",EDATE($N88,AnciennePeriodiciteEP*12)&lt;DateVigueur),EDATE($N88,AnciennePeriodiciteEP*12),EDATE($N88,PeriodiciteEPP*12))))</f>
        <v/>
      </c>
      <c r="Q88" s="40"/>
      <c r="R88" s="45" t="str">
        <f aca="false">IF(OR($P88="",AND($I88&lt;&gt;"",$I88&lt;=DateRef)),"",$P88-DateRef)</f>
        <v/>
      </c>
      <c r="S88" s="42" t="str">
        <f aca="false">IF($B88="","",IF(AND($I88&lt;&gt;"",$I88&lt;=DateRef),"Sorti",IF($H88="","À compléter",IF(AND($Q88&lt;&gt;"",$Q88&gt;=DateRef,$Q88&lt;=$P88),"Planifié",IF($R88&lt;0,"En retard",IF($R88&lt;=SeuilAlerteEPP,"À planifier","À jour"))))))</f>
        <v/>
      </c>
      <c r="T88" s="46" t="str">
        <f aca="false">IF(OR($B88="",$S88="Sorti"),"",MID(IF($H88=""," | Date d'embauche manquante","")&amp;IF(AND($K88="Plus d'un an",$N88="")," | Précédent entretien à renseigner (ancienneté &gt; 1 an)","")&amp;IF($O88="Retard antérieur à la réforme"," | Ancien délai de 2 ans expiré avant la réforme","")&amp;IF(AND($N88&lt;&gt;"",$H88&lt;&gt;"",$N88&lt;$H88)," | Entretien antérieur à l'embauche ?","")&amp;IF(AND($N88&lt;&gt;"",$N88&gt;DateRef)," | Entretien daté dans le futur ?","")&amp;IF(AND($Q88&lt;&gt;"",$P88&lt;&gt;"",$Q88&gt;$P88)," | Date prévue après l'échéance","")&amp;IF(AND($Q88&lt;&gt;"",$Q88&lt;DateRef,OR($N88="",$N88&lt;$Q88))," | Entretien prévu passé : le consigner au Journal","")&amp;IF(AND($G88&lt;&gt;"",$X88="",YEAR(DateRef)-YEAR($G88)&gt;=AgeMiCarriere-1,YEAR(DateRef)-YEAR($G88)&lt;=AgeMiCarriere+1)," | Visite de mi-carrière à vérifier",""),4,1000))</f>
        <v/>
      </c>
      <c r="U88" s="39"/>
      <c r="V88" s="40"/>
      <c r="W88" s="42" t="str">
        <f aca="false">IF(OR($B88="",$V88=""),"",IF(AND($I88&lt;&gt;"",$I88&lt;=DateRef),"",IF(AND($N88&lt;&gt;"",$N88&gt;=$V88),"Réalisé",IF(AND($N88&lt;&gt;"",$N88&gt;=EDATE($V88,-FenetreRetour)),"Dispensé (EPP récent)",IF($V88&gt;DateRef,"À prévoir à la reprise","À proposer (reprise passée)")))))</f>
        <v/>
      </c>
      <c r="X88" s="40"/>
      <c r="Y88" s="43" t="str">
        <f aca="false">IF(OR($B88="",$X88=""),"",EDATE($X88,DelaiMiCarriere))</f>
        <v/>
      </c>
      <c r="Z88" s="42" t="str">
        <f aca="false">IF(OR($B88="",$X88=""),"",IF(AND($I88&lt;&gt;"",$I88&lt;=DateRef),"",IF(AND($N88&lt;&gt;"",$N88&gt;=$X88),"Réalisé",IF($Y88&lt;DateRef,"En retard","À planifier"))))</f>
        <v/>
      </c>
      <c r="AA88" s="47" t="str">
        <f aca="false">IF(OR($B88="",$G88=""),"",IF($G88&gt;DateRef,"",DATEDIF($G88,DateRef,"y")))</f>
        <v/>
      </c>
      <c r="AB88" s="43" t="str">
        <f aca="false">IF(OR($B88="",$G88=""),"",EDATE($G88,AgeFinCarriere*12))</f>
        <v/>
      </c>
      <c r="AC88" s="42" t="str">
        <f aca="false">IF(OR($B88="",$G88="",$H88=""),"",IF(AND($I88&lt;&gt;"",$I88&lt;=DateRef),"",IF($AB88&lt;DateVigueur,"Non concerné",IF(AND($N88&lt;&gt;"",$N88&gt;=MAX(EDATE($AB88,-FenetreFinCarriere*12),DateVigueur),$N88&lt;=$AB88),"Réalisé",IF(DateRef&gt;$AB88,"Non réalisé",IF(AND($Q88&lt;&gt;"",$Q88&gt;=EDATE($AB88,-FenetreFinCarriere*12),$Q88&lt;=$AB88),"Planifié dans la fenêtre",IF(AND(MAX($P88,DateRef)&gt;=EDATE($AB88,-FenetreFinCarriere*12),MAX($P88,DateRef)&lt;=$AB88),"Prochain EPP dans la fenêtre",IF(MAX($P88,DateRef)&gt;$AB88,"À programmer avant 60 ans",""))))))))</f>
        <v/>
      </c>
      <c r="AD88" s="40"/>
      <c r="AE88" s="43" t="str">
        <f aca="false">IF(OR($B88="",$H88="",AND($I88&lt;&gt;"",$I88&lt;=DateRef)),"",MAX($H88,$AD88,IF($A88="",0,SUMPRODUCT(MAX((Journal!$A$6:$A$1005=$A88)*((Journal!$D$6:$D$1005=TypeEDL)+(Journal!$D$6:$D$1005=TypeBilan6))*Journal!$C$6:$C$1005)))))</f>
        <v/>
      </c>
      <c r="AF88" s="43" t="str">
        <f aca="false">IF($AE88="","",IF(AND(ReglesTransitoires="Oui",EDATE($AE88,AnciennePeriodiciteEDL*12)&lt;DateVigueur),EDATE($AE88,AnciennePeriodiciteEDL*12),EDATE($AE88,PeriodiciteEDL*12)))</f>
        <v/>
      </c>
      <c r="AG88" s="42" t="str">
        <f aca="false">IF($AF88="","",IF(AND($I88&lt;&gt;"",$I88&lt;=DateRef),"",IF($AF88&lt;DateRef,"En retard",IF($AF88-DateRef&lt;=SeuilAlerteEDL,"À prévoir","À jour"))))</f>
        <v/>
      </c>
      <c r="AH88" s="39"/>
      <c r="AI88" s="39"/>
      <c r="AJ88" s="42" t="str">
        <f aca="false">IF(OR($B88="",$H88=""),"",IF(AND($I88&lt;&gt;"",$I88&lt;=DateRef),"",IF(Effectif&lt;SeuilEffectif,"Non concerné (&lt; "&amp;SeuilEffectif&amp;" salariés)",IF($AH88="Oui","Pas de risque",IF(AND(OR($AI88="Non",$S88="En retard"),$AH88="Non"),"Risque abondement",IF(OR($AI88="Non",$S88="En retard"),"À vérifier (formation ?)",IF($AI88="Oui","Pas de risque","À compléter")))))))</f>
        <v/>
      </c>
      <c r="AK88" s="39"/>
    </row>
    <row r="89" customFormat="false" ht="15" hidden="false" customHeight="false" outlineLevel="0" collapsed="false">
      <c r="A89" s="39"/>
      <c r="B89" s="39"/>
      <c r="C89" s="39"/>
      <c r="D89" s="39"/>
      <c r="E89" s="39"/>
      <c r="F89" s="39"/>
      <c r="G89" s="40"/>
      <c r="H89" s="40"/>
      <c r="I89" s="40"/>
      <c r="J89" s="41" t="str">
        <f aca="false">IF(OR($B89="",$H89=""),"",IF($H89&gt;DateRef,0,YEARFRAC($H89,DateRef,1)))</f>
        <v/>
      </c>
      <c r="K89" s="42" t="str">
        <f aca="false">IF(OR($B89="",$H89=""),"",IF(EDATE($H89,12)&lt;=DateRef,"Plus d'un an","Moins d'un an"))</f>
        <v/>
      </c>
      <c r="L89" s="40"/>
      <c r="M89" s="43" t="str">
        <f aca="false">IF(OR($B89="",$A89=""),"",IF(SUMPRODUCT(MAX((Journal!$A$6:$A$1005=$A89)*Journal!$C$6:$C$1005))=0,"",SUMPRODUCT(MAX((Journal!$A$6:$A$1005=$A89)*Journal!$C$6:$C$1005))))</f>
        <v/>
      </c>
      <c r="N89" s="43" t="str">
        <f aca="false">IF($B89="","",IF(MAX($L89,$M89)=0,"",MAX($L89,$M89)))</f>
        <v/>
      </c>
      <c r="O89" s="44" t="str">
        <f aca="false">IF(OR($B89="",$H89=""),"",IF($N89="",IF(EDATE($H89,DelaiPremierEPP)&gt;DateRef,"1er EPP (1re année)","Aucun entretien renseigné"),IF(AND(ReglesTransitoires="Oui",EDATE($N89,AnciennePeriodiciteEP*12)&lt;DateVigueur),"Retard antérieur à la réforme","Périodicité "&amp;PeriodiciteEPP&amp;" ans")))</f>
        <v/>
      </c>
      <c r="P89" s="43" t="str">
        <f aca="false">IF(OR($B89="",$H89=""),"",IF($N89="",EDATE($H89,DelaiPremierEPP),IF(AND(ReglesTransitoires="Oui",EDATE($N89,AnciennePeriodiciteEP*12)&lt;DateVigueur),EDATE($N89,AnciennePeriodiciteEP*12),EDATE($N89,PeriodiciteEPP*12))))</f>
        <v/>
      </c>
      <c r="Q89" s="40"/>
      <c r="R89" s="45" t="str">
        <f aca="false">IF(OR($P89="",AND($I89&lt;&gt;"",$I89&lt;=DateRef)),"",$P89-DateRef)</f>
        <v/>
      </c>
      <c r="S89" s="42" t="str">
        <f aca="false">IF($B89="","",IF(AND($I89&lt;&gt;"",$I89&lt;=DateRef),"Sorti",IF($H89="","À compléter",IF(AND($Q89&lt;&gt;"",$Q89&gt;=DateRef,$Q89&lt;=$P89),"Planifié",IF($R89&lt;0,"En retard",IF($R89&lt;=SeuilAlerteEPP,"À planifier","À jour"))))))</f>
        <v/>
      </c>
      <c r="T89" s="46" t="str">
        <f aca="false">IF(OR($B89="",$S89="Sorti"),"",MID(IF($H89=""," | Date d'embauche manquante","")&amp;IF(AND($K89="Plus d'un an",$N89="")," | Précédent entretien à renseigner (ancienneté &gt; 1 an)","")&amp;IF($O89="Retard antérieur à la réforme"," | Ancien délai de 2 ans expiré avant la réforme","")&amp;IF(AND($N89&lt;&gt;"",$H89&lt;&gt;"",$N89&lt;$H89)," | Entretien antérieur à l'embauche ?","")&amp;IF(AND($N89&lt;&gt;"",$N89&gt;DateRef)," | Entretien daté dans le futur ?","")&amp;IF(AND($Q89&lt;&gt;"",$P89&lt;&gt;"",$Q89&gt;$P89)," | Date prévue après l'échéance","")&amp;IF(AND($Q89&lt;&gt;"",$Q89&lt;DateRef,OR($N89="",$N89&lt;$Q89))," | Entretien prévu passé : le consigner au Journal","")&amp;IF(AND($G89&lt;&gt;"",$X89="",YEAR(DateRef)-YEAR($G89)&gt;=AgeMiCarriere-1,YEAR(DateRef)-YEAR($G89)&lt;=AgeMiCarriere+1)," | Visite de mi-carrière à vérifier",""),4,1000))</f>
        <v/>
      </c>
      <c r="U89" s="39"/>
      <c r="V89" s="40"/>
      <c r="W89" s="42" t="str">
        <f aca="false">IF(OR($B89="",$V89=""),"",IF(AND($I89&lt;&gt;"",$I89&lt;=DateRef),"",IF(AND($N89&lt;&gt;"",$N89&gt;=$V89),"Réalisé",IF(AND($N89&lt;&gt;"",$N89&gt;=EDATE($V89,-FenetreRetour)),"Dispensé (EPP récent)",IF($V89&gt;DateRef,"À prévoir à la reprise","À proposer (reprise passée)")))))</f>
        <v/>
      </c>
      <c r="X89" s="40"/>
      <c r="Y89" s="43" t="str">
        <f aca="false">IF(OR($B89="",$X89=""),"",EDATE($X89,DelaiMiCarriere))</f>
        <v/>
      </c>
      <c r="Z89" s="42" t="str">
        <f aca="false">IF(OR($B89="",$X89=""),"",IF(AND($I89&lt;&gt;"",$I89&lt;=DateRef),"",IF(AND($N89&lt;&gt;"",$N89&gt;=$X89),"Réalisé",IF($Y89&lt;DateRef,"En retard","À planifier"))))</f>
        <v/>
      </c>
      <c r="AA89" s="47" t="str">
        <f aca="false">IF(OR($B89="",$G89=""),"",IF($G89&gt;DateRef,"",DATEDIF($G89,DateRef,"y")))</f>
        <v/>
      </c>
      <c r="AB89" s="43" t="str">
        <f aca="false">IF(OR($B89="",$G89=""),"",EDATE($G89,AgeFinCarriere*12))</f>
        <v/>
      </c>
      <c r="AC89" s="42" t="str">
        <f aca="false">IF(OR($B89="",$G89="",$H89=""),"",IF(AND($I89&lt;&gt;"",$I89&lt;=DateRef),"",IF($AB89&lt;DateVigueur,"Non concerné",IF(AND($N89&lt;&gt;"",$N89&gt;=MAX(EDATE($AB89,-FenetreFinCarriere*12),DateVigueur),$N89&lt;=$AB89),"Réalisé",IF(DateRef&gt;$AB89,"Non réalisé",IF(AND($Q89&lt;&gt;"",$Q89&gt;=EDATE($AB89,-FenetreFinCarriere*12),$Q89&lt;=$AB89),"Planifié dans la fenêtre",IF(AND(MAX($P89,DateRef)&gt;=EDATE($AB89,-FenetreFinCarriere*12),MAX($P89,DateRef)&lt;=$AB89),"Prochain EPP dans la fenêtre",IF(MAX($P89,DateRef)&gt;$AB89,"À programmer avant 60 ans",""))))))))</f>
        <v/>
      </c>
      <c r="AD89" s="40"/>
      <c r="AE89" s="43" t="str">
        <f aca="false">IF(OR($B89="",$H89="",AND($I89&lt;&gt;"",$I89&lt;=DateRef)),"",MAX($H89,$AD89,IF($A89="",0,SUMPRODUCT(MAX((Journal!$A$6:$A$1005=$A89)*((Journal!$D$6:$D$1005=TypeEDL)+(Journal!$D$6:$D$1005=TypeBilan6))*Journal!$C$6:$C$1005)))))</f>
        <v/>
      </c>
      <c r="AF89" s="43" t="str">
        <f aca="false">IF($AE89="","",IF(AND(ReglesTransitoires="Oui",EDATE($AE89,AnciennePeriodiciteEDL*12)&lt;DateVigueur),EDATE($AE89,AnciennePeriodiciteEDL*12),EDATE($AE89,PeriodiciteEDL*12)))</f>
        <v/>
      </c>
      <c r="AG89" s="42" t="str">
        <f aca="false">IF($AF89="","",IF(AND($I89&lt;&gt;"",$I89&lt;=DateRef),"",IF($AF89&lt;DateRef,"En retard",IF($AF89-DateRef&lt;=SeuilAlerteEDL,"À prévoir","À jour"))))</f>
        <v/>
      </c>
      <c r="AH89" s="39"/>
      <c r="AI89" s="39"/>
      <c r="AJ89" s="42" t="str">
        <f aca="false">IF(OR($B89="",$H89=""),"",IF(AND($I89&lt;&gt;"",$I89&lt;=DateRef),"",IF(Effectif&lt;SeuilEffectif,"Non concerné (&lt; "&amp;SeuilEffectif&amp;" salariés)",IF($AH89="Oui","Pas de risque",IF(AND(OR($AI89="Non",$S89="En retard"),$AH89="Non"),"Risque abondement",IF(OR($AI89="Non",$S89="En retard"),"À vérifier (formation ?)",IF($AI89="Oui","Pas de risque","À compléter")))))))</f>
        <v/>
      </c>
      <c r="AK89" s="39"/>
    </row>
    <row r="90" customFormat="false" ht="15" hidden="false" customHeight="false" outlineLevel="0" collapsed="false">
      <c r="A90" s="39"/>
      <c r="B90" s="39"/>
      <c r="C90" s="39"/>
      <c r="D90" s="39"/>
      <c r="E90" s="39"/>
      <c r="F90" s="39"/>
      <c r="G90" s="40"/>
      <c r="H90" s="40"/>
      <c r="I90" s="40"/>
      <c r="J90" s="41" t="str">
        <f aca="false">IF(OR($B90="",$H90=""),"",IF($H90&gt;DateRef,0,YEARFRAC($H90,DateRef,1)))</f>
        <v/>
      </c>
      <c r="K90" s="42" t="str">
        <f aca="false">IF(OR($B90="",$H90=""),"",IF(EDATE($H90,12)&lt;=DateRef,"Plus d'un an","Moins d'un an"))</f>
        <v/>
      </c>
      <c r="L90" s="40"/>
      <c r="M90" s="43" t="str">
        <f aca="false">IF(OR($B90="",$A90=""),"",IF(SUMPRODUCT(MAX((Journal!$A$6:$A$1005=$A90)*Journal!$C$6:$C$1005))=0,"",SUMPRODUCT(MAX((Journal!$A$6:$A$1005=$A90)*Journal!$C$6:$C$1005))))</f>
        <v/>
      </c>
      <c r="N90" s="43" t="str">
        <f aca="false">IF($B90="","",IF(MAX($L90,$M90)=0,"",MAX($L90,$M90)))</f>
        <v/>
      </c>
      <c r="O90" s="44" t="str">
        <f aca="false">IF(OR($B90="",$H90=""),"",IF($N90="",IF(EDATE($H90,DelaiPremierEPP)&gt;DateRef,"1er EPP (1re année)","Aucun entretien renseigné"),IF(AND(ReglesTransitoires="Oui",EDATE($N90,AnciennePeriodiciteEP*12)&lt;DateVigueur),"Retard antérieur à la réforme","Périodicité "&amp;PeriodiciteEPP&amp;" ans")))</f>
        <v/>
      </c>
      <c r="P90" s="43" t="str">
        <f aca="false">IF(OR($B90="",$H90=""),"",IF($N90="",EDATE($H90,DelaiPremierEPP),IF(AND(ReglesTransitoires="Oui",EDATE($N90,AnciennePeriodiciteEP*12)&lt;DateVigueur),EDATE($N90,AnciennePeriodiciteEP*12),EDATE($N90,PeriodiciteEPP*12))))</f>
        <v/>
      </c>
      <c r="Q90" s="40"/>
      <c r="R90" s="45" t="str">
        <f aca="false">IF(OR($P90="",AND($I90&lt;&gt;"",$I90&lt;=DateRef)),"",$P90-DateRef)</f>
        <v/>
      </c>
      <c r="S90" s="42" t="str">
        <f aca="false">IF($B90="","",IF(AND($I90&lt;&gt;"",$I90&lt;=DateRef),"Sorti",IF($H90="","À compléter",IF(AND($Q90&lt;&gt;"",$Q90&gt;=DateRef,$Q90&lt;=$P90),"Planifié",IF($R90&lt;0,"En retard",IF($R90&lt;=SeuilAlerteEPP,"À planifier","À jour"))))))</f>
        <v/>
      </c>
      <c r="T90" s="46" t="str">
        <f aca="false">IF(OR($B90="",$S90="Sorti"),"",MID(IF($H90=""," | Date d'embauche manquante","")&amp;IF(AND($K90="Plus d'un an",$N90="")," | Précédent entretien à renseigner (ancienneté &gt; 1 an)","")&amp;IF($O90="Retard antérieur à la réforme"," | Ancien délai de 2 ans expiré avant la réforme","")&amp;IF(AND($N90&lt;&gt;"",$H90&lt;&gt;"",$N90&lt;$H90)," | Entretien antérieur à l'embauche ?","")&amp;IF(AND($N90&lt;&gt;"",$N90&gt;DateRef)," | Entretien daté dans le futur ?","")&amp;IF(AND($Q90&lt;&gt;"",$P90&lt;&gt;"",$Q90&gt;$P90)," | Date prévue après l'échéance","")&amp;IF(AND($Q90&lt;&gt;"",$Q90&lt;DateRef,OR($N90="",$N90&lt;$Q90))," | Entretien prévu passé : le consigner au Journal","")&amp;IF(AND($G90&lt;&gt;"",$X90="",YEAR(DateRef)-YEAR($G90)&gt;=AgeMiCarriere-1,YEAR(DateRef)-YEAR($G90)&lt;=AgeMiCarriere+1)," | Visite de mi-carrière à vérifier",""),4,1000))</f>
        <v/>
      </c>
      <c r="U90" s="39"/>
      <c r="V90" s="40"/>
      <c r="W90" s="42" t="str">
        <f aca="false">IF(OR($B90="",$V90=""),"",IF(AND($I90&lt;&gt;"",$I90&lt;=DateRef),"",IF(AND($N90&lt;&gt;"",$N90&gt;=$V90),"Réalisé",IF(AND($N90&lt;&gt;"",$N90&gt;=EDATE($V90,-FenetreRetour)),"Dispensé (EPP récent)",IF($V90&gt;DateRef,"À prévoir à la reprise","À proposer (reprise passée)")))))</f>
        <v/>
      </c>
      <c r="X90" s="40"/>
      <c r="Y90" s="43" t="str">
        <f aca="false">IF(OR($B90="",$X90=""),"",EDATE($X90,DelaiMiCarriere))</f>
        <v/>
      </c>
      <c r="Z90" s="42" t="str">
        <f aca="false">IF(OR($B90="",$X90=""),"",IF(AND($I90&lt;&gt;"",$I90&lt;=DateRef),"",IF(AND($N90&lt;&gt;"",$N90&gt;=$X90),"Réalisé",IF($Y90&lt;DateRef,"En retard","À planifier"))))</f>
        <v/>
      </c>
      <c r="AA90" s="47" t="str">
        <f aca="false">IF(OR($B90="",$G90=""),"",IF($G90&gt;DateRef,"",DATEDIF($G90,DateRef,"y")))</f>
        <v/>
      </c>
      <c r="AB90" s="43" t="str">
        <f aca="false">IF(OR($B90="",$G90=""),"",EDATE($G90,AgeFinCarriere*12))</f>
        <v/>
      </c>
      <c r="AC90" s="42" t="str">
        <f aca="false">IF(OR($B90="",$G90="",$H90=""),"",IF(AND($I90&lt;&gt;"",$I90&lt;=DateRef),"",IF($AB90&lt;DateVigueur,"Non concerné",IF(AND($N90&lt;&gt;"",$N90&gt;=MAX(EDATE($AB90,-FenetreFinCarriere*12),DateVigueur),$N90&lt;=$AB90),"Réalisé",IF(DateRef&gt;$AB90,"Non réalisé",IF(AND($Q90&lt;&gt;"",$Q90&gt;=EDATE($AB90,-FenetreFinCarriere*12),$Q90&lt;=$AB90),"Planifié dans la fenêtre",IF(AND(MAX($P90,DateRef)&gt;=EDATE($AB90,-FenetreFinCarriere*12),MAX($P90,DateRef)&lt;=$AB90),"Prochain EPP dans la fenêtre",IF(MAX($P90,DateRef)&gt;$AB90,"À programmer avant 60 ans",""))))))))</f>
        <v/>
      </c>
      <c r="AD90" s="40"/>
      <c r="AE90" s="43" t="str">
        <f aca="false">IF(OR($B90="",$H90="",AND($I90&lt;&gt;"",$I90&lt;=DateRef)),"",MAX($H90,$AD90,IF($A90="",0,SUMPRODUCT(MAX((Journal!$A$6:$A$1005=$A90)*((Journal!$D$6:$D$1005=TypeEDL)+(Journal!$D$6:$D$1005=TypeBilan6))*Journal!$C$6:$C$1005)))))</f>
        <v/>
      </c>
      <c r="AF90" s="43" t="str">
        <f aca="false">IF($AE90="","",IF(AND(ReglesTransitoires="Oui",EDATE($AE90,AnciennePeriodiciteEDL*12)&lt;DateVigueur),EDATE($AE90,AnciennePeriodiciteEDL*12),EDATE($AE90,PeriodiciteEDL*12)))</f>
        <v/>
      </c>
      <c r="AG90" s="42" t="str">
        <f aca="false">IF($AF90="","",IF(AND($I90&lt;&gt;"",$I90&lt;=DateRef),"",IF($AF90&lt;DateRef,"En retard",IF($AF90-DateRef&lt;=SeuilAlerteEDL,"À prévoir","À jour"))))</f>
        <v/>
      </c>
      <c r="AH90" s="39"/>
      <c r="AI90" s="39"/>
      <c r="AJ90" s="42" t="str">
        <f aca="false">IF(OR($B90="",$H90=""),"",IF(AND($I90&lt;&gt;"",$I90&lt;=DateRef),"",IF(Effectif&lt;SeuilEffectif,"Non concerné (&lt; "&amp;SeuilEffectif&amp;" salariés)",IF($AH90="Oui","Pas de risque",IF(AND(OR($AI90="Non",$S90="En retard"),$AH90="Non"),"Risque abondement",IF(OR($AI90="Non",$S90="En retard"),"À vérifier (formation ?)",IF($AI90="Oui","Pas de risque","À compléter")))))))</f>
        <v/>
      </c>
      <c r="AK90" s="39"/>
    </row>
    <row r="91" customFormat="false" ht="15" hidden="false" customHeight="false" outlineLevel="0" collapsed="false">
      <c r="A91" s="39"/>
      <c r="B91" s="39"/>
      <c r="C91" s="39"/>
      <c r="D91" s="39"/>
      <c r="E91" s="39"/>
      <c r="F91" s="39"/>
      <c r="G91" s="40"/>
      <c r="H91" s="40"/>
      <c r="I91" s="40"/>
      <c r="J91" s="41" t="str">
        <f aca="false">IF(OR($B91="",$H91=""),"",IF($H91&gt;DateRef,0,YEARFRAC($H91,DateRef,1)))</f>
        <v/>
      </c>
      <c r="K91" s="42" t="str">
        <f aca="false">IF(OR($B91="",$H91=""),"",IF(EDATE($H91,12)&lt;=DateRef,"Plus d'un an","Moins d'un an"))</f>
        <v/>
      </c>
      <c r="L91" s="40"/>
      <c r="M91" s="43" t="str">
        <f aca="false">IF(OR($B91="",$A91=""),"",IF(SUMPRODUCT(MAX((Journal!$A$6:$A$1005=$A91)*Journal!$C$6:$C$1005))=0,"",SUMPRODUCT(MAX((Journal!$A$6:$A$1005=$A91)*Journal!$C$6:$C$1005))))</f>
        <v/>
      </c>
      <c r="N91" s="43" t="str">
        <f aca="false">IF($B91="","",IF(MAX($L91,$M91)=0,"",MAX($L91,$M91)))</f>
        <v/>
      </c>
      <c r="O91" s="44" t="str">
        <f aca="false">IF(OR($B91="",$H91=""),"",IF($N91="",IF(EDATE($H91,DelaiPremierEPP)&gt;DateRef,"1er EPP (1re année)","Aucun entretien renseigné"),IF(AND(ReglesTransitoires="Oui",EDATE($N91,AnciennePeriodiciteEP*12)&lt;DateVigueur),"Retard antérieur à la réforme","Périodicité "&amp;PeriodiciteEPP&amp;" ans")))</f>
        <v/>
      </c>
      <c r="P91" s="43" t="str">
        <f aca="false">IF(OR($B91="",$H91=""),"",IF($N91="",EDATE($H91,DelaiPremierEPP),IF(AND(ReglesTransitoires="Oui",EDATE($N91,AnciennePeriodiciteEP*12)&lt;DateVigueur),EDATE($N91,AnciennePeriodiciteEP*12),EDATE($N91,PeriodiciteEPP*12))))</f>
        <v/>
      </c>
      <c r="Q91" s="40"/>
      <c r="R91" s="45" t="str">
        <f aca="false">IF(OR($P91="",AND($I91&lt;&gt;"",$I91&lt;=DateRef)),"",$P91-DateRef)</f>
        <v/>
      </c>
      <c r="S91" s="42" t="str">
        <f aca="false">IF($B91="","",IF(AND($I91&lt;&gt;"",$I91&lt;=DateRef),"Sorti",IF($H91="","À compléter",IF(AND($Q91&lt;&gt;"",$Q91&gt;=DateRef,$Q91&lt;=$P91),"Planifié",IF($R91&lt;0,"En retard",IF($R91&lt;=SeuilAlerteEPP,"À planifier","À jour"))))))</f>
        <v/>
      </c>
      <c r="T91" s="46" t="str">
        <f aca="false">IF(OR($B91="",$S91="Sorti"),"",MID(IF($H91=""," | Date d'embauche manquante","")&amp;IF(AND($K91="Plus d'un an",$N91="")," | Précédent entretien à renseigner (ancienneté &gt; 1 an)","")&amp;IF($O91="Retard antérieur à la réforme"," | Ancien délai de 2 ans expiré avant la réforme","")&amp;IF(AND($N91&lt;&gt;"",$H91&lt;&gt;"",$N91&lt;$H91)," | Entretien antérieur à l'embauche ?","")&amp;IF(AND($N91&lt;&gt;"",$N91&gt;DateRef)," | Entretien daté dans le futur ?","")&amp;IF(AND($Q91&lt;&gt;"",$P91&lt;&gt;"",$Q91&gt;$P91)," | Date prévue après l'échéance","")&amp;IF(AND($Q91&lt;&gt;"",$Q91&lt;DateRef,OR($N91="",$N91&lt;$Q91))," | Entretien prévu passé : le consigner au Journal","")&amp;IF(AND($G91&lt;&gt;"",$X91="",YEAR(DateRef)-YEAR($G91)&gt;=AgeMiCarriere-1,YEAR(DateRef)-YEAR($G91)&lt;=AgeMiCarriere+1)," | Visite de mi-carrière à vérifier",""),4,1000))</f>
        <v/>
      </c>
      <c r="U91" s="39"/>
      <c r="V91" s="40"/>
      <c r="W91" s="42" t="str">
        <f aca="false">IF(OR($B91="",$V91=""),"",IF(AND($I91&lt;&gt;"",$I91&lt;=DateRef),"",IF(AND($N91&lt;&gt;"",$N91&gt;=$V91),"Réalisé",IF(AND($N91&lt;&gt;"",$N91&gt;=EDATE($V91,-FenetreRetour)),"Dispensé (EPP récent)",IF($V91&gt;DateRef,"À prévoir à la reprise","À proposer (reprise passée)")))))</f>
        <v/>
      </c>
      <c r="X91" s="40"/>
      <c r="Y91" s="43" t="str">
        <f aca="false">IF(OR($B91="",$X91=""),"",EDATE($X91,DelaiMiCarriere))</f>
        <v/>
      </c>
      <c r="Z91" s="42" t="str">
        <f aca="false">IF(OR($B91="",$X91=""),"",IF(AND($I91&lt;&gt;"",$I91&lt;=DateRef),"",IF(AND($N91&lt;&gt;"",$N91&gt;=$X91),"Réalisé",IF($Y91&lt;DateRef,"En retard","À planifier"))))</f>
        <v/>
      </c>
      <c r="AA91" s="47" t="str">
        <f aca="false">IF(OR($B91="",$G91=""),"",IF($G91&gt;DateRef,"",DATEDIF($G91,DateRef,"y")))</f>
        <v/>
      </c>
      <c r="AB91" s="43" t="str">
        <f aca="false">IF(OR($B91="",$G91=""),"",EDATE($G91,AgeFinCarriere*12))</f>
        <v/>
      </c>
      <c r="AC91" s="42" t="str">
        <f aca="false">IF(OR($B91="",$G91="",$H91=""),"",IF(AND($I91&lt;&gt;"",$I91&lt;=DateRef),"",IF($AB91&lt;DateVigueur,"Non concerné",IF(AND($N91&lt;&gt;"",$N91&gt;=MAX(EDATE($AB91,-FenetreFinCarriere*12),DateVigueur),$N91&lt;=$AB91),"Réalisé",IF(DateRef&gt;$AB91,"Non réalisé",IF(AND($Q91&lt;&gt;"",$Q91&gt;=EDATE($AB91,-FenetreFinCarriere*12),$Q91&lt;=$AB91),"Planifié dans la fenêtre",IF(AND(MAX($P91,DateRef)&gt;=EDATE($AB91,-FenetreFinCarriere*12),MAX($P91,DateRef)&lt;=$AB91),"Prochain EPP dans la fenêtre",IF(MAX($P91,DateRef)&gt;$AB91,"À programmer avant 60 ans",""))))))))</f>
        <v/>
      </c>
      <c r="AD91" s="40"/>
      <c r="AE91" s="43" t="str">
        <f aca="false">IF(OR($B91="",$H91="",AND($I91&lt;&gt;"",$I91&lt;=DateRef)),"",MAX($H91,$AD91,IF($A91="",0,SUMPRODUCT(MAX((Journal!$A$6:$A$1005=$A91)*((Journal!$D$6:$D$1005=TypeEDL)+(Journal!$D$6:$D$1005=TypeBilan6))*Journal!$C$6:$C$1005)))))</f>
        <v/>
      </c>
      <c r="AF91" s="43" t="str">
        <f aca="false">IF($AE91="","",IF(AND(ReglesTransitoires="Oui",EDATE($AE91,AnciennePeriodiciteEDL*12)&lt;DateVigueur),EDATE($AE91,AnciennePeriodiciteEDL*12),EDATE($AE91,PeriodiciteEDL*12)))</f>
        <v/>
      </c>
      <c r="AG91" s="42" t="str">
        <f aca="false">IF($AF91="","",IF(AND($I91&lt;&gt;"",$I91&lt;=DateRef),"",IF($AF91&lt;DateRef,"En retard",IF($AF91-DateRef&lt;=SeuilAlerteEDL,"À prévoir","À jour"))))</f>
        <v/>
      </c>
      <c r="AH91" s="39"/>
      <c r="AI91" s="39"/>
      <c r="AJ91" s="42" t="str">
        <f aca="false">IF(OR($B91="",$H91=""),"",IF(AND($I91&lt;&gt;"",$I91&lt;=DateRef),"",IF(Effectif&lt;SeuilEffectif,"Non concerné (&lt; "&amp;SeuilEffectif&amp;" salariés)",IF($AH91="Oui","Pas de risque",IF(AND(OR($AI91="Non",$S91="En retard"),$AH91="Non"),"Risque abondement",IF(OR($AI91="Non",$S91="En retard"),"À vérifier (formation ?)",IF($AI91="Oui","Pas de risque","À compléter")))))))</f>
        <v/>
      </c>
      <c r="AK91" s="39"/>
    </row>
    <row r="92" customFormat="false" ht="15" hidden="false" customHeight="false" outlineLevel="0" collapsed="false">
      <c r="A92" s="39"/>
      <c r="B92" s="39"/>
      <c r="C92" s="39"/>
      <c r="D92" s="39"/>
      <c r="E92" s="39"/>
      <c r="F92" s="39"/>
      <c r="G92" s="40"/>
      <c r="H92" s="40"/>
      <c r="I92" s="40"/>
      <c r="J92" s="41" t="str">
        <f aca="false">IF(OR($B92="",$H92=""),"",IF($H92&gt;DateRef,0,YEARFRAC($H92,DateRef,1)))</f>
        <v/>
      </c>
      <c r="K92" s="42" t="str">
        <f aca="false">IF(OR($B92="",$H92=""),"",IF(EDATE($H92,12)&lt;=DateRef,"Plus d'un an","Moins d'un an"))</f>
        <v/>
      </c>
      <c r="L92" s="40"/>
      <c r="M92" s="43" t="str">
        <f aca="false">IF(OR($B92="",$A92=""),"",IF(SUMPRODUCT(MAX((Journal!$A$6:$A$1005=$A92)*Journal!$C$6:$C$1005))=0,"",SUMPRODUCT(MAX((Journal!$A$6:$A$1005=$A92)*Journal!$C$6:$C$1005))))</f>
        <v/>
      </c>
      <c r="N92" s="43" t="str">
        <f aca="false">IF($B92="","",IF(MAX($L92,$M92)=0,"",MAX($L92,$M92)))</f>
        <v/>
      </c>
      <c r="O92" s="44" t="str">
        <f aca="false">IF(OR($B92="",$H92=""),"",IF($N92="",IF(EDATE($H92,DelaiPremierEPP)&gt;DateRef,"1er EPP (1re année)","Aucun entretien renseigné"),IF(AND(ReglesTransitoires="Oui",EDATE($N92,AnciennePeriodiciteEP*12)&lt;DateVigueur),"Retard antérieur à la réforme","Périodicité "&amp;PeriodiciteEPP&amp;" ans")))</f>
        <v/>
      </c>
      <c r="P92" s="43" t="str">
        <f aca="false">IF(OR($B92="",$H92=""),"",IF($N92="",EDATE($H92,DelaiPremierEPP),IF(AND(ReglesTransitoires="Oui",EDATE($N92,AnciennePeriodiciteEP*12)&lt;DateVigueur),EDATE($N92,AnciennePeriodiciteEP*12),EDATE($N92,PeriodiciteEPP*12))))</f>
        <v/>
      </c>
      <c r="Q92" s="40"/>
      <c r="R92" s="45" t="str">
        <f aca="false">IF(OR($P92="",AND($I92&lt;&gt;"",$I92&lt;=DateRef)),"",$P92-DateRef)</f>
        <v/>
      </c>
      <c r="S92" s="42" t="str">
        <f aca="false">IF($B92="","",IF(AND($I92&lt;&gt;"",$I92&lt;=DateRef),"Sorti",IF($H92="","À compléter",IF(AND($Q92&lt;&gt;"",$Q92&gt;=DateRef,$Q92&lt;=$P92),"Planifié",IF($R92&lt;0,"En retard",IF($R92&lt;=SeuilAlerteEPP,"À planifier","À jour"))))))</f>
        <v/>
      </c>
      <c r="T92" s="46" t="str">
        <f aca="false">IF(OR($B92="",$S92="Sorti"),"",MID(IF($H92=""," | Date d'embauche manquante","")&amp;IF(AND($K92="Plus d'un an",$N92="")," | Précédent entretien à renseigner (ancienneté &gt; 1 an)","")&amp;IF($O92="Retard antérieur à la réforme"," | Ancien délai de 2 ans expiré avant la réforme","")&amp;IF(AND($N92&lt;&gt;"",$H92&lt;&gt;"",$N92&lt;$H92)," | Entretien antérieur à l'embauche ?","")&amp;IF(AND($N92&lt;&gt;"",$N92&gt;DateRef)," | Entretien daté dans le futur ?","")&amp;IF(AND($Q92&lt;&gt;"",$P92&lt;&gt;"",$Q92&gt;$P92)," | Date prévue après l'échéance","")&amp;IF(AND($Q92&lt;&gt;"",$Q92&lt;DateRef,OR($N92="",$N92&lt;$Q92))," | Entretien prévu passé : le consigner au Journal","")&amp;IF(AND($G92&lt;&gt;"",$X92="",YEAR(DateRef)-YEAR($G92)&gt;=AgeMiCarriere-1,YEAR(DateRef)-YEAR($G92)&lt;=AgeMiCarriere+1)," | Visite de mi-carrière à vérifier",""),4,1000))</f>
        <v/>
      </c>
      <c r="U92" s="39"/>
      <c r="V92" s="40"/>
      <c r="W92" s="42" t="str">
        <f aca="false">IF(OR($B92="",$V92=""),"",IF(AND($I92&lt;&gt;"",$I92&lt;=DateRef),"",IF(AND($N92&lt;&gt;"",$N92&gt;=$V92),"Réalisé",IF(AND($N92&lt;&gt;"",$N92&gt;=EDATE($V92,-FenetreRetour)),"Dispensé (EPP récent)",IF($V92&gt;DateRef,"À prévoir à la reprise","À proposer (reprise passée)")))))</f>
        <v/>
      </c>
      <c r="X92" s="40"/>
      <c r="Y92" s="43" t="str">
        <f aca="false">IF(OR($B92="",$X92=""),"",EDATE($X92,DelaiMiCarriere))</f>
        <v/>
      </c>
      <c r="Z92" s="42" t="str">
        <f aca="false">IF(OR($B92="",$X92=""),"",IF(AND($I92&lt;&gt;"",$I92&lt;=DateRef),"",IF(AND($N92&lt;&gt;"",$N92&gt;=$X92),"Réalisé",IF($Y92&lt;DateRef,"En retard","À planifier"))))</f>
        <v/>
      </c>
      <c r="AA92" s="47" t="str">
        <f aca="false">IF(OR($B92="",$G92=""),"",IF($G92&gt;DateRef,"",DATEDIF($G92,DateRef,"y")))</f>
        <v/>
      </c>
      <c r="AB92" s="43" t="str">
        <f aca="false">IF(OR($B92="",$G92=""),"",EDATE($G92,AgeFinCarriere*12))</f>
        <v/>
      </c>
      <c r="AC92" s="42" t="str">
        <f aca="false">IF(OR($B92="",$G92="",$H92=""),"",IF(AND($I92&lt;&gt;"",$I92&lt;=DateRef),"",IF($AB92&lt;DateVigueur,"Non concerné",IF(AND($N92&lt;&gt;"",$N92&gt;=MAX(EDATE($AB92,-FenetreFinCarriere*12),DateVigueur),$N92&lt;=$AB92),"Réalisé",IF(DateRef&gt;$AB92,"Non réalisé",IF(AND($Q92&lt;&gt;"",$Q92&gt;=EDATE($AB92,-FenetreFinCarriere*12),$Q92&lt;=$AB92),"Planifié dans la fenêtre",IF(AND(MAX($P92,DateRef)&gt;=EDATE($AB92,-FenetreFinCarriere*12),MAX($P92,DateRef)&lt;=$AB92),"Prochain EPP dans la fenêtre",IF(MAX($P92,DateRef)&gt;$AB92,"À programmer avant 60 ans",""))))))))</f>
        <v/>
      </c>
      <c r="AD92" s="40"/>
      <c r="AE92" s="43" t="str">
        <f aca="false">IF(OR($B92="",$H92="",AND($I92&lt;&gt;"",$I92&lt;=DateRef)),"",MAX($H92,$AD92,IF($A92="",0,SUMPRODUCT(MAX((Journal!$A$6:$A$1005=$A92)*((Journal!$D$6:$D$1005=TypeEDL)+(Journal!$D$6:$D$1005=TypeBilan6))*Journal!$C$6:$C$1005)))))</f>
        <v/>
      </c>
      <c r="AF92" s="43" t="str">
        <f aca="false">IF($AE92="","",IF(AND(ReglesTransitoires="Oui",EDATE($AE92,AnciennePeriodiciteEDL*12)&lt;DateVigueur),EDATE($AE92,AnciennePeriodiciteEDL*12),EDATE($AE92,PeriodiciteEDL*12)))</f>
        <v/>
      </c>
      <c r="AG92" s="42" t="str">
        <f aca="false">IF($AF92="","",IF(AND($I92&lt;&gt;"",$I92&lt;=DateRef),"",IF($AF92&lt;DateRef,"En retard",IF($AF92-DateRef&lt;=SeuilAlerteEDL,"À prévoir","À jour"))))</f>
        <v/>
      </c>
      <c r="AH92" s="39"/>
      <c r="AI92" s="39"/>
      <c r="AJ92" s="42" t="str">
        <f aca="false">IF(OR($B92="",$H92=""),"",IF(AND($I92&lt;&gt;"",$I92&lt;=DateRef),"",IF(Effectif&lt;SeuilEffectif,"Non concerné (&lt; "&amp;SeuilEffectif&amp;" salariés)",IF($AH92="Oui","Pas de risque",IF(AND(OR($AI92="Non",$S92="En retard"),$AH92="Non"),"Risque abondement",IF(OR($AI92="Non",$S92="En retard"),"À vérifier (formation ?)",IF($AI92="Oui","Pas de risque","À compléter")))))))</f>
        <v/>
      </c>
      <c r="AK92" s="39"/>
    </row>
    <row r="93" customFormat="false" ht="15" hidden="false" customHeight="false" outlineLevel="0" collapsed="false">
      <c r="A93" s="39"/>
      <c r="B93" s="39"/>
      <c r="C93" s="39"/>
      <c r="D93" s="39"/>
      <c r="E93" s="39"/>
      <c r="F93" s="39"/>
      <c r="G93" s="40"/>
      <c r="H93" s="40"/>
      <c r="I93" s="40"/>
      <c r="J93" s="41" t="str">
        <f aca="false">IF(OR($B93="",$H93=""),"",IF($H93&gt;DateRef,0,YEARFRAC($H93,DateRef,1)))</f>
        <v/>
      </c>
      <c r="K93" s="42" t="str">
        <f aca="false">IF(OR($B93="",$H93=""),"",IF(EDATE($H93,12)&lt;=DateRef,"Plus d'un an","Moins d'un an"))</f>
        <v/>
      </c>
      <c r="L93" s="40"/>
      <c r="M93" s="43" t="str">
        <f aca="false">IF(OR($B93="",$A93=""),"",IF(SUMPRODUCT(MAX((Journal!$A$6:$A$1005=$A93)*Journal!$C$6:$C$1005))=0,"",SUMPRODUCT(MAX((Journal!$A$6:$A$1005=$A93)*Journal!$C$6:$C$1005))))</f>
        <v/>
      </c>
      <c r="N93" s="43" t="str">
        <f aca="false">IF($B93="","",IF(MAX($L93,$M93)=0,"",MAX($L93,$M93)))</f>
        <v/>
      </c>
      <c r="O93" s="44" t="str">
        <f aca="false">IF(OR($B93="",$H93=""),"",IF($N93="",IF(EDATE($H93,DelaiPremierEPP)&gt;DateRef,"1er EPP (1re année)","Aucun entretien renseigné"),IF(AND(ReglesTransitoires="Oui",EDATE($N93,AnciennePeriodiciteEP*12)&lt;DateVigueur),"Retard antérieur à la réforme","Périodicité "&amp;PeriodiciteEPP&amp;" ans")))</f>
        <v/>
      </c>
      <c r="P93" s="43" t="str">
        <f aca="false">IF(OR($B93="",$H93=""),"",IF($N93="",EDATE($H93,DelaiPremierEPP),IF(AND(ReglesTransitoires="Oui",EDATE($N93,AnciennePeriodiciteEP*12)&lt;DateVigueur),EDATE($N93,AnciennePeriodiciteEP*12),EDATE($N93,PeriodiciteEPP*12))))</f>
        <v/>
      </c>
      <c r="Q93" s="40"/>
      <c r="R93" s="45" t="str">
        <f aca="false">IF(OR($P93="",AND($I93&lt;&gt;"",$I93&lt;=DateRef)),"",$P93-DateRef)</f>
        <v/>
      </c>
      <c r="S93" s="42" t="str">
        <f aca="false">IF($B93="","",IF(AND($I93&lt;&gt;"",$I93&lt;=DateRef),"Sorti",IF($H93="","À compléter",IF(AND($Q93&lt;&gt;"",$Q93&gt;=DateRef,$Q93&lt;=$P93),"Planifié",IF($R93&lt;0,"En retard",IF($R93&lt;=SeuilAlerteEPP,"À planifier","À jour"))))))</f>
        <v/>
      </c>
      <c r="T93" s="46" t="str">
        <f aca="false">IF(OR($B93="",$S93="Sorti"),"",MID(IF($H93=""," | Date d'embauche manquante","")&amp;IF(AND($K93="Plus d'un an",$N93="")," | Précédent entretien à renseigner (ancienneté &gt; 1 an)","")&amp;IF($O93="Retard antérieur à la réforme"," | Ancien délai de 2 ans expiré avant la réforme","")&amp;IF(AND($N93&lt;&gt;"",$H93&lt;&gt;"",$N93&lt;$H93)," | Entretien antérieur à l'embauche ?","")&amp;IF(AND($N93&lt;&gt;"",$N93&gt;DateRef)," | Entretien daté dans le futur ?","")&amp;IF(AND($Q93&lt;&gt;"",$P93&lt;&gt;"",$Q93&gt;$P93)," | Date prévue après l'échéance","")&amp;IF(AND($Q93&lt;&gt;"",$Q93&lt;DateRef,OR($N93="",$N93&lt;$Q93))," | Entretien prévu passé : le consigner au Journal","")&amp;IF(AND($G93&lt;&gt;"",$X93="",YEAR(DateRef)-YEAR($G93)&gt;=AgeMiCarriere-1,YEAR(DateRef)-YEAR($G93)&lt;=AgeMiCarriere+1)," | Visite de mi-carrière à vérifier",""),4,1000))</f>
        <v/>
      </c>
      <c r="U93" s="39"/>
      <c r="V93" s="40"/>
      <c r="W93" s="42" t="str">
        <f aca="false">IF(OR($B93="",$V93=""),"",IF(AND($I93&lt;&gt;"",$I93&lt;=DateRef),"",IF(AND($N93&lt;&gt;"",$N93&gt;=$V93),"Réalisé",IF(AND($N93&lt;&gt;"",$N93&gt;=EDATE($V93,-FenetreRetour)),"Dispensé (EPP récent)",IF($V93&gt;DateRef,"À prévoir à la reprise","À proposer (reprise passée)")))))</f>
        <v/>
      </c>
      <c r="X93" s="40"/>
      <c r="Y93" s="43" t="str">
        <f aca="false">IF(OR($B93="",$X93=""),"",EDATE($X93,DelaiMiCarriere))</f>
        <v/>
      </c>
      <c r="Z93" s="42" t="str">
        <f aca="false">IF(OR($B93="",$X93=""),"",IF(AND($I93&lt;&gt;"",$I93&lt;=DateRef),"",IF(AND($N93&lt;&gt;"",$N93&gt;=$X93),"Réalisé",IF($Y93&lt;DateRef,"En retard","À planifier"))))</f>
        <v/>
      </c>
      <c r="AA93" s="47" t="str">
        <f aca="false">IF(OR($B93="",$G93=""),"",IF($G93&gt;DateRef,"",DATEDIF($G93,DateRef,"y")))</f>
        <v/>
      </c>
      <c r="AB93" s="43" t="str">
        <f aca="false">IF(OR($B93="",$G93=""),"",EDATE($G93,AgeFinCarriere*12))</f>
        <v/>
      </c>
      <c r="AC93" s="42" t="str">
        <f aca="false">IF(OR($B93="",$G93="",$H93=""),"",IF(AND($I93&lt;&gt;"",$I93&lt;=DateRef),"",IF($AB93&lt;DateVigueur,"Non concerné",IF(AND($N93&lt;&gt;"",$N93&gt;=MAX(EDATE($AB93,-FenetreFinCarriere*12),DateVigueur),$N93&lt;=$AB93),"Réalisé",IF(DateRef&gt;$AB93,"Non réalisé",IF(AND($Q93&lt;&gt;"",$Q93&gt;=EDATE($AB93,-FenetreFinCarriere*12),$Q93&lt;=$AB93),"Planifié dans la fenêtre",IF(AND(MAX($P93,DateRef)&gt;=EDATE($AB93,-FenetreFinCarriere*12),MAX($P93,DateRef)&lt;=$AB93),"Prochain EPP dans la fenêtre",IF(MAX($P93,DateRef)&gt;$AB93,"À programmer avant 60 ans",""))))))))</f>
        <v/>
      </c>
      <c r="AD93" s="40"/>
      <c r="AE93" s="43" t="str">
        <f aca="false">IF(OR($B93="",$H93="",AND($I93&lt;&gt;"",$I93&lt;=DateRef)),"",MAX($H93,$AD93,IF($A93="",0,SUMPRODUCT(MAX((Journal!$A$6:$A$1005=$A93)*((Journal!$D$6:$D$1005=TypeEDL)+(Journal!$D$6:$D$1005=TypeBilan6))*Journal!$C$6:$C$1005)))))</f>
        <v/>
      </c>
      <c r="AF93" s="43" t="str">
        <f aca="false">IF($AE93="","",IF(AND(ReglesTransitoires="Oui",EDATE($AE93,AnciennePeriodiciteEDL*12)&lt;DateVigueur),EDATE($AE93,AnciennePeriodiciteEDL*12),EDATE($AE93,PeriodiciteEDL*12)))</f>
        <v/>
      </c>
      <c r="AG93" s="42" t="str">
        <f aca="false">IF($AF93="","",IF(AND($I93&lt;&gt;"",$I93&lt;=DateRef),"",IF($AF93&lt;DateRef,"En retard",IF($AF93-DateRef&lt;=SeuilAlerteEDL,"À prévoir","À jour"))))</f>
        <v/>
      </c>
      <c r="AH93" s="39"/>
      <c r="AI93" s="39"/>
      <c r="AJ93" s="42" t="str">
        <f aca="false">IF(OR($B93="",$H93=""),"",IF(AND($I93&lt;&gt;"",$I93&lt;=DateRef),"",IF(Effectif&lt;SeuilEffectif,"Non concerné (&lt; "&amp;SeuilEffectif&amp;" salariés)",IF($AH93="Oui","Pas de risque",IF(AND(OR($AI93="Non",$S93="En retard"),$AH93="Non"),"Risque abondement",IF(OR($AI93="Non",$S93="En retard"),"À vérifier (formation ?)",IF($AI93="Oui","Pas de risque","À compléter")))))))</f>
        <v/>
      </c>
      <c r="AK93" s="39"/>
    </row>
    <row r="94" customFormat="false" ht="15" hidden="false" customHeight="false" outlineLevel="0" collapsed="false">
      <c r="A94" s="39"/>
      <c r="B94" s="39"/>
      <c r="C94" s="39"/>
      <c r="D94" s="39"/>
      <c r="E94" s="39"/>
      <c r="F94" s="39"/>
      <c r="G94" s="40"/>
      <c r="H94" s="40"/>
      <c r="I94" s="40"/>
      <c r="J94" s="41" t="str">
        <f aca="false">IF(OR($B94="",$H94=""),"",IF($H94&gt;DateRef,0,YEARFRAC($H94,DateRef,1)))</f>
        <v/>
      </c>
      <c r="K94" s="42" t="str">
        <f aca="false">IF(OR($B94="",$H94=""),"",IF(EDATE($H94,12)&lt;=DateRef,"Plus d'un an","Moins d'un an"))</f>
        <v/>
      </c>
      <c r="L94" s="40"/>
      <c r="M94" s="43" t="str">
        <f aca="false">IF(OR($B94="",$A94=""),"",IF(SUMPRODUCT(MAX((Journal!$A$6:$A$1005=$A94)*Journal!$C$6:$C$1005))=0,"",SUMPRODUCT(MAX((Journal!$A$6:$A$1005=$A94)*Journal!$C$6:$C$1005))))</f>
        <v/>
      </c>
      <c r="N94" s="43" t="str">
        <f aca="false">IF($B94="","",IF(MAX($L94,$M94)=0,"",MAX($L94,$M94)))</f>
        <v/>
      </c>
      <c r="O94" s="44" t="str">
        <f aca="false">IF(OR($B94="",$H94=""),"",IF($N94="",IF(EDATE($H94,DelaiPremierEPP)&gt;DateRef,"1er EPP (1re année)","Aucun entretien renseigné"),IF(AND(ReglesTransitoires="Oui",EDATE($N94,AnciennePeriodiciteEP*12)&lt;DateVigueur),"Retard antérieur à la réforme","Périodicité "&amp;PeriodiciteEPP&amp;" ans")))</f>
        <v/>
      </c>
      <c r="P94" s="43" t="str">
        <f aca="false">IF(OR($B94="",$H94=""),"",IF($N94="",EDATE($H94,DelaiPremierEPP),IF(AND(ReglesTransitoires="Oui",EDATE($N94,AnciennePeriodiciteEP*12)&lt;DateVigueur),EDATE($N94,AnciennePeriodiciteEP*12),EDATE($N94,PeriodiciteEPP*12))))</f>
        <v/>
      </c>
      <c r="Q94" s="40"/>
      <c r="R94" s="45" t="str">
        <f aca="false">IF(OR($P94="",AND($I94&lt;&gt;"",$I94&lt;=DateRef)),"",$P94-DateRef)</f>
        <v/>
      </c>
      <c r="S94" s="42" t="str">
        <f aca="false">IF($B94="","",IF(AND($I94&lt;&gt;"",$I94&lt;=DateRef),"Sorti",IF($H94="","À compléter",IF(AND($Q94&lt;&gt;"",$Q94&gt;=DateRef,$Q94&lt;=$P94),"Planifié",IF($R94&lt;0,"En retard",IF($R94&lt;=SeuilAlerteEPP,"À planifier","À jour"))))))</f>
        <v/>
      </c>
      <c r="T94" s="46" t="str">
        <f aca="false">IF(OR($B94="",$S94="Sorti"),"",MID(IF($H94=""," | Date d'embauche manquante","")&amp;IF(AND($K94="Plus d'un an",$N94="")," | Précédent entretien à renseigner (ancienneté &gt; 1 an)","")&amp;IF($O94="Retard antérieur à la réforme"," | Ancien délai de 2 ans expiré avant la réforme","")&amp;IF(AND($N94&lt;&gt;"",$H94&lt;&gt;"",$N94&lt;$H94)," | Entretien antérieur à l'embauche ?","")&amp;IF(AND($N94&lt;&gt;"",$N94&gt;DateRef)," | Entretien daté dans le futur ?","")&amp;IF(AND($Q94&lt;&gt;"",$P94&lt;&gt;"",$Q94&gt;$P94)," | Date prévue après l'échéance","")&amp;IF(AND($Q94&lt;&gt;"",$Q94&lt;DateRef,OR($N94="",$N94&lt;$Q94))," | Entretien prévu passé : le consigner au Journal","")&amp;IF(AND($G94&lt;&gt;"",$X94="",YEAR(DateRef)-YEAR($G94)&gt;=AgeMiCarriere-1,YEAR(DateRef)-YEAR($G94)&lt;=AgeMiCarriere+1)," | Visite de mi-carrière à vérifier",""),4,1000))</f>
        <v/>
      </c>
      <c r="U94" s="39"/>
      <c r="V94" s="40"/>
      <c r="W94" s="42" t="str">
        <f aca="false">IF(OR($B94="",$V94=""),"",IF(AND($I94&lt;&gt;"",$I94&lt;=DateRef),"",IF(AND($N94&lt;&gt;"",$N94&gt;=$V94),"Réalisé",IF(AND($N94&lt;&gt;"",$N94&gt;=EDATE($V94,-FenetreRetour)),"Dispensé (EPP récent)",IF($V94&gt;DateRef,"À prévoir à la reprise","À proposer (reprise passée)")))))</f>
        <v/>
      </c>
      <c r="X94" s="40"/>
      <c r="Y94" s="43" t="str">
        <f aca="false">IF(OR($B94="",$X94=""),"",EDATE($X94,DelaiMiCarriere))</f>
        <v/>
      </c>
      <c r="Z94" s="42" t="str">
        <f aca="false">IF(OR($B94="",$X94=""),"",IF(AND($I94&lt;&gt;"",$I94&lt;=DateRef),"",IF(AND($N94&lt;&gt;"",$N94&gt;=$X94),"Réalisé",IF($Y94&lt;DateRef,"En retard","À planifier"))))</f>
        <v/>
      </c>
      <c r="AA94" s="47" t="str">
        <f aca="false">IF(OR($B94="",$G94=""),"",IF($G94&gt;DateRef,"",DATEDIF($G94,DateRef,"y")))</f>
        <v/>
      </c>
      <c r="AB94" s="43" t="str">
        <f aca="false">IF(OR($B94="",$G94=""),"",EDATE($G94,AgeFinCarriere*12))</f>
        <v/>
      </c>
      <c r="AC94" s="42" t="str">
        <f aca="false">IF(OR($B94="",$G94="",$H94=""),"",IF(AND($I94&lt;&gt;"",$I94&lt;=DateRef),"",IF($AB94&lt;DateVigueur,"Non concerné",IF(AND($N94&lt;&gt;"",$N94&gt;=MAX(EDATE($AB94,-FenetreFinCarriere*12),DateVigueur),$N94&lt;=$AB94),"Réalisé",IF(DateRef&gt;$AB94,"Non réalisé",IF(AND($Q94&lt;&gt;"",$Q94&gt;=EDATE($AB94,-FenetreFinCarriere*12),$Q94&lt;=$AB94),"Planifié dans la fenêtre",IF(AND(MAX($P94,DateRef)&gt;=EDATE($AB94,-FenetreFinCarriere*12),MAX($P94,DateRef)&lt;=$AB94),"Prochain EPP dans la fenêtre",IF(MAX($P94,DateRef)&gt;$AB94,"À programmer avant 60 ans",""))))))))</f>
        <v/>
      </c>
      <c r="AD94" s="40"/>
      <c r="AE94" s="43" t="str">
        <f aca="false">IF(OR($B94="",$H94="",AND($I94&lt;&gt;"",$I94&lt;=DateRef)),"",MAX($H94,$AD94,IF($A94="",0,SUMPRODUCT(MAX((Journal!$A$6:$A$1005=$A94)*((Journal!$D$6:$D$1005=TypeEDL)+(Journal!$D$6:$D$1005=TypeBilan6))*Journal!$C$6:$C$1005)))))</f>
        <v/>
      </c>
      <c r="AF94" s="43" t="str">
        <f aca="false">IF($AE94="","",IF(AND(ReglesTransitoires="Oui",EDATE($AE94,AnciennePeriodiciteEDL*12)&lt;DateVigueur),EDATE($AE94,AnciennePeriodiciteEDL*12),EDATE($AE94,PeriodiciteEDL*12)))</f>
        <v/>
      </c>
      <c r="AG94" s="42" t="str">
        <f aca="false">IF($AF94="","",IF(AND($I94&lt;&gt;"",$I94&lt;=DateRef),"",IF($AF94&lt;DateRef,"En retard",IF($AF94-DateRef&lt;=SeuilAlerteEDL,"À prévoir","À jour"))))</f>
        <v/>
      </c>
      <c r="AH94" s="39"/>
      <c r="AI94" s="39"/>
      <c r="AJ94" s="42" t="str">
        <f aca="false">IF(OR($B94="",$H94=""),"",IF(AND($I94&lt;&gt;"",$I94&lt;=DateRef),"",IF(Effectif&lt;SeuilEffectif,"Non concerné (&lt; "&amp;SeuilEffectif&amp;" salariés)",IF($AH94="Oui","Pas de risque",IF(AND(OR($AI94="Non",$S94="En retard"),$AH94="Non"),"Risque abondement",IF(OR($AI94="Non",$S94="En retard"),"À vérifier (formation ?)",IF($AI94="Oui","Pas de risque","À compléter")))))))</f>
        <v/>
      </c>
      <c r="AK94" s="39"/>
    </row>
    <row r="95" customFormat="false" ht="15" hidden="false" customHeight="false" outlineLevel="0" collapsed="false">
      <c r="A95" s="39"/>
      <c r="B95" s="39"/>
      <c r="C95" s="39"/>
      <c r="D95" s="39"/>
      <c r="E95" s="39"/>
      <c r="F95" s="39"/>
      <c r="G95" s="40"/>
      <c r="H95" s="40"/>
      <c r="I95" s="40"/>
      <c r="J95" s="41" t="str">
        <f aca="false">IF(OR($B95="",$H95=""),"",IF($H95&gt;DateRef,0,YEARFRAC($H95,DateRef,1)))</f>
        <v/>
      </c>
      <c r="K95" s="42" t="str">
        <f aca="false">IF(OR($B95="",$H95=""),"",IF(EDATE($H95,12)&lt;=DateRef,"Plus d'un an","Moins d'un an"))</f>
        <v/>
      </c>
      <c r="L95" s="40"/>
      <c r="M95" s="43" t="str">
        <f aca="false">IF(OR($B95="",$A95=""),"",IF(SUMPRODUCT(MAX((Journal!$A$6:$A$1005=$A95)*Journal!$C$6:$C$1005))=0,"",SUMPRODUCT(MAX((Journal!$A$6:$A$1005=$A95)*Journal!$C$6:$C$1005))))</f>
        <v/>
      </c>
      <c r="N95" s="43" t="str">
        <f aca="false">IF($B95="","",IF(MAX($L95,$M95)=0,"",MAX($L95,$M95)))</f>
        <v/>
      </c>
      <c r="O95" s="44" t="str">
        <f aca="false">IF(OR($B95="",$H95=""),"",IF($N95="",IF(EDATE($H95,DelaiPremierEPP)&gt;DateRef,"1er EPP (1re année)","Aucun entretien renseigné"),IF(AND(ReglesTransitoires="Oui",EDATE($N95,AnciennePeriodiciteEP*12)&lt;DateVigueur),"Retard antérieur à la réforme","Périodicité "&amp;PeriodiciteEPP&amp;" ans")))</f>
        <v/>
      </c>
      <c r="P95" s="43" t="str">
        <f aca="false">IF(OR($B95="",$H95=""),"",IF($N95="",EDATE($H95,DelaiPremierEPP),IF(AND(ReglesTransitoires="Oui",EDATE($N95,AnciennePeriodiciteEP*12)&lt;DateVigueur),EDATE($N95,AnciennePeriodiciteEP*12),EDATE($N95,PeriodiciteEPP*12))))</f>
        <v/>
      </c>
      <c r="Q95" s="40"/>
      <c r="R95" s="45" t="str">
        <f aca="false">IF(OR($P95="",AND($I95&lt;&gt;"",$I95&lt;=DateRef)),"",$P95-DateRef)</f>
        <v/>
      </c>
      <c r="S95" s="42" t="str">
        <f aca="false">IF($B95="","",IF(AND($I95&lt;&gt;"",$I95&lt;=DateRef),"Sorti",IF($H95="","À compléter",IF(AND($Q95&lt;&gt;"",$Q95&gt;=DateRef,$Q95&lt;=$P95),"Planifié",IF($R95&lt;0,"En retard",IF($R95&lt;=SeuilAlerteEPP,"À planifier","À jour"))))))</f>
        <v/>
      </c>
      <c r="T95" s="46" t="str">
        <f aca="false">IF(OR($B95="",$S95="Sorti"),"",MID(IF($H95=""," | Date d'embauche manquante","")&amp;IF(AND($K95="Plus d'un an",$N95="")," | Précédent entretien à renseigner (ancienneté &gt; 1 an)","")&amp;IF($O95="Retard antérieur à la réforme"," | Ancien délai de 2 ans expiré avant la réforme","")&amp;IF(AND($N95&lt;&gt;"",$H95&lt;&gt;"",$N95&lt;$H95)," | Entretien antérieur à l'embauche ?","")&amp;IF(AND($N95&lt;&gt;"",$N95&gt;DateRef)," | Entretien daté dans le futur ?","")&amp;IF(AND($Q95&lt;&gt;"",$P95&lt;&gt;"",$Q95&gt;$P95)," | Date prévue après l'échéance","")&amp;IF(AND($Q95&lt;&gt;"",$Q95&lt;DateRef,OR($N95="",$N95&lt;$Q95))," | Entretien prévu passé : le consigner au Journal","")&amp;IF(AND($G95&lt;&gt;"",$X95="",YEAR(DateRef)-YEAR($G95)&gt;=AgeMiCarriere-1,YEAR(DateRef)-YEAR($G95)&lt;=AgeMiCarriere+1)," | Visite de mi-carrière à vérifier",""),4,1000))</f>
        <v/>
      </c>
      <c r="U95" s="39"/>
      <c r="V95" s="40"/>
      <c r="W95" s="42" t="str">
        <f aca="false">IF(OR($B95="",$V95=""),"",IF(AND($I95&lt;&gt;"",$I95&lt;=DateRef),"",IF(AND($N95&lt;&gt;"",$N95&gt;=$V95),"Réalisé",IF(AND($N95&lt;&gt;"",$N95&gt;=EDATE($V95,-FenetreRetour)),"Dispensé (EPP récent)",IF($V95&gt;DateRef,"À prévoir à la reprise","À proposer (reprise passée)")))))</f>
        <v/>
      </c>
      <c r="X95" s="40"/>
      <c r="Y95" s="43" t="str">
        <f aca="false">IF(OR($B95="",$X95=""),"",EDATE($X95,DelaiMiCarriere))</f>
        <v/>
      </c>
      <c r="Z95" s="42" t="str">
        <f aca="false">IF(OR($B95="",$X95=""),"",IF(AND($I95&lt;&gt;"",$I95&lt;=DateRef),"",IF(AND($N95&lt;&gt;"",$N95&gt;=$X95),"Réalisé",IF($Y95&lt;DateRef,"En retard","À planifier"))))</f>
        <v/>
      </c>
      <c r="AA95" s="47" t="str">
        <f aca="false">IF(OR($B95="",$G95=""),"",IF($G95&gt;DateRef,"",DATEDIF($G95,DateRef,"y")))</f>
        <v/>
      </c>
      <c r="AB95" s="43" t="str">
        <f aca="false">IF(OR($B95="",$G95=""),"",EDATE($G95,AgeFinCarriere*12))</f>
        <v/>
      </c>
      <c r="AC95" s="42" t="str">
        <f aca="false">IF(OR($B95="",$G95="",$H95=""),"",IF(AND($I95&lt;&gt;"",$I95&lt;=DateRef),"",IF($AB95&lt;DateVigueur,"Non concerné",IF(AND($N95&lt;&gt;"",$N95&gt;=MAX(EDATE($AB95,-FenetreFinCarriere*12),DateVigueur),$N95&lt;=$AB95),"Réalisé",IF(DateRef&gt;$AB95,"Non réalisé",IF(AND($Q95&lt;&gt;"",$Q95&gt;=EDATE($AB95,-FenetreFinCarriere*12),$Q95&lt;=$AB95),"Planifié dans la fenêtre",IF(AND(MAX($P95,DateRef)&gt;=EDATE($AB95,-FenetreFinCarriere*12),MAX($P95,DateRef)&lt;=$AB95),"Prochain EPP dans la fenêtre",IF(MAX($P95,DateRef)&gt;$AB95,"À programmer avant 60 ans",""))))))))</f>
        <v/>
      </c>
      <c r="AD95" s="40"/>
      <c r="AE95" s="43" t="str">
        <f aca="false">IF(OR($B95="",$H95="",AND($I95&lt;&gt;"",$I95&lt;=DateRef)),"",MAX($H95,$AD95,IF($A95="",0,SUMPRODUCT(MAX((Journal!$A$6:$A$1005=$A95)*((Journal!$D$6:$D$1005=TypeEDL)+(Journal!$D$6:$D$1005=TypeBilan6))*Journal!$C$6:$C$1005)))))</f>
        <v/>
      </c>
      <c r="AF95" s="43" t="str">
        <f aca="false">IF($AE95="","",IF(AND(ReglesTransitoires="Oui",EDATE($AE95,AnciennePeriodiciteEDL*12)&lt;DateVigueur),EDATE($AE95,AnciennePeriodiciteEDL*12),EDATE($AE95,PeriodiciteEDL*12)))</f>
        <v/>
      </c>
      <c r="AG95" s="42" t="str">
        <f aca="false">IF($AF95="","",IF(AND($I95&lt;&gt;"",$I95&lt;=DateRef),"",IF($AF95&lt;DateRef,"En retard",IF($AF95-DateRef&lt;=SeuilAlerteEDL,"À prévoir","À jour"))))</f>
        <v/>
      </c>
      <c r="AH95" s="39"/>
      <c r="AI95" s="39"/>
      <c r="AJ95" s="42" t="str">
        <f aca="false">IF(OR($B95="",$H95=""),"",IF(AND($I95&lt;&gt;"",$I95&lt;=DateRef),"",IF(Effectif&lt;SeuilEffectif,"Non concerné (&lt; "&amp;SeuilEffectif&amp;" salariés)",IF($AH95="Oui","Pas de risque",IF(AND(OR($AI95="Non",$S95="En retard"),$AH95="Non"),"Risque abondement",IF(OR($AI95="Non",$S95="En retard"),"À vérifier (formation ?)",IF($AI95="Oui","Pas de risque","À compléter")))))))</f>
        <v/>
      </c>
      <c r="AK95" s="39"/>
    </row>
    <row r="96" customFormat="false" ht="15" hidden="false" customHeight="false" outlineLevel="0" collapsed="false">
      <c r="A96" s="39"/>
      <c r="B96" s="39"/>
      <c r="C96" s="39"/>
      <c r="D96" s="39"/>
      <c r="E96" s="39"/>
      <c r="F96" s="39"/>
      <c r="G96" s="40"/>
      <c r="H96" s="40"/>
      <c r="I96" s="40"/>
      <c r="J96" s="41" t="str">
        <f aca="false">IF(OR($B96="",$H96=""),"",IF($H96&gt;DateRef,0,YEARFRAC($H96,DateRef,1)))</f>
        <v/>
      </c>
      <c r="K96" s="42" t="str">
        <f aca="false">IF(OR($B96="",$H96=""),"",IF(EDATE($H96,12)&lt;=DateRef,"Plus d'un an","Moins d'un an"))</f>
        <v/>
      </c>
      <c r="L96" s="40"/>
      <c r="M96" s="43" t="str">
        <f aca="false">IF(OR($B96="",$A96=""),"",IF(SUMPRODUCT(MAX((Journal!$A$6:$A$1005=$A96)*Journal!$C$6:$C$1005))=0,"",SUMPRODUCT(MAX((Journal!$A$6:$A$1005=$A96)*Journal!$C$6:$C$1005))))</f>
        <v/>
      </c>
      <c r="N96" s="43" t="str">
        <f aca="false">IF($B96="","",IF(MAX($L96,$M96)=0,"",MAX($L96,$M96)))</f>
        <v/>
      </c>
      <c r="O96" s="44" t="str">
        <f aca="false">IF(OR($B96="",$H96=""),"",IF($N96="",IF(EDATE($H96,DelaiPremierEPP)&gt;DateRef,"1er EPP (1re année)","Aucun entretien renseigné"),IF(AND(ReglesTransitoires="Oui",EDATE($N96,AnciennePeriodiciteEP*12)&lt;DateVigueur),"Retard antérieur à la réforme","Périodicité "&amp;PeriodiciteEPP&amp;" ans")))</f>
        <v/>
      </c>
      <c r="P96" s="43" t="str">
        <f aca="false">IF(OR($B96="",$H96=""),"",IF($N96="",EDATE($H96,DelaiPremierEPP),IF(AND(ReglesTransitoires="Oui",EDATE($N96,AnciennePeriodiciteEP*12)&lt;DateVigueur),EDATE($N96,AnciennePeriodiciteEP*12),EDATE($N96,PeriodiciteEPP*12))))</f>
        <v/>
      </c>
      <c r="Q96" s="40"/>
      <c r="R96" s="45" t="str">
        <f aca="false">IF(OR($P96="",AND($I96&lt;&gt;"",$I96&lt;=DateRef)),"",$P96-DateRef)</f>
        <v/>
      </c>
      <c r="S96" s="42" t="str">
        <f aca="false">IF($B96="","",IF(AND($I96&lt;&gt;"",$I96&lt;=DateRef),"Sorti",IF($H96="","À compléter",IF(AND($Q96&lt;&gt;"",$Q96&gt;=DateRef,$Q96&lt;=$P96),"Planifié",IF($R96&lt;0,"En retard",IF($R96&lt;=SeuilAlerteEPP,"À planifier","À jour"))))))</f>
        <v/>
      </c>
      <c r="T96" s="46" t="str">
        <f aca="false">IF(OR($B96="",$S96="Sorti"),"",MID(IF($H96=""," | Date d'embauche manquante","")&amp;IF(AND($K96="Plus d'un an",$N96="")," | Précédent entretien à renseigner (ancienneté &gt; 1 an)","")&amp;IF($O96="Retard antérieur à la réforme"," | Ancien délai de 2 ans expiré avant la réforme","")&amp;IF(AND($N96&lt;&gt;"",$H96&lt;&gt;"",$N96&lt;$H96)," | Entretien antérieur à l'embauche ?","")&amp;IF(AND($N96&lt;&gt;"",$N96&gt;DateRef)," | Entretien daté dans le futur ?","")&amp;IF(AND($Q96&lt;&gt;"",$P96&lt;&gt;"",$Q96&gt;$P96)," | Date prévue après l'échéance","")&amp;IF(AND($Q96&lt;&gt;"",$Q96&lt;DateRef,OR($N96="",$N96&lt;$Q96))," | Entretien prévu passé : le consigner au Journal","")&amp;IF(AND($G96&lt;&gt;"",$X96="",YEAR(DateRef)-YEAR($G96)&gt;=AgeMiCarriere-1,YEAR(DateRef)-YEAR($G96)&lt;=AgeMiCarriere+1)," | Visite de mi-carrière à vérifier",""),4,1000))</f>
        <v/>
      </c>
      <c r="U96" s="39"/>
      <c r="V96" s="40"/>
      <c r="W96" s="42" t="str">
        <f aca="false">IF(OR($B96="",$V96=""),"",IF(AND($I96&lt;&gt;"",$I96&lt;=DateRef),"",IF(AND($N96&lt;&gt;"",$N96&gt;=$V96),"Réalisé",IF(AND($N96&lt;&gt;"",$N96&gt;=EDATE($V96,-FenetreRetour)),"Dispensé (EPP récent)",IF($V96&gt;DateRef,"À prévoir à la reprise","À proposer (reprise passée)")))))</f>
        <v/>
      </c>
      <c r="X96" s="40"/>
      <c r="Y96" s="43" t="str">
        <f aca="false">IF(OR($B96="",$X96=""),"",EDATE($X96,DelaiMiCarriere))</f>
        <v/>
      </c>
      <c r="Z96" s="42" t="str">
        <f aca="false">IF(OR($B96="",$X96=""),"",IF(AND($I96&lt;&gt;"",$I96&lt;=DateRef),"",IF(AND($N96&lt;&gt;"",$N96&gt;=$X96),"Réalisé",IF($Y96&lt;DateRef,"En retard","À planifier"))))</f>
        <v/>
      </c>
      <c r="AA96" s="47" t="str">
        <f aca="false">IF(OR($B96="",$G96=""),"",IF($G96&gt;DateRef,"",DATEDIF($G96,DateRef,"y")))</f>
        <v/>
      </c>
      <c r="AB96" s="43" t="str">
        <f aca="false">IF(OR($B96="",$G96=""),"",EDATE($G96,AgeFinCarriere*12))</f>
        <v/>
      </c>
      <c r="AC96" s="42" t="str">
        <f aca="false">IF(OR($B96="",$G96="",$H96=""),"",IF(AND($I96&lt;&gt;"",$I96&lt;=DateRef),"",IF($AB96&lt;DateVigueur,"Non concerné",IF(AND($N96&lt;&gt;"",$N96&gt;=MAX(EDATE($AB96,-FenetreFinCarriere*12),DateVigueur),$N96&lt;=$AB96),"Réalisé",IF(DateRef&gt;$AB96,"Non réalisé",IF(AND($Q96&lt;&gt;"",$Q96&gt;=EDATE($AB96,-FenetreFinCarriere*12),$Q96&lt;=$AB96),"Planifié dans la fenêtre",IF(AND(MAX($P96,DateRef)&gt;=EDATE($AB96,-FenetreFinCarriere*12),MAX($P96,DateRef)&lt;=$AB96),"Prochain EPP dans la fenêtre",IF(MAX($P96,DateRef)&gt;$AB96,"À programmer avant 60 ans",""))))))))</f>
        <v/>
      </c>
      <c r="AD96" s="40"/>
      <c r="AE96" s="43" t="str">
        <f aca="false">IF(OR($B96="",$H96="",AND($I96&lt;&gt;"",$I96&lt;=DateRef)),"",MAX($H96,$AD96,IF($A96="",0,SUMPRODUCT(MAX((Journal!$A$6:$A$1005=$A96)*((Journal!$D$6:$D$1005=TypeEDL)+(Journal!$D$6:$D$1005=TypeBilan6))*Journal!$C$6:$C$1005)))))</f>
        <v/>
      </c>
      <c r="AF96" s="43" t="str">
        <f aca="false">IF($AE96="","",IF(AND(ReglesTransitoires="Oui",EDATE($AE96,AnciennePeriodiciteEDL*12)&lt;DateVigueur),EDATE($AE96,AnciennePeriodiciteEDL*12),EDATE($AE96,PeriodiciteEDL*12)))</f>
        <v/>
      </c>
      <c r="AG96" s="42" t="str">
        <f aca="false">IF($AF96="","",IF(AND($I96&lt;&gt;"",$I96&lt;=DateRef),"",IF($AF96&lt;DateRef,"En retard",IF($AF96-DateRef&lt;=SeuilAlerteEDL,"À prévoir","À jour"))))</f>
        <v/>
      </c>
      <c r="AH96" s="39"/>
      <c r="AI96" s="39"/>
      <c r="AJ96" s="42" t="str">
        <f aca="false">IF(OR($B96="",$H96=""),"",IF(AND($I96&lt;&gt;"",$I96&lt;=DateRef),"",IF(Effectif&lt;SeuilEffectif,"Non concerné (&lt; "&amp;SeuilEffectif&amp;" salariés)",IF($AH96="Oui","Pas de risque",IF(AND(OR($AI96="Non",$S96="En retard"),$AH96="Non"),"Risque abondement",IF(OR($AI96="Non",$S96="En retard"),"À vérifier (formation ?)",IF($AI96="Oui","Pas de risque","À compléter")))))))</f>
        <v/>
      </c>
      <c r="AK96" s="39"/>
    </row>
    <row r="97" customFormat="false" ht="15" hidden="false" customHeight="false" outlineLevel="0" collapsed="false">
      <c r="A97" s="39"/>
      <c r="B97" s="39"/>
      <c r="C97" s="39"/>
      <c r="D97" s="39"/>
      <c r="E97" s="39"/>
      <c r="F97" s="39"/>
      <c r="G97" s="40"/>
      <c r="H97" s="40"/>
      <c r="I97" s="40"/>
      <c r="J97" s="41" t="str">
        <f aca="false">IF(OR($B97="",$H97=""),"",IF($H97&gt;DateRef,0,YEARFRAC($H97,DateRef,1)))</f>
        <v/>
      </c>
      <c r="K97" s="42" t="str">
        <f aca="false">IF(OR($B97="",$H97=""),"",IF(EDATE($H97,12)&lt;=DateRef,"Plus d'un an","Moins d'un an"))</f>
        <v/>
      </c>
      <c r="L97" s="40"/>
      <c r="M97" s="43" t="str">
        <f aca="false">IF(OR($B97="",$A97=""),"",IF(SUMPRODUCT(MAX((Journal!$A$6:$A$1005=$A97)*Journal!$C$6:$C$1005))=0,"",SUMPRODUCT(MAX((Journal!$A$6:$A$1005=$A97)*Journal!$C$6:$C$1005))))</f>
        <v/>
      </c>
      <c r="N97" s="43" t="str">
        <f aca="false">IF($B97="","",IF(MAX($L97,$M97)=0,"",MAX($L97,$M97)))</f>
        <v/>
      </c>
      <c r="O97" s="44" t="str">
        <f aca="false">IF(OR($B97="",$H97=""),"",IF($N97="",IF(EDATE($H97,DelaiPremierEPP)&gt;DateRef,"1er EPP (1re année)","Aucun entretien renseigné"),IF(AND(ReglesTransitoires="Oui",EDATE($N97,AnciennePeriodiciteEP*12)&lt;DateVigueur),"Retard antérieur à la réforme","Périodicité "&amp;PeriodiciteEPP&amp;" ans")))</f>
        <v/>
      </c>
      <c r="P97" s="43" t="str">
        <f aca="false">IF(OR($B97="",$H97=""),"",IF($N97="",EDATE($H97,DelaiPremierEPP),IF(AND(ReglesTransitoires="Oui",EDATE($N97,AnciennePeriodiciteEP*12)&lt;DateVigueur),EDATE($N97,AnciennePeriodiciteEP*12),EDATE($N97,PeriodiciteEPP*12))))</f>
        <v/>
      </c>
      <c r="Q97" s="40"/>
      <c r="R97" s="45" t="str">
        <f aca="false">IF(OR($P97="",AND($I97&lt;&gt;"",$I97&lt;=DateRef)),"",$P97-DateRef)</f>
        <v/>
      </c>
      <c r="S97" s="42" t="str">
        <f aca="false">IF($B97="","",IF(AND($I97&lt;&gt;"",$I97&lt;=DateRef),"Sorti",IF($H97="","À compléter",IF(AND($Q97&lt;&gt;"",$Q97&gt;=DateRef,$Q97&lt;=$P97),"Planifié",IF($R97&lt;0,"En retard",IF($R97&lt;=SeuilAlerteEPP,"À planifier","À jour"))))))</f>
        <v/>
      </c>
      <c r="T97" s="46" t="str">
        <f aca="false">IF(OR($B97="",$S97="Sorti"),"",MID(IF($H97=""," | Date d'embauche manquante","")&amp;IF(AND($K97="Plus d'un an",$N97="")," | Précédent entretien à renseigner (ancienneté &gt; 1 an)","")&amp;IF($O97="Retard antérieur à la réforme"," | Ancien délai de 2 ans expiré avant la réforme","")&amp;IF(AND($N97&lt;&gt;"",$H97&lt;&gt;"",$N97&lt;$H97)," | Entretien antérieur à l'embauche ?","")&amp;IF(AND($N97&lt;&gt;"",$N97&gt;DateRef)," | Entretien daté dans le futur ?","")&amp;IF(AND($Q97&lt;&gt;"",$P97&lt;&gt;"",$Q97&gt;$P97)," | Date prévue après l'échéance","")&amp;IF(AND($Q97&lt;&gt;"",$Q97&lt;DateRef,OR($N97="",$N97&lt;$Q97))," | Entretien prévu passé : le consigner au Journal","")&amp;IF(AND($G97&lt;&gt;"",$X97="",YEAR(DateRef)-YEAR($G97)&gt;=AgeMiCarriere-1,YEAR(DateRef)-YEAR($G97)&lt;=AgeMiCarriere+1)," | Visite de mi-carrière à vérifier",""),4,1000))</f>
        <v/>
      </c>
      <c r="U97" s="39"/>
      <c r="V97" s="40"/>
      <c r="W97" s="42" t="str">
        <f aca="false">IF(OR($B97="",$V97=""),"",IF(AND($I97&lt;&gt;"",$I97&lt;=DateRef),"",IF(AND($N97&lt;&gt;"",$N97&gt;=$V97),"Réalisé",IF(AND($N97&lt;&gt;"",$N97&gt;=EDATE($V97,-FenetreRetour)),"Dispensé (EPP récent)",IF($V97&gt;DateRef,"À prévoir à la reprise","À proposer (reprise passée)")))))</f>
        <v/>
      </c>
      <c r="X97" s="40"/>
      <c r="Y97" s="43" t="str">
        <f aca="false">IF(OR($B97="",$X97=""),"",EDATE($X97,DelaiMiCarriere))</f>
        <v/>
      </c>
      <c r="Z97" s="42" t="str">
        <f aca="false">IF(OR($B97="",$X97=""),"",IF(AND($I97&lt;&gt;"",$I97&lt;=DateRef),"",IF(AND($N97&lt;&gt;"",$N97&gt;=$X97),"Réalisé",IF($Y97&lt;DateRef,"En retard","À planifier"))))</f>
        <v/>
      </c>
      <c r="AA97" s="47" t="str">
        <f aca="false">IF(OR($B97="",$G97=""),"",IF($G97&gt;DateRef,"",DATEDIF($G97,DateRef,"y")))</f>
        <v/>
      </c>
      <c r="AB97" s="43" t="str">
        <f aca="false">IF(OR($B97="",$G97=""),"",EDATE($G97,AgeFinCarriere*12))</f>
        <v/>
      </c>
      <c r="AC97" s="42" t="str">
        <f aca="false">IF(OR($B97="",$G97="",$H97=""),"",IF(AND($I97&lt;&gt;"",$I97&lt;=DateRef),"",IF($AB97&lt;DateVigueur,"Non concerné",IF(AND($N97&lt;&gt;"",$N97&gt;=MAX(EDATE($AB97,-FenetreFinCarriere*12),DateVigueur),$N97&lt;=$AB97),"Réalisé",IF(DateRef&gt;$AB97,"Non réalisé",IF(AND($Q97&lt;&gt;"",$Q97&gt;=EDATE($AB97,-FenetreFinCarriere*12),$Q97&lt;=$AB97),"Planifié dans la fenêtre",IF(AND(MAX($P97,DateRef)&gt;=EDATE($AB97,-FenetreFinCarriere*12),MAX($P97,DateRef)&lt;=$AB97),"Prochain EPP dans la fenêtre",IF(MAX($P97,DateRef)&gt;$AB97,"À programmer avant 60 ans",""))))))))</f>
        <v/>
      </c>
      <c r="AD97" s="40"/>
      <c r="AE97" s="43" t="str">
        <f aca="false">IF(OR($B97="",$H97="",AND($I97&lt;&gt;"",$I97&lt;=DateRef)),"",MAX($H97,$AD97,IF($A97="",0,SUMPRODUCT(MAX((Journal!$A$6:$A$1005=$A97)*((Journal!$D$6:$D$1005=TypeEDL)+(Journal!$D$6:$D$1005=TypeBilan6))*Journal!$C$6:$C$1005)))))</f>
        <v/>
      </c>
      <c r="AF97" s="43" t="str">
        <f aca="false">IF($AE97="","",IF(AND(ReglesTransitoires="Oui",EDATE($AE97,AnciennePeriodiciteEDL*12)&lt;DateVigueur),EDATE($AE97,AnciennePeriodiciteEDL*12),EDATE($AE97,PeriodiciteEDL*12)))</f>
        <v/>
      </c>
      <c r="AG97" s="42" t="str">
        <f aca="false">IF($AF97="","",IF(AND($I97&lt;&gt;"",$I97&lt;=DateRef),"",IF($AF97&lt;DateRef,"En retard",IF($AF97-DateRef&lt;=SeuilAlerteEDL,"À prévoir","À jour"))))</f>
        <v/>
      </c>
      <c r="AH97" s="39"/>
      <c r="AI97" s="39"/>
      <c r="AJ97" s="42" t="str">
        <f aca="false">IF(OR($B97="",$H97=""),"",IF(AND($I97&lt;&gt;"",$I97&lt;=DateRef),"",IF(Effectif&lt;SeuilEffectif,"Non concerné (&lt; "&amp;SeuilEffectif&amp;" salariés)",IF($AH97="Oui","Pas de risque",IF(AND(OR($AI97="Non",$S97="En retard"),$AH97="Non"),"Risque abondement",IF(OR($AI97="Non",$S97="En retard"),"À vérifier (formation ?)",IF($AI97="Oui","Pas de risque","À compléter")))))))</f>
        <v/>
      </c>
      <c r="AK97" s="39"/>
    </row>
    <row r="98" customFormat="false" ht="15" hidden="false" customHeight="false" outlineLevel="0" collapsed="false">
      <c r="A98" s="39"/>
      <c r="B98" s="39"/>
      <c r="C98" s="39"/>
      <c r="D98" s="39"/>
      <c r="E98" s="39"/>
      <c r="F98" s="39"/>
      <c r="G98" s="40"/>
      <c r="H98" s="40"/>
      <c r="I98" s="40"/>
      <c r="J98" s="41" t="str">
        <f aca="false">IF(OR($B98="",$H98=""),"",IF($H98&gt;DateRef,0,YEARFRAC($H98,DateRef,1)))</f>
        <v/>
      </c>
      <c r="K98" s="42" t="str">
        <f aca="false">IF(OR($B98="",$H98=""),"",IF(EDATE($H98,12)&lt;=DateRef,"Plus d'un an","Moins d'un an"))</f>
        <v/>
      </c>
      <c r="L98" s="40"/>
      <c r="M98" s="43" t="str">
        <f aca="false">IF(OR($B98="",$A98=""),"",IF(SUMPRODUCT(MAX((Journal!$A$6:$A$1005=$A98)*Journal!$C$6:$C$1005))=0,"",SUMPRODUCT(MAX((Journal!$A$6:$A$1005=$A98)*Journal!$C$6:$C$1005))))</f>
        <v/>
      </c>
      <c r="N98" s="43" t="str">
        <f aca="false">IF($B98="","",IF(MAX($L98,$M98)=0,"",MAX($L98,$M98)))</f>
        <v/>
      </c>
      <c r="O98" s="44" t="str">
        <f aca="false">IF(OR($B98="",$H98=""),"",IF($N98="",IF(EDATE($H98,DelaiPremierEPP)&gt;DateRef,"1er EPP (1re année)","Aucun entretien renseigné"),IF(AND(ReglesTransitoires="Oui",EDATE($N98,AnciennePeriodiciteEP*12)&lt;DateVigueur),"Retard antérieur à la réforme","Périodicité "&amp;PeriodiciteEPP&amp;" ans")))</f>
        <v/>
      </c>
      <c r="P98" s="43" t="str">
        <f aca="false">IF(OR($B98="",$H98=""),"",IF($N98="",EDATE($H98,DelaiPremierEPP),IF(AND(ReglesTransitoires="Oui",EDATE($N98,AnciennePeriodiciteEP*12)&lt;DateVigueur),EDATE($N98,AnciennePeriodiciteEP*12),EDATE($N98,PeriodiciteEPP*12))))</f>
        <v/>
      </c>
      <c r="Q98" s="40"/>
      <c r="R98" s="45" t="str">
        <f aca="false">IF(OR($P98="",AND($I98&lt;&gt;"",$I98&lt;=DateRef)),"",$P98-DateRef)</f>
        <v/>
      </c>
      <c r="S98" s="42" t="str">
        <f aca="false">IF($B98="","",IF(AND($I98&lt;&gt;"",$I98&lt;=DateRef),"Sorti",IF($H98="","À compléter",IF(AND($Q98&lt;&gt;"",$Q98&gt;=DateRef,$Q98&lt;=$P98),"Planifié",IF($R98&lt;0,"En retard",IF($R98&lt;=SeuilAlerteEPP,"À planifier","À jour"))))))</f>
        <v/>
      </c>
      <c r="T98" s="46" t="str">
        <f aca="false">IF(OR($B98="",$S98="Sorti"),"",MID(IF($H98=""," | Date d'embauche manquante","")&amp;IF(AND($K98="Plus d'un an",$N98="")," | Précédent entretien à renseigner (ancienneté &gt; 1 an)","")&amp;IF($O98="Retard antérieur à la réforme"," | Ancien délai de 2 ans expiré avant la réforme","")&amp;IF(AND($N98&lt;&gt;"",$H98&lt;&gt;"",$N98&lt;$H98)," | Entretien antérieur à l'embauche ?","")&amp;IF(AND($N98&lt;&gt;"",$N98&gt;DateRef)," | Entretien daté dans le futur ?","")&amp;IF(AND($Q98&lt;&gt;"",$P98&lt;&gt;"",$Q98&gt;$P98)," | Date prévue après l'échéance","")&amp;IF(AND($Q98&lt;&gt;"",$Q98&lt;DateRef,OR($N98="",$N98&lt;$Q98))," | Entretien prévu passé : le consigner au Journal","")&amp;IF(AND($G98&lt;&gt;"",$X98="",YEAR(DateRef)-YEAR($G98)&gt;=AgeMiCarriere-1,YEAR(DateRef)-YEAR($G98)&lt;=AgeMiCarriere+1)," | Visite de mi-carrière à vérifier",""),4,1000))</f>
        <v/>
      </c>
      <c r="U98" s="39"/>
      <c r="V98" s="40"/>
      <c r="W98" s="42" t="str">
        <f aca="false">IF(OR($B98="",$V98=""),"",IF(AND($I98&lt;&gt;"",$I98&lt;=DateRef),"",IF(AND($N98&lt;&gt;"",$N98&gt;=$V98),"Réalisé",IF(AND($N98&lt;&gt;"",$N98&gt;=EDATE($V98,-FenetreRetour)),"Dispensé (EPP récent)",IF($V98&gt;DateRef,"À prévoir à la reprise","À proposer (reprise passée)")))))</f>
        <v/>
      </c>
      <c r="X98" s="40"/>
      <c r="Y98" s="43" t="str">
        <f aca="false">IF(OR($B98="",$X98=""),"",EDATE($X98,DelaiMiCarriere))</f>
        <v/>
      </c>
      <c r="Z98" s="42" t="str">
        <f aca="false">IF(OR($B98="",$X98=""),"",IF(AND($I98&lt;&gt;"",$I98&lt;=DateRef),"",IF(AND($N98&lt;&gt;"",$N98&gt;=$X98),"Réalisé",IF($Y98&lt;DateRef,"En retard","À planifier"))))</f>
        <v/>
      </c>
      <c r="AA98" s="47" t="str">
        <f aca="false">IF(OR($B98="",$G98=""),"",IF($G98&gt;DateRef,"",DATEDIF($G98,DateRef,"y")))</f>
        <v/>
      </c>
      <c r="AB98" s="43" t="str">
        <f aca="false">IF(OR($B98="",$G98=""),"",EDATE($G98,AgeFinCarriere*12))</f>
        <v/>
      </c>
      <c r="AC98" s="42" t="str">
        <f aca="false">IF(OR($B98="",$G98="",$H98=""),"",IF(AND($I98&lt;&gt;"",$I98&lt;=DateRef),"",IF($AB98&lt;DateVigueur,"Non concerné",IF(AND($N98&lt;&gt;"",$N98&gt;=MAX(EDATE($AB98,-FenetreFinCarriere*12),DateVigueur),$N98&lt;=$AB98),"Réalisé",IF(DateRef&gt;$AB98,"Non réalisé",IF(AND($Q98&lt;&gt;"",$Q98&gt;=EDATE($AB98,-FenetreFinCarriere*12),$Q98&lt;=$AB98),"Planifié dans la fenêtre",IF(AND(MAX($P98,DateRef)&gt;=EDATE($AB98,-FenetreFinCarriere*12),MAX($P98,DateRef)&lt;=$AB98),"Prochain EPP dans la fenêtre",IF(MAX($P98,DateRef)&gt;$AB98,"À programmer avant 60 ans",""))))))))</f>
        <v/>
      </c>
      <c r="AD98" s="40"/>
      <c r="AE98" s="43" t="str">
        <f aca="false">IF(OR($B98="",$H98="",AND($I98&lt;&gt;"",$I98&lt;=DateRef)),"",MAX($H98,$AD98,IF($A98="",0,SUMPRODUCT(MAX((Journal!$A$6:$A$1005=$A98)*((Journal!$D$6:$D$1005=TypeEDL)+(Journal!$D$6:$D$1005=TypeBilan6))*Journal!$C$6:$C$1005)))))</f>
        <v/>
      </c>
      <c r="AF98" s="43" t="str">
        <f aca="false">IF($AE98="","",IF(AND(ReglesTransitoires="Oui",EDATE($AE98,AnciennePeriodiciteEDL*12)&lt;DateVigueur),EDATE($AE98,AnciennePeriodiciteEDL*12),EDATE($AE98,PeriodiciteEDL*12)))</f>
        <v/>
      </c>
      <c r="AG98" s="42" t="str">
        <f aca="false">IF($AF98="","",IF(AND($I98&lt;&gt;"",$I98&lt;=DateRef),"",IF($AF98&lt;DateRef,"En retard",IF($AF98-DateRef&lt;=SeuilAlerteEDL,"À prévoir","À jour"))))</f>
        <v/>
      </c>
      <c r="AH98" s="39"/>
      <c r="AI98" s="39"/>
      <c r="AJ98" s="42" t="str">
        <f aca="false">IF(OR($B98="",$H98=""),"",IF(AND($I98&lt;&gt;"",$I98&lt;=DateRef),"",IF(Effectif&lt;SeuilEffectif,"Non concerné (&lt; "&amp;SeuilEffectif&amp;" salariés)",IF($AH98="Oui","Pas de risque",IF(AND(OR($AI98="Non",$S98="En retard"),$AH98="Non"),"Risque abondement",IF(OR($AI98="Non",$S98="En retard"),"À vérifier (formation ?)",IF($AI98="Oui","Pas de risque","À compléter")))))))</f>
        <v/>
      </c>
      <c r="AK98" s="39"/>
    </row>
    <row r="99" customFormat="false" ht="15" hidden="false" customHeight="false" outlineLevel="0" collapsed="false">
      <c r="A99" s="39"/>
      <c r="B99" s="39"/>
      <c r="C99" s="39"/>
      <c r="D99" s="39"/>
      <c r="E99" s="39"/>
      <c r="F99" s="39"/>
      <c r="G99" s="40"/>
      <c r="H99" s="40"/>
      <c r="I99" s="40"/>
      <c r="J99" s="41" t="str">
        <f aca="false">IF(OR($B99="",$H99=""),"",IF($H99&gt;DateRef,0,YEARFRAC($H99,DateRef,1)))</f>
        <v/>
      </c>
      <c r="K99" s="42" t="str">
        <f aca="false">IF(OR($B99="",$H99=""),"",IF(EDATE($H99,12)&lt;=DateRef,"Plus d'un an","Moins d'un an"))</f>
        <v/>
      </c>
      <c r="L99" s="40"/>
      <c r="M99" s="43" t="str">
        <f aca="false">IF(OR($B99="",$A99=""),"",IF(SUMPRODUCT(MAX((Journal!$A$6:$A$1005=$A99)*Journal!$C$6:$C$1005))=0,"",SUMPRODUCT(MAX((Journal!$A$6:$A$1005=$A99)*Journal!$C$6:$C$1005))))</f>
        <v/>
      </c>
      <c r="N99" s="43" t="str">
        <f aca="false">IF($B99="","",IF(MAX($L99,$M99)=0,"",MAX($L99,$M99)))</f>
        <v/>
      </c>
      <c r="O99" s="44" t="str">
        <f aca="false">IF(OR($B99="",$H99=""),"",IF($N99="",IF(EDATE($H99,DelaiPremierEPP)&gt;DateRef,"1er EPP (1re année)","Aucun entretien renseigné"),IF(AND(ReglesTransitoires="Oui",EDATE($N99,AnciennePeriodiciteEP*12)&lt;DateVigueur),"Retard antérieur à la réforme","Périodicité "&amp;PeriodiciteEPP&amp;" ans")))</f>
        <v/>
      </c>
      <c r="P99" s="43" t="str">
        <f aca="false">IF(OR($B99="",$H99=""),"",IF($N99="",EDATE($H99,DelaiPremierEPP),IF(AND(ReglesTransitoires="Oui",EDATE($N99,AnciennePeriodiciteEP*12)&lt;DateVigueur),EDATE($N99,AnciennePeriodiciteEP*12),EDATE($N99,PeriodiciteEPP*12))))</f>
        <v/>
      </c>
      <c r="Q99" s="40"/>
      <c r="R99" s="45" t="str">
        <f aca="false">IF(OR($P99="",AND($I99&lt;&gt;"",$I99&lt;=DateRef)),"",$P99-DateRef)</f>
        <v/>
      </c>
      <c r="S99" s="42" t="str">
        <f aca="false">IF($B99="","",IF(AND($I99&lt;&gt;"",$I99&lt;=DateRef),"Sorti",IF($H99="","À compléter",IF(AND($Q99&lt;&gt;"",$Q99&gt;=DateRef,$Q99&lt;=$P99),"Planifié",IF($R99&lt;0,"En retard",IF($R99&lt;=SeuilAlerteEPP,"À planifier","À jour"))))))</f>
        <v/>
      </c>
      <c r="T99" s="46" t="str">
        <f aca="false">IF(OR($B99="",$S99="Sorti"),"",MID(IF($H99=""," | Date d'embauche manquante","")&amp;IF(AND($K99="Plus d'un an",$N99="")," | Précédent entretien à renseigner (ancienneté &gt; 1 an)","")&amp;IF($O99="Retard antérieur à la réforme"," | Ancien délai de 2 ans expiré avant la réforme","")&amp;IF(AND($N99&lt;&gt;"",$H99&lt;&gt;"",$N99&lt;$H99)," | Entretien antérieur à l'embauche ?","")&amp;IF(AND($N99&lt;&gt;"",$N99&gt;DateRef)," | Entretien daté dans le futur ?","")&amp;IF(AND($Q99&lt;&gt;"",$P99&lt;&gt;"",$Q99&gt;$P99)," | Date prévue après l'échéance","")&amp;IF(AND($Q99&lt;&gt;"",$Q99&lt;DateRef,OR($N99="",$N99&lt;$Q99))," | Entretien prévu passé : le consigner au Journal","")&amp;IF(AND($G99&lt;&gt;"",$X99="",YEAR(DateRef)-YEAR($G99)&gt;=AgeMiCarriere-1,YEAR(DateRef)-YEAR($G99)&lt;=AgeMiCarriere+1)," | Visite de mi-carrière à vérifier",""),4,1000))</f>
        <v/>
      </c>
      <c r="U99" s="39"/>
      <c r="V99" s="40"/>
      <c r="W99" s="42" t="str">
        <f aca="false">IF(OR($B99="",$V99=""),"",IF(AND($I99&lt;&gt;"",$I99&lt;=DateRef),"",IF(AND($N99&lt;&gt;"",$N99&gt;=$V99),"Réalisé",IF(AND($N99&lt;&gt;"",$N99&gt;=EDATE($V99,-FenetreRetour)),"Dispensé (EPP récent)",IF($V99&gt;DateRef,"À prévoir à la reprise","À proposer (reprise passée)")))))</f>
        <v/>
      </c>
      <c r="X99" s="40"/>
      <c r="Y99" s="43" t="str">
        <f aca="false">IF(OR($B99="",$X99=""),"",EDATE($X99,DelaiMiCarriere))</f>
        <v/>
      </c>
      <c r="Z99" s="42" t="str">
        <f aca="false">IF(OR($B99="",$X99=""),"",IF(AND($I99&lt;&gt;"",$I99&lt;=DateRef),"",IF(AND($N99&lt;&gt;"",$N99&gt;=$X99),"Réalisé",IF($Y99&lt;DateRef,"En retard","À planifier"))))</f>
        <v/>
      </c>
      <c r="AA99" s="47" t="str">
        <f aca="false">IF(OR($B99="",$G99=""),"",IF($G99&gt;DateRef,"",DATEDIF($G99,DateRef,"y")))</f>
        <v/>
      </c>
      <c r="AB99" s="43" t="str">
        <f aca="false">IF(OR($B99="",$G99=""),"",EDATE($G99,AgeFinCarriere*12))</f>
        <v/>
      </c>
      <c r="AC99" s="42" t="str">
        <f aca="false">IF(OR($B99="",$G99="",$H99=""),"",IF(AND($I99&lt;&gt;"",$I99&lt;=DateRef),"",IF($AB99&lt;DateVigueur,"Non concerné",IF(AND($N99&lt;&gt;"",$N99&gt;=MAX(EDATE($AB99,-FenetreFinCarriere*12),DateVigueur),$N99&lt;=$AB99),"Réalisé",IF(DateRef&gt;$AB99,"Non réalisé",IF(AND($Q99&lt;&gt;"",$Q99&gt;=EDATE($AB99,-FenetreFinCarriere*12),$Q99&lt;=$AB99),"Planifié dans la fenêtre",IF(AND(MAX($P99,DateRef)&gt;=EDATE($AB99,-FenetreFinCarriere*12),MAX($P99,DateRef)&lt;=$AB99),"Prochain EPP dans la fenêtre",IF(MAX($P99,DateRef)&gt;$AB99,"À programmer avant 60 ans",""))))))))</f>
        <v/>
      </c>
      <c r="AD99" s="40"/>
      <c r="AE99" s="43" t="str">
        <f aca="false">IF(OR($B99="",$H99="",AND($I99&lt;&gt;"",$I99&lt;=DateRef)),"",MAX($H99,$AD99,IF($A99="",0,SUMPRODUCT(MAX((Journal!$A$6:$A$1005=$A99)*((Journal!$D$6:$D$1005=TypeEDL)+(Journal!$D$6:$D$1005=TypeBilan6))*Journal!$C$6:$C$1005)))))</f>
        <v/>
      </c>
      <c r="AF99" s="43" t="str">
        <f aca="false">IF($AE99="","",IF(AND(ReglesTransitoires="Oui",EDATE($AE99,AnciennePeriodiciteEDL*12)&lt;DateVigueur),EDATE($AE99,AnciennePeriodiciteEDL*12),EDATE($AE99,PeriodiciteEDL*12)))</f>
        <v/>
      </c>
      <c r="AG99" s="42" t="str">
        <f aca="false">IF($AF99="","",IF(AND($I99&lt;&gt;"",$I99&lt;=DateRef),"",IF($AF99&lt;DateRef,"En retard",IF($AF99-DateRef&lt;=SeuilAlerteEDL,"À prévoir","À jour"))))</f>
        <v/>
      </c>
      <c r="AH99" s="39"/>
      <c r="AI99" s="39"/>
      <c r="AJ99" s="42" t="str">
        <f aca="false">IF(OR($B99="",$H99=""),"",IF(AND($I99&lt;&gt;"",$I99&lt;=DateRef),"",IF(Effectif&lt;SeuilEffectif,"Non concerné (&lt; "&amp;SeuilEffectif&amp;" salariés)",IF($AH99="Oui","Pas de risque",IF(AND(OR($AI99="Non",$S99="En retard"),$AH99="Non"),"Risque abondement",IF(OR($AI99="Non",$S99="En retard"),"À vérifier (formation ?)",IF($AI99="Oui","Pas de risque","À compléter")))))))</f>
        <v/>
      </c>
      <c r="AK99" s="39"/>
    </row>
    <row r="100" customFormat="false" ht="15" hidden="false" customHeight="false" outlineLevel="0" collapsed="false">
      <c r="A100" s="39"/>
      <c r="B100" s="39"/>
      <c r="C100" s="39"/>
      <c r="D100" s="39"/>
      <c r="E100" s="39"/>
      <c r="F100" s="39"/>
      <c r="G100" s="40"/>
      <c r="H100" s="40"/>
      <c r="I100" s="40"/>
      <c r="J100" s="41" t="str">
        <f aca="false">IF(OR($B100="",$H100=""),"",IF($H100&gt;DateRef,0,YEARFRAC($H100,DateRef,1)))</f>
        <v/>
      </c>
      <c r="K100" s="42" t="str">
        <f aca="false">IF(OR($B100="",$H100=""),"",IF(EDATE($H100,12)&lt;=DateRef,"Plus d'un an","Moins d'un an"))</f>
        <v/>
      </c>
      <c r="L100" s="40"/>
      <c r="M100" s="43" t="str">
        <f aca="false">IF(OR($B100="",$A100=""),"",IF(SUMPRODUCT(MAX((Journal!$A$6:$A$1005=$A100)*Journal!$C$6:$C$1005))=0,"",SUMPRODUCT(MAX((Journal!$A$6:$A$1005=$A100)*Journal!$C$6:$C$1005))))</f>
        <v/>
      </c>
      <c r="N100" s="43" t="str">
        <f aca="false">IF($B100="","",IF(MAX($L100,$M100)=0,"",MAX($L100,$M100)))</f>
        <v/>
      </c>
      <c r="O100" s="44" t="str">
        <f aca="false">IF(OR($B100="",$H100=""),"",IF($N100="",IF(EDATE($H100,DelaiPremierEPP)&gt;DateRef,"1er EPP (1re année)","Aucun entretien renseigné"),IF(AND(ReglesTransitoires="Oui",EDATE($N100,AnciennePeriodiciteEP*12)&lt;DateVigueur),"Retard antérieur à la réforme","Périodicité "&amp;PeriodiciteEPP&amp;" ans")))</f>
        <v/>
      </c>
      <c r="P100" s="43" t="str">
        <f aca="false">IF(OR($B100="",$H100=""),"",IF($N100="",EDATE($H100,DelaiPremierEPP),IF(AND(ReglesTransitoires="Oui",EDATE($N100,AnciennePeriodiciteEP*12)&lt;DateVigueur),EDATE($N100,AnciennePeriodiciteEP*12),EDATE($N100,PeriodiciteEPP*12))))</f>
        <v/>
      </c>
      <c r="Q100" s="40"/>
      <c r="R100" s="45" t="str">
        <f aca="false">IF(OR($P100="",AND($I100&lt;&gt;"",$I100&lt;=DateRef)),"",$P100-DateRef)</f>
        <v/>
      </c>
      <c r="S100" s="42" t="str">
        <f aca="false">IF($B100="","",IF(AND($I100&lt;&gt;"",$I100&lt;=DateRef),"Sorti",IF($H100="","À compléter",IF(AND($Q100&lt;&gt;"",$Q100&gt;=DateRef,$Q100&lt;=$P100),"Planifié",IF($R100&lt;0,"En retard",IF($R100&lt;=SeuilAlerteEPP,"À planifier","À jour"))))))</f>
        <v/>
      </c>
      <c r="T100" s="46" t="str">
        <f aca="false">IF(OR($B100="",$S100="Sorti"),"",MID(IF($H100=""," | Date d'embauche manquante","")&amp;IF(AND($K100="Plus d'un an",$N100="")," | Précédent entretien à renseigner (ancienneté &gt; 1 an)","")&amp;IF($O100="Retard antérieur à la réforme"," | Ancien délai de 2 ans expiré avant la réforme","")&amp;IF(AND($N100&lt;&gt;"",$H100&lt;&gt;"",$N100&lt;$H100)," | Entretien antérieur à l'embauche ?","")&amp;IF(AND($N100&lt;&gt;"",$N100&gt;DateRef)," | Entretien daté dans le futur ?","")&amp;IF(AND($Q100&lt;&gt;"",$P100&lt;&gt;"",$Q100&gt;$P100)," | Date prévue après l'échéance","")&amp;IF(AND($Q100&lt;&gt;"",$Q100&lt;DateRef,OR($N100="",$N100&lt;$Q100))," | Entretien prévu passé : le consigner au Journal","")&amp;IF(AND($G100&lt;&gt;"",$X100="",YEAR(DateRef)-YEAR($G100)&gt;=AgeMiCarriere-1,YEAR(DateRef)-YEAR($G100)&lt;=AgeMiCarriere+1)," | Visite de mi-carrière à vérifier",""),4,1000))</f>
        <v/>
      </c>
      <c r="U100" s="39"/>
      <c r="V100" s="40"/>
      <c r="W100" s="42" t="str">
        <f aca="false">IF(OR($B100="",$V100=""),"",IF(AND($I100&lt;&gt;"",$I100&lt;=DateRef),"",IF(AND($N100&lt;&gt;"",$N100&gt;=$V100),"Réalisé",IF(AND($N100&lt;&gt;"",$N100&gt;=EDATE($V100,-FenetreRetour)),"Dispensé (EPP récent)",IF($V100&gt;DateRef,"À prévoir à la reprise","À proposer (reprise passée)")))))</f>
        <v/>
      </c>
      <c r="X100" s="40"/>
      <c r="Y100" s="43" t="str">
        <f aca="false">IF(OR($B100="",$X100=""),"",EDATE($X100,DelaiMiCarriere))</f>
        <v/>
      </c>
      <c r="Z100" s="42" t="str">
        <f aca="false">IF(OR($B100="",$X100=""),"",IF(AND($I100&lt;&gt;"",$I100&lt;=DateRef),"",IF(AND($N100&lt;&gt;"",$N100&gt;=$X100),"Réalisé",IF($Y100&lt;DateRef,"En retard","À planifier"))))</f>
        <v/>
      </c>
      <c r="AA100" s="47" t="str">
        <f aca="false">IF(OR($B100="",$G100=""),"",IF($G100&gt;DateRef,"",DATEDIF($G100,DateRef,"y")))</f>
        <v/>
      </c>
      <c r="AB100" s="43" t="str">
        <f aca="false">IF(OR($B100="",$G100=""),"",EDATE($G100,AgeFinCarriere*12))</f>
        <v/>
      </c>
      <c r="AC100" s="42" t="str">
        <f aca="false">IF(OR($B100="",$G100="",$H100=""),"",IF(AND($I100&lt;&gt;"",$I100&lt;=DateRef),"",IF($AB100&lt;DateVigueur,"Non concerné",IF(AND($N100&lt;&gt;"",$N100&gt;=MAX(EDATE($AB100,-FenetreFinCarriere*12),DateVigueur),$N100&lt;=$AB100),"Réalisé",IF(DateRef&gt;$AB100,"Non réalisé",IF(AND($Q100&lt;&gt;"",$Q100&gt;=EDATE($AB100,-FenetreFinCarriere*12),$Q100&lt;=$AB100),"Planifié dans la fenêtre",IF(AND(MAX($P100,DateRef)&gt;=EDATE($AB100,-FenetreFinCarriere*12),MAX($P100,DateRef)&lt;=$AB100),"Prochain EPP dans la fenêtre",IF(MAX($P100,DateRef)&gt;$AB100,"À programmer avant 60 ans",""))))))))</f>
        <v/>
      </c>
      <c r="AD100" s="40"/>
      <c r="AE100" s="43" t="str">
        <f aca="false">IF(OR($B100="",$H100="",AND($I100&lt;&gt;"",$I100&lt;=DateRef)),"",MAX($H100,$AD100,IF($A100="",0,SUMPRODUCT(MAX((Journal!$A$6:$A$1005=$A100)*((Journal!$D$6:$D$1005=TypeEDL)+(Journal!$D$6:$D$1005=TypeBilan6))*Journal!$C$6:$C$1005)))))</f>
        <v/>
      </c>
      <c r="AF100" s="43" t="str">
        <f aca="false">IF($AE100="","",IF(AND(ReglesTransitoires="Oui",EDATE($AE100,AnciennePeriodiciteEDL*12)&lt;DateVigueur),EDATE($AE100,AnciennePeriodiciteEDL*12),EDATE($AE100,PeriodiciteEDL*12)))</f>
        <v/>
      </c>
      <c r="AG100" s="42" t="str">
        <f aca="false">IF($AF100="","",IF(AND($I100&lt;&gt;"",$I100&lt;=DateRef),"",IF($AF100&lt;DateRef,"En retard",IF($AF100-DateRef&lt;=SeuilAlerteEDL,"À prévoir","À jour"))))</f>
        <v/>
      </c>
      <c r="AH100" s="39"/>
      <c r="AI100" s="39"/>
      <c r="AJ100" s="42" t="str">
        <f aca="false">IF(OR($B100="",$H100=""),"",IF(AND($I100&lt;&gt;"",$I100&lt;=DateRef),"",IF(Effectif&lt;SeuilEffectif,"Non concerné (&lt; "&amp;SeuilEffectif&amp;" salariés)",IF($AH100="Oui","Pas de risque",IF(AND(OR($AI100="Non",$S100="En retard"),$AH100="Non"),"Risque abondement",IF(OR($AI100="Non",$S100="En retard"),"À vérifier (formation ?)",IF($AI100="Oui","Pas de risque","À compléter")))))))</f>
        <v/>
      </c>
      <c r="AK100" s="39"/>
    </row>
    <row r="101" customFormat="false" ht="15" hidden="false" customHeight="false" outlineLevel="0" collapsed="false">
      <c r="A101" s="39"/>
      <c r="B101" s="39"/>
      <c r="C101" s="39"/>
      <c r="D101" s="39"/>
      <c r="E101" s="39"/>
      <c r="F101" s="39"/>
      <c r="G101" s="40"/>
      <c r="H101" s="40"/>
      <c r="I101" s="40"/>
      <c r="J101" s="41" t="str">
        <f aca="false">IF(OR($B101="",$H101=""),"",IF($H101&gt;DateRef,0,YEARFRAC($H101,DateRef,1)))</f>
        <v/>
      </c>
      <c r="K101" s="42" t="str">
        <f aca="false">IF(OR($B101="",$H101=""),"",IF(EDATE($H101,12)&lt;=DateRef,"Plus d'un an","Moins d'un an"))</f>
        <v/>
      </c>
      <c r="L101" s="40"/>
      <c r="M101" s="43" t="str">
        <f aca="false">IF(OR($B101="",$A101=""),"",IF(SUMPRODUCT(MAX((Journal!$A$6:$A$1005=$A101)*Journal!$C$6:$C$1005))=0,"",SUMPRODUCT(MAX((Journal!$A$6:$A$1005=$A101)*Journal!$C$6:$C$1005))))</f>
        <v/>
      </c>
      <c r="N101" s="43" t="str">
        <f aca="false">IF($B101="","",IF(MAX($L101,$M101)=0,"",MAX($L101,$M101)))</f>
        <v/>
      </c>
      <c r="O101" s="44" t="str">
        <f aca="false">IF(OR($B101="",$H101=""),"",IF($N101="",IF(EDATE($H101,DelaiPremierEPP)&gt;DateRef,"1er EPP (1re année)","Aucun entretien renseigné"),IF(AND(ReglesTransitoires="Oui",EDATE($N101,AnciennePeriodiciteEP*12)&lt;DateVigueur),"Retard antérieur à la réforme","Périodicité "&amp;PeriodiciteEPP&amp;" ans")))</f>
        <v/>
      </c>
      <c r="P101" s="43" t="str">
        <f aca="false">IF(OR($B101="",$H101=""),"",IF($N101="",EDATE($H101,DelaiPremierEPP),IF(AND(ReglesTransitoires="Oui",EDATE($N101,AnciennePeriodiciteEP*12)&lt;DateVigueur),EDATE($N101,AnciennePeriodiciteEP*12),EDATE($N101,PeriodiciteEPP*12))))</f>
        <v/>
      </c>
      <c r="Q101" s="40"/>
      <c r="R101" s="45" t="str">
        <f aca="false">IF(OR($P101="",AND($I101&lt;&gt;"",$I101&lt;=DateRef)),"",$P101-DateRef)</f>
        <v/>
      </c>
      <c r="S101" s="42" t="str">
        <f aca="false">IF($B101="","",IF(AND($I101&lt;&gt;"",$I101&lt;=DateRef),"Sorti",IF($H101="","À compléter",IF(AND($Q101&lt;&gt;"",$Q101&gt;=DateRef,$Q101&lt;=$P101),"Planifié",IF($R101&lt;0,"En retard",IF($R101&lt;=SeuilAlerteEPP,"À planifier","À jour"))))))</f>
        <v/>
      </c>
      <c r="T101" s="46" t="str">
        <f aca="false">IF(OR($B101="",$S101="Sorti"),"",MID(IF($H101=""," | Date d'embauche manquante","")&amp;IF(AND($K101="Plus d'un an",$N101="")," | Précédent entretien à renseigner (ancienneté &gt; 1 an)","")&amp;IF($O101="Retard antérieur à la réforme"," | Ancien délai de 2 ans expiré avant la réforme","")&amp;IF(AND($N101&lt;&gt;"",$H101&lt;&gt;"",$N101&lt;$H101)," | Entretien antérieur à l'embauche ?","")&amp;IF(AND($N101&lt;&gt;"",$N101&gt;DateRef)," | Entretien daté dans le futur ?","")&amp;IF(AND($Q101&lt;&gt;"",$P101&lt;&gt;"",$Q101&gt;$P101)," | Date prévue après l'échéance","")&amp;IF(AND($Q101&lt;&gt;"",$Q101&lt;DateRef,OR($N101="",$N101&lt;$Q101))," | Entretien prévu passé : le consigner au Journal","")&amp;IF(AND($G101&lt;&gt;"",$X101="",YEAR(DateRef)-YEAR($G101)&gt;=AgeMiCarriere-1,YEAR(DateRef)-YEAR($G101)&lt;=AgeMiCarriere+1)," | Visite de mi-carrière à vérifier",""),4,1000))</f>
        <v/>
      </c>
      <c r="U101" s="39"/>
      <c r="V101" s="40"/>
      <c r="W101" s="42" t="str">
        <f aca="false">IF(OR($B101="",$V101=""),"",IF(AND($I101&lt;&gt;"",$I101&lt;=DateRef),"",IF(AND($N101&lt;&gt;"",$N101&gt;=$V101),"Réalisé",IF(AND($N101&lt;&gt;"",$N101&gt;=EDATE($V101,-FenetreRetour)),"Dispensé (EPP récent)",IF($V101&gt;DateRef,"À prévoir à la reprise","À proposer (reprise passée)")))))</f>
        <v/>
      </c>
      <c r="X101" s="40"/>
      <c r="Y101" s="43" t="str">
        <f aca="false">IF(OR($B101="",$X101=""),"",EDATE($X101,DelaiMiCarriere))</f>
        <v/>
      </c>
      <c r="Z101" s="42" t="str">
        <f aca="false">IF(OR($B101="",$X101=""),"",IF(AND($I101&lt;&gt;"",$I101&lt;=DateRef),"",IF(AND($N101&lt;&gt;"",$N101&gt;=$X101),"Réalisé",IF($Y101&lt;DateRef,"En retard","À planifier"))))</f>
        <v/>
      </c>
      <c r="AA101" s="47" t="str">
        <f aca="false">IF(OR($B101="",$G101=""),"",IF($G101&gt;DateRef,"",DATEDIF($G101,DateRef,"y")))</f>
        <v/>
      </c>
      <c r="AB101" s="43" t="str">
        <f aca="false">IF(OR($B101="",$G101=""),"",EDATE($G101,AgeFinCarriere*12))</f>
        <v/>
      </c>
      <c r="AC101" s="42" t="str">
        <f aca="false">IF(OR($B101="",$G101="",$H101=""),"",IF(AND($I101&lt;&gt;"",$I101&lt;=DateRef),"",IF($AB101&lt;DateVigueur,"Non concerné",IF(AND($N101&lt;&gt;"",$N101&gt;=MAX(EDATE($AB101,-FenetreFinCarriere*12),DateVigueur),$N101&lt;=$AB101),"Réalisé",IF(DateRef&gt;$AB101,"Non réalisé",IF(AND($Q101&lt;&gt;"",$Q101&gt;=EDATE($AB101,-FenetreFinCarriere*12),$Q101&lt;=$AB101),"Planifié dans la fenêtre",IF(AND(MAX($P101,DateRef)&gt;=EDATE($AB101,-FenetreFinCarriere*12),MAX($P101,DateRef)&lt;=$AB101),"Prochain EPP dans la fenêtre",IF(MAX($P101,DateRef)&gt;$AB101,"À programmer avant 60 ans",""))))))))</f>
        <v/>
      </c>
      <c r="AD101" s="40"/>
      <c r="AE101" s="43" t="str">
        <f aca="false">IF(OR($B101="",$H101="",AND($I101&lt;&gt;"",$I101&lt;=DateRef)),"",MAX($H101,$AD101,IF($A101="",0,SUMPRODUCT(MAX((Journal!$A$6:$A$1005=$A101)*((Journal!$D$6:$D$1005=TypeEDL)+(Journal!$D$6:$D$1005=TypeBilan6))*Journal!$C$6:$C$1005)))))</f>
        <v/>
      </c>
      <c r="AF101" s="43" t="str">
        <f aca="false">IF($AE101="","",IF(AND(ReglesTransitoires="Oui",EDATE($AE101,AnciennePeriodiciteEDL*12)&lt;DateVigueur),EDATE($AE101,AnciennePeriodiciteEDL*12),EDATE($AE101,PeriodiciteEDL*12)))</f>
        <v/>
      </c>
      <c r="AG101" s="42" t="str">
        <f aca="false">IF($AF101="","",IF(AND($I101&lt;&gt;"",$I101&lt;=DateRef),"",IF($AF101&lt;DateRef,"En retard",IF($AF101-DateRef&lt;=SeuilAlerteEDL,"À prévoir","À jour"))))</f>
        <v/>
      </c>
      <c r="AH101" s="39"/>
      <c r="AI101" s="39"/>
      <c r="AJ101" s="42" t="str">
        <f aca="false">IF(OR($B101="",$H101=""),"",IF(AND($I101&lt;&gt;"",$I101&lt;=DateRef),"",IF(Effectif&lt;SeuilEffectif,"Non concerné (&lt; "&amp;SeuilEffectif&amp;" salariés)",IF($AH101="Oui","Pas de risque",IF(AND(OR($AI101="Non",$S101="En retard"),$AH101="Non"),"Risque abondement",IF(OR($AI101="Non",$S101="En retard"),"À vérifier (formation ?)",IF($AI101="Oui","Pas de risque","À compléter")))))))</f>
        <v/>
      </c>
      <c r="AK101" s="39"/>
    </row>
    <row r="102" customFormat="false" ht="15" hidden="false" customHeight="false" outlineLevel="0" collapsed="false">
      <c r="A102" s="39"/>
      <c r="B102" s="39"/>
      <c r="C102" s="39"/>
      <c r="D102" s="39"/>
      <c r="E102" s="39"/>
      <c r="F102" s="39"/>
      <c r="G102" s="40"/>
      <c r="H102" s="40"/>
      <c r="I102" s="40"/>
      <c r="J102" s="41" t="str">
        <f aca="false">IF(OR($B102="",$H102=""),"",IF($H102&gt;DateRef,0,YEARFRAC($H102,DateRef,1)))</f>
        <v/>
      </c>
      <c r="K102" s="42" t="str">
        <f aca="false">IF(OR($B102="",$H102=""),"",IF(EDATE($H102,12)&lt;=DateRef,"Plus d'un an","Moins d'un an"))</f>
        <v/>
      </c>
      <c r="L102" s="40"/>
      <c r="M102" s="43" t="str">
        <f aca="false">IF(OR($B102="",$A102=""),"",IF(SUMPRODUCT(MAX((Journal!$A$6:$A$1005=$A102)*Journal!$C$6:$C$1005))=0,"",SUMPRODUCT(MAX((Journal!$A$6:$A$1005=$A102)*Journal!$C$6:$C$1005))))</f>
        <v/>
      </c>
      <c r="N102" s="43" t="str">
        <f aca="false">IF($B102="","",IF(MAX($L102,$M102)=0,"",MAX($L102,$M102)))</f>
        <v/>
      </c>
      <c r="O102" s="44" t="str">
        <f aca="false">IF(OR($B102="",$H102=""),"",IF($N102="",IF(EDATE($H102,DelaiPremierEPP)&gt;DateRef,"1er EPP (1re année)","Aucun entretien renseigné"),IF(AND(ReglesTransitoires="Oui",EDATE($N102,AnciennePeriodiciteEP*12)&lt;DateVigueur),"Retard antérieur à la réforme","Périodicité "&amp;PeriodiciteEPP&amp;" ans")))</f>
        <v/>
      </c>
      <c r="P102" s="43" t="str">
        <f aca="false">IF(OR($B102="",$H102=""),"",IF($N102="",EDATE($H102,DelaiPremierEPP),IF(AND(ReglesTransitoires="Oui",EDATE($N102,AnciennePeriodiciteEP*12)&lt;DateVigueur),EDATE($N102,AnciennePeriodiciteEP*12),EDATE($N102,PeriodiciteEPP*12))))</f>
        <v/>
      </c>
      <c r="Q102" s="40"/>
      <c r="R102" s="45" t="str">
        <f aca="false">IF(OR($P102="",AND($I102&lt;&gt;"",$I102&lt;=DateRef)),"",$P102-DateRef)</f>
        <v/>
      </c>
      <c r="S102" s="42" t="str">
        <f aca="false">IF($B102="","",IF(AND($I102&lt;&gt;"",$I102&lt;=DateRef),"Sorti",IF($H102="","À compléter",IF(AND($Q102&lt;&gt;"",$Q102&gt;=DateRef,$Q102&lt;=$P102),"Planifié",IF($R102&lt;0,"En retard",IF($R102&lt;=SeuilAlerteEPP,"À planifier","À jour"))))))</f>
        <v/>
      </c>
      <c r="T102" s="46" t="str">
        <f aca="false">IF(OR($B102="",$S102="Sorti"),"",MID(IF($H102=""," | Date d'embauche manquante","")&amp;IF(AND($K102="Plus d'un an",$N102="")," | Précédent entretien à renseigner (ancienneté &gt; 1 an)","")&amp;IF($O102="Retard antérieur à la réforme"," | Ancien délai de 2 ans expiré avant la réforme","")&amp;IF(AND($N102&lt;&gt;"",$H102&lt;&gt;"",$N102&lt;$H102)," | Entretien antérieur à l'embauche ?","")&amp;IF(AND($N102&lt;&gt;"",$N102&gt;DateRef)," | Entretien daté dans le futur ?","")&amp;IF(AND($Q102&lt;&gt;"",$P102&lt;&gt;"",$Q102&gt;$P102)," | Date prévue après l'échéance","")&amp;IF(AND($Q102&lt;&gt;"",$Q102&lt;DateRef,OR($N102="",$N102&lt;$Q102))," | Entretien prévu passé : le consigner au Journal","")&amp;IF(AND($G102&lt;&gt;"",$X102="",YEAR(DateRef)-YEAR($G102)&gt;=AgeMiCarriere-1,YEAR(DateRef)-YEAR($G102)&lt;=AgeMiCarriere+1)," | Visite de mi-carrière à vérifier",""),4,1000))</f>
        <v/>
      </c>
      <c r="U102" s="39"/>
      <c r="V102" s="40"/>
      <c r="W102" s="42" t="str">
        <f aca="false">IF(OR($B102="",$V102=""),"",IF(AND($I102&lt;&gt;"",$I102&lt;=DateRef),"",IF(AND($N102&lt;&gt;"",$N102&gt;=$V102),"Réalisé",IF(AND($N102&lt;&gt;"",$N102&gt;=EDATE($V102,-FenetreRetour)),"Dispensé (EPP récent)",IF($V102&gt;DateRef,"À prévoir à la reprise","À proposer (reprise passée)")))))</f>
        <v/>
      </c>
      <c r="X102" s="40"/>
      <c r="Y102" s="43" t="str">
        <f aca="false">IF(OR($B102="",$X102=""),"",EDATE($X102,DelaiMiCarriere))</f>
        <v/>
      </c>
      <c r="Z102" s="42" t="str">
        <f aca="false">IF(OR($B102="",$X102=""),"",IF(AND($I102&lt;&gt;"",$I102&lt;=DateRef),"",IF(AND($N102&lt;&gt;"",$N102&gt;=$X102),"Réalisé",IF($Y102&lt;DateRef,"En retard","À planifier"))))</f>
        <v/>
      </c>
      <c r="AA102" s="47" t="str">
        <f aca="false">IF(OR($B102="",$G102=""),"",IF($G102&gt;DateRef,"",DATEDIF($G102,DateRef,"y")))</f>
        <v/>
      </c>
      <c r="AB102" s="43" t="str">
        <f aca="false">IF(OR($B102="",$G102=""),"",EDATE($G102,AgeFinCarriere*12))</f>
        <v/>
      </c>
      <c r="AC102" s="42" t="str">
        <f aca="false">IF(OR($B102="",$G102="",$H102=""),"",IF(AND($I102&lt;&gt;"",$I102&lt;=DateRef),"",IF($AB102&lt;DateVigueur,"Non concerné",IF(AND($N102&lt;&gt;"",$N102&gt;=MAX(EDATE($AB102,-FenetreFinCarriere*12),DateVigueur),$N102&lt;=$AB102),"Réalisé",IF(DateRef&gt;$AB102,"Non réalisé",IF(AND($Q102&lt;&gt;"",$Q102&gt;=EDATE($AB102,-FenetreFinCarriere*12),$Q102&lt;=$AB102),"Planifié dans la fenêtre",IF(AND(MAX($P102,DateRef)&gt;=EDATE($AB102,-FenetreFinCarriere*12),MAX($P102,DateRef)&lt;=$AB102),"Prochain EPP dans la fenêtre",IF(MAX($P102,DateRef)&gt;$AB102,"À programmer avant 60 ans",""))))))))</f>
        <v/>
      </c>
      <c r="AD102" s="40"/>
      <c r="AE102" s="43" t="str">
        <f aca="false">IF(OR($B102="",$H102="",AND($I102&lt;&gt;"",$I102&lt;=DateRef)),"",MAX($H102,$AD102,IF($A102="",0,SUMPRODUCT(MAX((Journal!$A$6:$A$1005=$A102)*((Journal!$D$6:$D$1005=TypeEDL)+(Journal!$D$6:$D$1005=TypeBilan6))*Journal!$C$6:$C$1005)))))</f>
        <v/>
      </c>
      <c r="AF102" s="43" t="str">
        <f aca="false">IF($AE102="","",IF(AND(ReglesTransitoires="Oui",EDATE($AE102,AnciennePeriodiciteEDL*12)&lt;DateVigueur),EDATE($AE102,AnciennePeriodiciteEDL*12),EDATE($AE102,PeriodiciteEDL*12)))</f>
        <v/>
      </c>
      <c r="AG102" s="42" t="str">
        <f aca="false">IF($AF102="","",IF(AND($I102&lt;&gt;"",$I102&lt;=DateRef),"",IF($AF102&lt;DateRef,"En retard",IF($AF102-DateRef&lt;=SeuilAlerteEDL,"À prévoir","À jour"))))</f>
        <v/>
      </c>
      <c r="AH102" s="39"/>
      <c r="AI102" s="39"/>
      <c r="AJ102" s="42" t="str">
        <f aca="false">IF(OR($B102="",$H102=""),"",IF(AND($I102&lt;&gt;"",$I102&lt;=DateRef),"",IF(Effectif&lt;SeuilEffectif,"Non concerné (&lt; "&amp;SeuilEffectif&amp;" salariés)",IF($AH102="Oui","Pas de risque",IF(AND(OR($AI102="Non",$S102="En retard"),$AH102="Non"),"Risque abondement",IF(OR($AI102="Non",$S102="En retard"),"À vérifier (formation ?)",IF($AI102="Oui","Pas de risque","À compléter")))))))</f>
        <v/>
      </c>
      <c r="AK102" s="39"/>
    </row>
    <row r="103" customFormat="false" ht="15" hidden="false" customHeight="false" outlineLevel="0" collapsed="false">
      <c r="A103" s="39"/>
      <c r="B103" s="39"/>
      <c r="C103" s="39"/>
      <c r="D103" s="39"/>
      <c r="E103" s="39"/>
      <c r="F103" s="39"/>
      <c r="G103" s="40"/>
      <c r="H103" s="40"/>
      <c r="I103" s="40"/>
      <c r="J103" s="41" t="str">
        <f aca="false">IF(OR($B103="",$H103=""),"",IF($H103&gt;DateRef,0,YEARFRAC($H103,DateRef,1)))</f>
        <v/>
      </c>
      <c r="K103" s="42" t="str">
        <f aca="false">IF(OR($B103="",$H103=""),"",IF(EDATE($H103,12)&lt;=DateRef,"Plus d'un an","Moins d'un an"))</f>
        <v/>
      </c>
      <c r="L103" s="40"/>
      <c r="M103" s="43" t="str">
        <f aca="false">IF(OR($B103="",$A103=""),"",IF(SUMPRODUCT(MAX((Journal!$A$6:$A$1005=$A103)*Journal!$C$6:$C$1005))=0,"",SUMPRODUCT(MAX((Journal!$A$6:$A$1005=$A103)*Journal!$C$6:$C$1005))))</f>
        <v/>
      </c>
      <c r="N103" s="43" t="str">
        <f aca="false">IF($B103="","",IF(MAX($L103,$M103)=0,"",MAX($L103,$M103)))</f>
        <v/>
      </c>
      <c r="O103" s="44" t="str">
        <f aca="false">IF(OR($B103="",$H103=""),"",IF($N103="",IF(EDATE($H103,DelaiPremierEPP)&gt;DateRef,"1er EPP (1re année)","Aucun entretien renseigné"),IF(AND(ReglesTransitoires="Oui",EDATE($N103,AnciennePeriodiciteEP*12)&lt;DateVigueur),"Retard antérieur à la réforme","Périodicité "&amp;PeriodiciteEPP&amp;" ans")))</f>
        <v/>
      </c>
      <c r="P103" s="43" t="str">
        <f aca="false">IF(OR($B103="",$H103=""),"",IF($N103="",EDATE($H103,DelaiPremierEPP),IF(AND(ReglesTransitoires="Oui",EDATE($N103,AnciennePeriodiciteEP*12)&lt;DateVigueur),EDATE($N103,AnciennePeriodiciteEP*12),EDATE($N103,PeriodiciteEPP*12))))</f>
        <v/>
      </c>
      <c r="Q103" s="40"/>
      <c r="R103" s="45" t="str">
        <f aca="false">IF(OR($P103="",AND($I103&lt;&gt;"",$I103&lt;=DateRef)),"",$P103-DateRef)</f>
        <v/>
      </c>
      <c r="S103" s="42" t="str">
        <f aca="false">IF($B103="","",IF(AND($I103&lt;&gt;"",$I103&lt;=DateRef),"Sorti",IF($H103="","À compléter",IF(AND($Q103&lt;&gt;"",$Q103&gt;=DateRef,$Q103&lt;=$P103),"Planifié",IF($R103&lt;0,"En retard",IF($R103&lt;=SeuilAlerteEPP,"À planifier","À jour"))))))</f>
        <v/>
      </c>
      <c r="T103" s="46" t="str">
        <f aca="false">IF(OR($B103="",$S103="Sorti"),"",MID(IF($H103=""," | Date d'embauche manquante","")&amp;IF(AND($K103="Plus d'un an",$N103="")," | Précédent entretien à renseigner (ancienneté &gt; 1 an)","")&amp;IF($O103="Retard antérieur à la réforme"," | Ancien délai de 2 ans expiré avant la réforme","")&amp;IF(AND($N103&lt;&gt;"",$H103&lt;&gt;"",$N103&lt;$H103)," | Entretien antérieur à l'embauche ?","")&amp;IF(AND($N103&lt;&gt;"",$N103&gt;DateRef)," | Entretien daté dans le futur ?","")&amp;IF(AND($Q103&lt;&gt;"",$P103&lt;&gt;"",$Q103&gt;$P103)," | Date prévue après l'échéance","")&amp;IF(AND($Q103&lt;&gt;"",$Q103&lt;DateRef,OR($N103="",$N103&lt;$Q103))," | Entretien prévu passé : le consigner au Journal","")&amp;IF(AND($G103&lt;&gt;"",$X103="",YEAR(DateRef)-YEAR($G103)&gt;=AgeMiCarriere-1,YEAR(DateRef)-YEAR($G103)&lt;=AgeMiCarriere+1)," | Visite de mi-carrière à vérifier",""),4,1000))</f>
        <v/>
      </c>
      <c r="U103" s="39"/>
      <c r="V103" s="40"/>
      <c r="W103" s="42" t="str">
        <f aca="false">IF(OR($B103="",$V103=""),"",IF(AND($I103&lt;&gt;"",$I103&lt;=DateRef),"",IF(AND($N103&lt;&gt;"",$N103&gt;=$V103),"Réalisé",IF(AND($N103&lt;&gt;"",$N103&gt;=EDATE($V103,-FenetreRetour)),"Dispensé (EPP récent)",IF($V103&gt;DateRef,"À prévoir à la reprise","À proposer (reprise passée)")))))</f>
        <v/>
      </c>
      <c r="X103" s="40"/>
      <c r="Y103" s="43" t="str">
        <f aca="false">IF(OR($B103="",$X103=""),"",EDATE($X103,DelaiMiCarriere))</f>
        <v/>
      </c>
      <c r="Z103" s="42" t="str">
        <f aca="false">IF(OR($B103="",$X103=""),"",IF(AND($I103&lt;&gt;"",$I103&lt;=DateRef),"",IF(AND($N103&lt;&gt;"",$N103&gt;=$X103),"Réalisé",IF($Y103&lt;DateRef,"En retard","À planifier"))))</f>
        <v/>
      </c>
      <c r="AA103" s="47" t="str">
        <f aca="false">IF(OR($B103="",$G103=""),"",IF($G103&gt;DateRef,"",DATEDIF($G103,DateRef,"y")))</f>
        <v/>
      </c>
      <c r="AB103" s="43" t="str">
        <f aca="false">IF(OR($B103="",$G103=""),"",EDATE($G103,AgeFinCarriere*12))</f>
        <v/>
      </c>
      <c r="AC103" s="42" t="str">
        <f aca="false">IF(OR($B103="",$G103="",$H103=""),"",IF(AND($I103&lt;&gt;"",$I103&lt;=DateRef),"",IF($AB103&lt;DateVigueur,"Non concerné",IF(AND($N103&lt;&gt;"",$N103&gt;=MAX(EDATE($AB103,-FenetreFinCarriere*12),DateVigueur),$N103&lt;=$AB103),"Réalisé",IF(DateRef&gt;$AB103,"Non réalisé",IF(AND($Q103&lt;&gt;"",$Q103&gt;=EDATE($AB103,-FenetreFinCarriere*12),$Q103&lt;=$AB103),"Planifié dans la fenêtre",IF(AND(MAX($P103,DateRef)&gt;=EDATE($AB103,-FenetreFinCarriere*12),MAX($P103,DateRef)&lt;=$AB103),"Prochain EPP dans la fenêtre",IF(MAX($P103,DateRef)&gt;$AB103,"À programmer avant 60 ans",""))))))))</f>
        <v/>
      </c>
      <c r="AD103" s="40"/>
      <c r="AE103" s="43" t="str">
        <f aca="false">IF(OR($B103="",$H103="",AND($I103&lt;&gt;"",$I103&lt;=DateRef)),"",MAX($H103,$AD103,IF($A103="",0,SUMPRODUCT(MAX((Journal!$A$6:$A$1005=$A103)*((Journal!$D$6:$D$1005=TypeEDL)+(Journal!$D$6:$D$1005=TypeBilan6))*Journal!$C$6:$C$1005)))))</f>
        <v/>
      </c>
      <c r="AF103" s="43" t="str">
        <f aca="false">IF($AE103="","",IF(AND(ReglesTransitoires="Oui",EDATE($AE103,AnciennePeriodiciteEDL*12)&lt;DateVigueur),EDATE($AE103,AnciennePeriodiciteEDL*12),EDATE($AE103,PeriodiciteEDL*12)))</f>
        <v/>
      </c>
      <c r="AG103" s="42" t="str">
        <f aca="false">IF($AF103="","",IF(AND($I103&lt;&gt;"",$I103&lt;=DateRef),"",IF($AF103&lt;DateRef,"En retard",IF($AF103-DateRef&lt;=SeuilAlerteEDL,"À prévoir","À jour"))))</f>
        <v/>
      </c>
      <c r="AH103" s="39"/>
      <c r="AI103" s="39"/>
      <c r="AJ103" s="42" t="str">
        <f aca="false">IF(OR($B103="",$H103=""),"",IF(AND($I103&lt;&gt;"",$I103&lt;=DateRef),"",IF(Effectif&lt;SeuilEffectif,"Non concerné (&lt; "&amp;SeuilEffectif&amp;" salariés)",IF($AH103="Oui","Pas de risque",IF(AND(OR($AI103="Non",$S103="En retard"),$AH103="Non"),"Risque abondement",IF(OR($AI103="Non",$S103="En retard"),"À vérifier (formation ?)",IF($AI103="Oui","Pas de risque","À compléter")))))))</f>
        <v/>
      </c>
      <c r="AK103" s="39"/>
    </row>
    <row r="104" customFormat="false" ht="15" hidden="false" customHeight="false" outlineLevel="0" collapsed="false">
      <c r="A104" s="39"/>
      <c r="B104" s="39"/>
      <c r="C104" s="39"/>
      <c r="D104" s="39"/>
      <c r="E104" s="39"/>
      <c r="F104" s="39"/>
      <c r="G104" s="40"/>
      <c r="H104" s="40"/>
      <c r="I104" s="40"/>
      <c r="J104" s="41" t="str">
        <f aca="false">IF(OR($B104="",$H104=""),"",IF($H104&gt;DateRef,0,YEARFRAC($H104,DateRef,1)))</f>
        <v/>
      </c>
      <c r="K104" s="42" t="str">
        <f aca="false">IF(OR($B104="",$H104=""),"",IF(EDATE($H104,12)&lt;=DateRef,"Plus d'un an","Moins d'un an"))</f>
        <v/>
      </c>
      <c r="L104" s="40"/>
      <c r="M104" s="43" t="str">
        <f aca="false">IF(OR($B104="",$A104=""),"",IF(SUMPRODUCT(MAX((Journal!$A$6:$A$1005=$A104)*Journal!$C$6:$C$1005))=0,"",SUMPRODUCT(MAX((Journal!$A$6:$A$1005=$A104)*Journal!$C$6:$C$1005))))</f>
        <v/>
      </c>
      <c r="N104" s="43" t="str">
        <f aca="false">IF($B104="","",IF(MAX($L104,$M104)=0,"",MAX($L104,$M104)))</f>
        <v/>
      </c>
      <c r="O104" s="44" t="str">
        <f aca="false">IF(OR($B104="",$H104=""),"",IF($N104="",IF(EDATE($H104,DelaiPremierEPP)&gt;DateRef,"1er EPP (1re année)","Aucun entretien renseigné"),IF(AND(ReglesTransitoires="Oui",EDATE($N104,AnciennePeriodiciteEP*12)&lt;DateVigueur),"Retard antérieur à la réforme","Périodicité "&amp;PeriodiciteEPP&amp;" ans")))</f>
        <v/>
      </c>
      <c r="P104" s="43" t="str">
        <f aca="false">IF(OR($B104="",$H104=""),"",IF($N104="",EDATE($H104,DelaiPremierEPP),IF(AND(ReglesTransitoires="Oui",EDATE($N104,AnciennePeriodiciteEP*12)&lt;DateVigueur),EDATE($N104,AnciennePeriodiciteEP*12),EDATE($N104,PeriodiciteEPP*12))))</f>
        <v/>
      </c>
      <c r="Q104" s="40"/>
      <c r="R104" s="45" t="str">
        <f aca="false">IF(OR($P104="",AND($I104&lt;&gt;"",$I104&lt;=DateRef)),"",$P104-DateRef)</f>
        <v/>
      </c>
      <c r="S104" s="42" t="str">
        <f aca="false">IF($B104="","",IF(AND($I104&lt;&gt;"",$I104&lt;=DateRef),"Sorti",IF($H104="","À compléter",IF(AND($Q104&lt;&gt;"",$Q104&gt;=DateRef,$Q104&lt;=$P104),"Planifié",IF($R104&lt;0,"En retard",IF($R104&lt;=SeuilAlerteEPP,"À planifier","À jour"))))))</f>
        <v/>
      </c>
      <c r="T104" s="46" t="str">
        <f aca="false">IF(OR($B104="",$S104="Sorti"),"",MID(IF($H104=""," | Date d'embauche manquante","")&amp;IF(AND($K104="Plus d'un an",$N104="")," | Précédent entretien à renseigner (ancienneté &gt; 1 an)","")&amp;IF($O104="Retard antérieur à la réforme"," | Ancien délai de 2 ans expiré avant la réforme","")&amp;IF(AND($N104&lt;&gt;"",$H104&lt;&gt;"",$N104&lt;$H104)," | Entretien antérieur à l'embauche ?","")&amp;IF(AND($N104&lt;&gt;"",$N104&gt;DateRef)," | Entretien daté dans le futur ?","")&amp;IF(AND($Q104&lt;&gt;"",$P104&lt;&gt;"",$Q104&gt;$P104)," | Date prévue après l'échéance","")&amp;IF(AND($Q104&lt;&gt;"",$Q104&lt;DateRef,OR($N104="",$N104&lt;$Q104))," | Entretien prévu passé : le consigner au Journal","")&amp;IF(AND($G104&lt;&gt;"",$X104="",YEAR(DateRef)-YEAR($G104)&gt;=AgeMiCarriere-1,YEAR(DateRef)-YEAR($G104)&lt;=AgeMiCarriere+1)," | Visite de mi-carrière à vérifier",""),4,1000))</f>
        <v/>
      </c>
      <c r="U104" s="39"/>
      <c r="V104" s="40"/>
      <c r="W104" s="42" t="str">
        <f aca="false">IF(OR($B104="",$V104=""),"",IF(AND($I104&lt;&gt;"",$I104&lt;=DateRef),"",IF(AND($N104&lt;&gt;"",$N104&gt;=$V104),"Réalisé",IF(AND($N104&lt;&gt;"",$N104&gt;=EDATE($V104,-FenetreRetour)),"Dispensé (EPP récent)",IF($V104&gt;DateRef,"À prévoir à la reprise","À proposer (reprise passée)")))))</f>
        <v/>
      </c>
      <c r="X104" s="40"/>
      <c r="Y104" s="43" t="str">
        <f aca="false">IF(OR($B104="",$X104=""),"",EDATE($X104,DelaiMiCarriere))</f>
        <v/>
      </c>
      <c r="Z104" s="42" t="str">
        <f aca="false">IF(OR($B104="",$X104=""),"",IF(AND($I104&lt;&gt;"",$I104&lt;=DateRef),"",IF(AND($N104&lt;&gt;"",$N104&gt;=$X104),"Réalisé",IF($Y104&lt;DateRef,"En retard","À planifier"))))</f>
        <v/>
      </c>
      <c r="AA104" s="47" t="str">
        <f aca="false">IF(OR($B104="",$G104=""),"",IF($G104&gt;DateRef,"",DATEDIF($G104,DateRef,"y")))</f>
        <v/>
      </c>
      <c r="AB104" s="43" t="str">
        <f aca="false">IF(OR($B104="",$G104=""),"",EDATE($G104,AgeFinCarriere*12))</f>
        <v/>
      </c>
      <c r="AC104" s="42" t="str">
        <f aca="false">IF(OR($B104="",$G104="",$H104=""),"",IF(AND($I104&lt;&gt;"",$I104&lt;=DateRef),"",IF($AB104&lt;DateVigueur,"Non concerné",IF(AND($N104&lt;&gt;"",$N104&gt;=MAX(EDATE($AB104,-FenetreFinCarriere*12),DateVigueur),$N104&lt;=$AB104),"Réalisé",IF(DateRef&gt;$AB104,"Non réalisé",IF(AND($Q104&lt;&gt;"",$Q104&gt;=EDATE($AB104,-FenetreFinCarriere*12),$Q104&lt;=$AB104),"Planifié dans la fenêtre",IF(AND(MAX($P104,DateRef)&gt;=EDATE($AB104,-FenetreFinCarriere*12),MAX($P104,DateRef)&lt;=$AB104),"Prochain EPP dans la fenêtre",IF(MAX($P104,DateRef)&gt;$AB104,"À programmer avant 60 ans",""))))))))</f>
        <v/>
      </c>
      <c r="AD104" s="40"/>
      <c r="AE104" s="43" t="str">
        <f aca="false">IF(OR($B104="",$H104="",AND($I104&lt;&gt;"",$I104&lt;=DateRef)),"",MAX($H104,$AD104,IF($A104="",0,SUMPRODUCT(MAX((Journal!$A$6:$A$1005=$A104)*((Journal!$D$6:$D$1005=TypeEDL)+(Journal!$D$6:$D$1005=TypeBilan6))*Journal!$C$6:$C$1005)))))</f>
        <v/>
      </c>
      <c r="AF104" s="43" t="str">
        <f aca="false">IF($AE104="","",IF(AND(ReglesTransitoires="Oui",EDATE($AE104,AnciennePeriodiciteEDL*12)&lt;DateVigueur),EDATE($AE104,AnciennePeriodiciteEDL*12),EDATE($AE104,PeriodiciteEDL*12)))</f>
        <v/>
      </c>
      <c r="AG104" s="42" t="str">
        <f aca="false">IF($AF104="","",IF(AND($I104&lt;&gt;"",$I104&lt;=DateRef),"",IF($AF104&lt;DateRef,"En retard",IF($AF104-DateRef&lt;=SeuilAlerteEDL,"À prévoir","À jour"))))</f>
        <v/>
      </c>
      <c r="AH104" s="39"/>
      <c r="AI104" s="39"/>
      <c r="AJ104" s="42" t="str">
        <f aca="false">IF(OR($B104="",$H104=""),"",IF(AND($I104&lt;&gt;"",$I104&lt;=DateRef),"",IF(Effectif&lt;SeuilEffectif,"Non concerné (&lt; "&amp;SeuilEffectif&amp;" salariés)",IF($AH104="Oui","Pas de risque",IF(AND(OR($AI104="Non",$S104="En retard"),$AH104="Non"),"Risque abondement",IF(OR($AI104="Non",$S104="En retard"),"À vérifier (formation ?)",IF($AI104="Oui","Pas de risque","À compléter")))))))</f>
        <v/>
      </c>
      <c r="AK104" s="39"/>
    </row>
    <row r="105" customFormat="false" ht="15" hidden="false" customHeight="false" outlineLevel="0" collapsed="false">
      <c r="A105" s="39"/>
      <c r="B105" s="39"/>
      <c r="C105" s="39"/>
      <c r="D105" s="39"/>
      <c r="E105" s="39"/>
      <c r="F105" s="39"/>
      <c r="G105" s="40"/>
      <c r="H105" s="40"/>
      <c r="I105" s="40"/>
      <c r="J105" s="41" t="str">
        <f aca="false">IF(OR($B105="",$H105=""),"",IF($H105&gt;DateRef,0,YEARFRAC($H105,DateRef,1)))</f>
        <v/>
      </c>
      <c r="K105" s="42" t="str">
        <f aca="false">IF(OR($B105="",$H105=""),"",IF(EDATE($H105,12)&lt;=DateRef,"Plus d'un an","Moins d'un an"))</f>
        <v/>
      </c>
      <c r="L105" s="40"/>
      <c r="M105" s="43" t="str">
        <f aca="false">IF(OR($B105="",$A105=""),"",IF(SUMPRODUCT(MAX((Journal!$A$6:$A$1005=$A105)*Journal!$C$6:$C$1005))=0,"",SUMPRODUCT(MAX((Journal!$A$6:$A$1005=$A105)*Journal!$C$6:$C$1005))))</f>
        <v/>
      </c>
      <c r="N105" s="43" t="str">
        <f aca="false">IF($B105="","",IF(MAX($L105,$M105)=0,"",MAX($L105,$M105)))</f>
        <v/>
      </c>
      <c r="O105" s="44" t="str">
        <f aca="false">IF(OR($B105="",$H105=""),"",IF($N105="",IF(EDATE($H105,DelaiPremierEPP)&gt;DateRef,"1er EPP (1re année)","Aucun entretien renseigné"),IF(AND(ReglesTransitoires="Oui",EDATE($N105,AnciennePeriodiciteEP*12)&lt;DateVigueur),"Retard antérieur à la réforme","Périodicité "&amp;PeriodiciteEPP&amp;" ans")))</f>
        <v/>
      </c>
      <c r="P105" s="43" t="str">
        <f aca="false">IF(OR($B105="",$H105=""),"",IF($N105="",EDATE($H105,DelaiPremierEPP),IF(AND(ReglesTransitoires="Oui",EDATE($N105,AnciennePeriodiciteEP*12)&lt;DateVigueur),EDATE($N105,AnciennePeriodiciteEP*12),EDATE($N105,PeriodiciteEPP*12))))</f>
        <v/>
      </c>
      <c r="Q105" s="40"/>
      <c r="R105" s="45" t="str">
        <f aca="false">IF(OR($P105="",AND($I105&lt;&gt;"",$I105&lt;=DateRef)),"",$P105-DateRef)</f>
        <v/>
      </c>
      <c r="S105" s="42" t="str">
        <f aca="false">IF($B105="","",IF(AND($I105&lt;&gt;"",$I105&lt;=DateRef),"Sorti",IF($H105="","À compléter",IF(AND($Q105&lt;&gt;"",$Q105&gt;=DateRef,$Q105&lt;=$P105),"Planifié",IF($R105&lt;0,"En retard",IF($R105&lt;=SeuilAlerteEPP,"À planifier","À jour"))))))</f>
        <v/>
      </c>
      <c r="T105" s="46" t="str">
        <f aca="false">IF(OR($B105="",$S105="Sorti"),"",MID(IF($H105=""," | Date d'embauche manquante","")&amp;IF(AND($K105="Plus d'un an",$N105="")," | Précédent entretien à renseigner (ancienneté &gt; 1 an)","")&amp;IF($O105="Retard antérieur à la réforme"," | Ancien délai de 2 ans expiré avant la réforme","")&amp;IF(AND($N105&lt;&gt;"",$H105&lt;&gt;"",$N105&lt;$H105)," | Entretien antérieur à l'embauche ?","")&amp;IF(AND($N105&lt;&gt;"",$N105&gt;DateRef)," | Entretien daté dans le futur ?","")&amp;IF(AND($Q105&lt;&gt;"",$P105&lt;&gt;"",$Q105&gt;$P105)," | Date prévue après l'échéance","")&amp;IF(AND($Q105&lt;&gt;"",$Q105&lt;DateRef,OR($N105="",$N105&lt;$Q105))," | Entretien prévu passé : le consigner au Journal","")&amp;IF(AND($G105&lt;&gt;"",$X105="",YEAR(DateRef)-YEAR($G105)&gt;=AgeMiCarriere-1,YEAR(DateRef)-YEAR($G105)&lt;=AgeMiCarriere+1)," | Visite de mi-carrière à vérifier",""),4,1000))</f>
        <v/>
      </c>
      <c r="U105" s="39"/>
      <c r="V105" s="40"/>
      <c r="W105" s="42" t="str">
        <f aca="false">IF(OR($B105="",$V105=""),"",IF(AND($I105&lt;&gt;"",$I105&lt;=DateRef),"",IF(AND($N105&lt;&gt;"",$N105&gt;=$V105),"Réalisé",IF(AND($N105&lt;&gt;"",$N105&gt;=EDATE($V105,-FenetreRetour)),"Dispensé (EPP récent)",IF($V105&gt;DateRef,"À prévoir à la reprise","À proposer (reprise passée)")))))</f>
        <v/>
      </c>
      <c r="X105" s="40"/>
      <c r="Y105" s="43" t="str">
        <f aca="false">IF(OR($B105="",$X105=""),"",EDATE($X105,DelaiMiCarriere))</f>
        <v/>
      </c>
      <c r="Z105" s="42" t="str">
        <f aca="false">IF(OR($B105="",$X105=""),"",IF(AND($I105&lt;&gt;"",$I105&lt;=DateRef),"",IF(AND($N105&lt;&gt;"",$N105&gt;=$X105),"Réalisé",IF($Y105&lt;DateRef,"En retard","À planifier"))))</f>
        <v/>
      </c>
      <c r="AA105" s="47" t="str">
        <f aca="false">IF(OR($B105="",$G105=""),"",IF($G105&gt;DateRef,"",DATEDIF($G105,DateRef,"y")))</f>
        <v/>
      </c>
      <c r="AB105" s="43" t="str">
        <f aca="false">IF(OR($B105="",$G105=""),"",EDATE($G105,AgeFinCarriere*12))</f>
        <v/>
      </c>
      <c r="AC105" s="42" t="str">
        <f aca="false">IF(OR($B105="",$G105="",$H105=""),"",IF(AND($I105&lt;&gt;"",$I105&lt;=DateRef),"",IF($AB105&lt;DateVigueur,"Non concerné",IF(AND($N105&lt;&gt;"",$N105&gt;=MAX(EDATE($AB105,-FenetreFinCarriere*12),DateVigueur),$N105&lt;=$AB105),"Réalisé",IF(DateRef&gt;$AB105,"Non réalisé",IF(AND($Q105&lt;&gt;"",$Q105&gt;=EDATE($AB105,-FenetreFinCarriere*12),$Q105&lt;=$AB105),"Planifié dans la fenêtre",IF(AND(MAX($P105,DateRef)&gt;=EDATE($AB105,-FenetreFinCarriere*12),MAX($P105,DateRef)&lt;=$AB105),"Prochain EPP dans la fenêtre",IF(MAX($P105,DateRef)&gt;$AB105,"À programmer avant 60 ans",""))))))))</f>
        <v/>
      </c>
      <c r="AD105" s="40"/>
      <c r="AE105" s="43" t="str">
        <f aca="false">IF(OR($B105="",$H105="",AND($I105&lt;&gt;"",$I105&lt;=DateRef)),"",MAX($H105,$AD105,IF($A105="",0,SUMPRODUCT(MAX((Journal!$A$6:$A$1005=$A105)*((Journal!$D$6:$D$1005=TypeEDL)+(Journal!$D$6:$D$1005=TypeBilan6))*Journal!$C$6:$C$1005)))))</f>
        <v/>
      </c>
      <c r="AF105" s="43" t="str">
        <f aca="false">IF($AE105="","",IF(AND(ReglesTransitoires="Oui",EDATE($AE105,AnciennePeriodiciteEDL*12)&lt;DateVigueur),EDATE($AE105,AnciennePeriodiciteEDL*12),EDATE($AE105,PeriodiciteEDL*12)))</f>
        <v/>
      </c>
      <c r="AG105" s="42" t="str">
        <f aca="false">IF($AF105="","",IF(AND($I105&lt;&gt;"",$I105&lt;=DateRef),"",IF($AF105&lt;DateRef,"En retard",IF($AF105-DateRef&lt;=SeuilAlerteEDL,"À prévoir","À jour"))))</f>
        <v/>
      </c>
      <c r="AH105" s="39"/>
      <c r="AI105" s="39"/>
      <c r="AJ105" s="42" t="str">
        <f aca="false">IF(OR($B105="",$H105=""),"",IF(AND($I105&lt;&gt;"",$I105&lt;=DateRef),"",IF(Effectif&lt;SeuilEffectif,"Non concerné (&lt; "&amp;SeuilEffectif&amp;" salariés)",IF($AH105="Oui","Pas de risque",IF(AND(OR($AI105="Non",$S105="En retard"),$AH105="Non"),"Risque abondement",IF(OR($AI105="Non",$S105="En retard"),"À vérifier (formation ?)",IF($AI105="Oui","Pas de risque","À compléter")))))))</f>
        <v/>
      </c>
      <c r="AK105" s="39"/>
    </row>
    <row r="106" customFormat="false" ht="15" hidden="false" customHeight="false" outlineLevel="0" collapsed="false">
      <c r="A106" s="39"/>
      <c r="B106" s="39"/>
      <c r="C106" s="39"/>
      <c r="D106" s="39"/>
      <c r="E106" s="39"/>
      <c r="F106" s="39"/>
      <c r="G106" s="40"/>
      <c r="H106" s="40"/>
      <c r="I106" s="40"/>
      <c r="J106" s="41" t="str">
        <f aca="false">IF(OR($B106="",$H106=""),"",IF($H106&gt;DateRef,0,YEARFRAC($H106,DateRef,1)))</f>
        <v/>
      </c>
      <c r="K106" s="42" t="str">
        <f aca="false">IF(OR($B106="",$H106=""),"",IF(EDATE($H106,12)&lt;=DateRef,"Plus d'un an","Moins d'un an"))</f>
        <v/>
      </c>
      <c r="L106" s="40"/>
      <c r="M106" s="43" t="str">
        <f aca="false">IF(OR($B106="",$A106=""),"",IF(SUMPRODUCT(MAX((Journal!$A$6:$A$1005=$A106)*Journal!$C$6:$C$1005))=0,"",SUMPRODUCT(MAX((Journal!$A$6:$A$1005=$A106)*Journal!$C$6:$C$1005))))</f>
        <v/>
      </c>
      <c r="N106" s="43" t="str">
        <f aca="false">IF($B106="","",IF(MAX($L106,$M106)=0,"",MAX($L106,$M106)))</f>
        <v/>
      </c>
      <c r="O106" s="44" t="str">
        <f aca="false">IF(OR($B106="",$H106=""),"",IF($N106="",IF(EDATE($H106,DelaiPremierEPP)&gt;DateRef,"1er EPP (1re année)","Aucun entretien renseigné"),IF(AND(ReglesTransitoires="Oui",EDATE($N106,AnciennePeriodiciteEP*12)&lt;DateVigueur),"Retard antérieur à la réforme","Périodicité "&amp;PeriodiciteEPP&amp;" ans")))</f>
        <v/>
      </c>
      <c r="P106" s="43" t="str">
        <f aca="false">IF(OR($B106="",$H106=""),"",IF($N106="",EDATE($H106,DelaiPremierEPP),IF(AND(ReglesTransitoires="Oui",EDATE($N106,AnciennePeriodiciteEP*12)&lt;DateVigueur),EDATE($N106,AnciennePeriodiciteEP*12),EDATE($N106,PeriodiciteEPP*12))))</f>
        <v/>
      </c>
      <c r="Q106" s="40"/>
      <c r="R106" s="45" t="str">
        <f aca="false">IF(OR($P106="",AND($I106&lt;&gt;"",$I106&lt;=DateRef)),"",$P106-DateRef)</f>
        <v/>
      </c>
      <c r="S106" s="42" t="str">
        <f aca="false">IF($B106="","",IF(AND($I106&lt;&gt;"",$I106&lt;=DateRef),"Sorti",IF($H106="","À compléter",IF(AND($Q106&lt;&gt;"",$Q106&gt;=DateRef,$Q106&lt;=$P106),"Planifié",IF($R106&lt;0,"En retard",IF($R106&lt;=SeuilAlerteEPP,"À planifier","À jour"))))))</f>
        <v/>
      </c>
      <c r="T106" s="46" t="str">
        <f aca="false">IF(OR($B106="",$S106="Sorti"),"",MID(IF($H106=""," | Date d'embauche manquante","")&amp;IF(AND($K106="Plus d'un an",$N106="")," | Précédent entretien à renseigner (ancienneté &gt; 1 an)","")&amp;IF($O106="Retard antérieur à la réforme"," | Ancien délai de 2 ans expiré avant la réforme","")&amp;IF(AND($N106&lt;&gt;"",$H106&lt;&gt;"",$N106&lt;$H106)," | Entretien antérieur à l'embauche ?","")&amp;IF(AND($N106&lt;&gt;"",$N106&gt;DateRef)," | Entretien daté dans le futur ?","")&amp;IF(AND($Q106&lt;&gt;"",$P106&lt;&gt;"",$Q106&gt;$P106)," | Date prévue après l'échéance","")&amp;IF(AND($Q106&lt;&gt;"",$Q106&lt;DateRef,OR($N106="",$N106&lt;$Q106))," | Entretien prévu passé : le consigner au Journal","")&amp;IF(AND($G106&lt;&gt;"",$X106="",YEAR(DateRef)-YEAR($G106)&gt;=AgeMiCarriere-1,YEAR(DateRef)-YEAR($G106)&lt;=AgeMiCarriere+1)," | Visite de mi-carrière à vérifier",""),4,1000))</f>
        <v/>
      </c>
      <c r="U106" s="39"/>
      <c r="V106" s="40"/>
      <c r="W106" s="42" t="str">
        <f aca="false">IF(OR($B106="",$V106=""),"",IF(AND($I106&lt;&gt;"",$I106&lt;=DateRef),"",IF(AND($N106&lt;&gt;"",$N106&gt;=$V106),"Réalisé",IF(AND($N106&lt;&gt;"",$N106&gt;=EDATE($V106,-FenetreRetour)),"Dispensé (EPP récent)",IF($V106&gt;DateRef,"À prévoir à la reprise","À proposer (reprise passée)")))))</f>
        <v/>
      </c>
      <c r="X106" s="40"/>
      <c r="Y106" s="43" t="str">
        <f aca="false">IF(OR($B106="",$X106=""),"",EDATE($X106,DelaiMiCarriere))</f>
        <v/>
      </c>
      <c r="Z106" s="42" t="str">
        <f aca="false">IF(OR($B106="",$X106=""),"",IF(AND($I106&lt;&gt;"",$I106&lt;=DateRef),"",IF(AND($N106&lt;&gt;"",$N106&gt;=$X106),"Réalisé",IF($Y106&lt;DateRef,"En retard","À planifier"))))</f>
        <v/>
      </c>
      <c r="AA106" s="47" t="str">
        <f aca="false">IF(OR($B106="",$G106=""),"",IF($G106&gt;DateRef,"",DATEDIF($G106,DateRef,"y")))</f>
        <v/>
      </c>
      <c r="AB106" s="43" t="str">
        <f aca="false">IF(OR($B106="",$G106=""),"",EDATE($G106,AgeFinCarriere*12))</f>
        <v/>
      </c>
      <c r="AC106" s="42" t="str">
        <f aca="false">IF(OR($B106="",$G106="",$H106=""),"",IF(AND($I106&lt;&gt;"",$I106&lt;=DateRef),"",IF($AB106&lt;DateVigueur,"Non concerné",IF(AND($N106&lt;&gt;"",$N106&gt;=MAX(EDATE($AB106,-FenetreFinCarriere*12),DateVigueur),$N106&lt;=$AB106),"Réalisé",IF(DateRef&gt;$AB106,"Non réalisé",IF(AND($Q106&lt;&gt;"",$Q106&gt;=EDATE($AB106,-FenetreFinCarriere*12),$Q106&lt;=$AB106),"Planifié dans la fenêtre",IF(AND(MAX($P106,DateRef)&gt;=EDATE($AB106,-FenetreFinCarriere*12),MAX($P106,DateRef)&lt;=$AB106),"Prochain EPP dans la fenêtre",IF(MAX($P106,DateRef)&gt;$AB106,"À programmer avant 60 ans",""))))))))</f>
        <v/>
      </c>
      <c r="AD106" s="40"/>
      <c r="AE106" s="43" t="str">
        <f aca="false">IF(OR($B106="",$H106="",AND($I106&lt;&gt;"",$I106&lt;=DateRef)),"",MAX($H106,$AD106,IF($A106="",0,SUMPRODUCT(MAX((Journal!$A$6:$A$1005=$A106)*((Journal!$D$6:$D$1005=TypeEDL)+(Journal!$D$6:$D$1005=TypeBilan6))*Journal!$C$6:$C$1005)))))</f>
        <v/>
      </c>
      <c r="AF106" s="43" t="str">
        <f aca="false">IF($AE106="","",IF(AND(ReglesTransitoires="Oui",EDATE($AE106,AnciennePeriodiciteEDL*12)&lt;DateVigueur),EDATE($AE106,AnciennePeriodiciteEDL*12),EDATE($AE106,PeriodiciteEDL*12)))</f>
        <v/>
      </c>
      <c r="AG106" s="42" t="str">
        <f aca="false">IF($AF106="","",IF(AND($I106&lt;&gt;"",$I106&lt;=DateRef),"",IF($AF106&lt;DateRef,"En retard",IF($AF106-DateRef&lt;=SeuilAlerteEDL,"À prévoir","À jour"))))</f>
        <v/>
      </c>
      <c r="AH106" s="39"/>
      <c r="AI106" s="39"/>
      <c r="AJ106" s="42" t="str">
        <f aca="false">IF(OR($B106="",$H106=""),"",IF(AND($I106&lt;&gt;"",$I106&lt;=DateRef),"",IF(Effectif&lt;SeuilEffectif,"Non concerné (&lt; "&amp;SeuilEffectif&amp;" salariés)",IF($AH106="Oui","Pas de risque",IF(AND(OR($AI106="Non",$S106="En retard"),$AH106="Non"),"Risque abondement",IF(OR($AI106="Non",$S106="En retard"),"À vérifier (formation ?)",IF($AI106="Oui","Pas de risque","À compléter")))))))</f>
        <v/>
      </c>
      <c r="AK106" s="39"/>
    </row>
    <row r="107" customFormat="false" ht="15" hidden="false" customHeight="false" outlineLevel="0" collapsed="false">
      <c r="A107" s="39"/>
      <c r="B107" s="39"/>
      <c r="C107" s="39"/>
      <c r="D107" s="39"/>
      <c r="E107" s="39"/>
      <c r="F107" s="39"/>
      <c r="G107" s="40"/>
      <c r="H107" s="40"/>
      <c r="I107" s="40"/>
      <c r="J107" s="41" t="str">
        <f aca="false">IF(OR($B107="",$H107=""),"",IF($H107&gt;DateRef,0,YEARFRAC($H107,DateRef,1)))</f>
        <v/>
      </c>
      <c r="K107" s="42" t="str">
        <f aca="false">IF(OR($B107="",$H107=""),"",IF(EDATE($H107,12)&lt;=DateRef,"Plus d'un an","Moins d'un an"))</f>
        <v/>
      </c>
      <c r="L107" s="40"/>
      <c r="M107" s="43" t="str">
        <f aca="false">IF(OR($B107="",$A107=""),"",IF(SUMPRODUCT(MAX((Journal!$A$6:$A$1005=$A107)*Journal!$C$6:$C$1005))=0,"",SUMPRODUCT(MAX((Journal!$A$6:$A$1005=$A107)*Journal!$C$6:$C$1005))))</f>
        <v/>
      </c>
      <c r="N107" s="43" t="str">
        <f aca="false">IF($B107="","",IF(MAX($L107,$M107)=0,"",MAX($L107,$M107)))</f>
        <v/>
      </c>
      <c r="O107" s="44" t="str">
        <f aca="false">IF(OR($B107="",$H107=""),"",IF($N107="",IF(EDATE($H107,DelaiPremierEPP)&gt;DateRef,"1er EPP (1re année)","Aucun entretien renseigné"),IF(AND(ReglesTransitoires="Oui",EDATE($N107,AnciennePeriodiciteEP*12)&lt;DateVigueur),"Retard antérieur à la réforme","Périodicité "&amp;PeriodiciteEPP&amp;" ans")))</f>
        <v/>
      </c>
      <c r="P107" s="43" t="str">
        <f aca="false">IF(OR($B107="",$H107=""),"",IF($N107="",EDATE($H107,DelaiPremierEPP),IF(AND(ReglesTransitoires="Oui",EDATE($N107,AnciennePeriodiciteEP*12)&lt;DateVigueur),EDATE($N107,AnciennePeriodiciteEP*12),EDATE($N107,PeriodiciteEPP*12))))</f>
        <v/>
      </c>
      <c r="Q107" s="40"/>
      <c r="R107" s="45" t="str">
        <f aca="false">IF(OR($P107="",AND($I107&lt;&gt;"",$I107&lt;=DateRef)),"",$P107-DateRef)</f>
        <v/>
      </c>
      <c r="S107" s="42" t="str">
        <f aca="false">IF($B107="","",IF(AND($I107&lt;&gt;"",$I107&lt;=DateRef),"Sorti",IF($H107="","À compléter",IF(AND($Q107&lt;&gt;"",$Q107&gt;=DateRef,$Q107&lt;=$P107),"Planifié",IF($R107&lt;0,"En retard",IF($R107&lt;=SeuilAlerteEPP,"À planifier","À jour"))))))</f>
        <v/>
      </c>
      <c r="T107" s="46" t="str">
        <f aca="false">IF(OR($B107="",$S107="Sorti"),"",MID(IF($H107=""," | Date d'embauche manquante","")&amp;IF(AND($K107="Plus d'un an",$N107="")," | Précédent entretien à renseigner (ancienneté &gt; 1 an)","")&amp;IF($O107="Retard antérieur à la réforme"," | Ancien délai de 2 ans expiré avant la réforme","")&amp;IF(AND($N107&lt;&gt;"",$H107&lt;&gt;"",$N107&lt;$H107)," | Entretien antérieur à l'embauche ?","")&amp;IF(AND($N107&lt;&gt;"",$N107&gt;DateRef)," | Entretien daté dans le futur ?","")&amp;IF(AND($Q107&lt;&gt;"",$P107&lt;&gt;"",$Q107&gt;$P107)," | Date prévue après l'échéance","")&amp;IF(AND($Q107&lt;&gt;"",$Q107&lt;DateRef,OR($N107="",$N107&lt;$Q107))," | Entretien prévu passé : le consigner au Journal","")&amp;IF(AND($G107&lt;&gt;"",$X107="",YEAR(DateRef)-YEAR($G107)&gt;=AgeMiCarriere-1,YEAR(DateRef)-YEAR($G107)&lt;=AgeMiCarriere+1)," | Visite de mi-carrière à vérifier",""),4,1000))</f>
        <v/>
      </c>
      <c r="U107" s="39"/>
      <c r="V107" s="40"/>
      <c r="W107" s="42" t="str">
        <f aca="false">IF(OR($B107="",$V107=""),"",IF(AND($I107&lt;&gt;"",$I107&lt;=DateRef),"",IF(AND($N107&lt;&gt;"",$N107&gt;=$V107),"Réalisé",IF(AND($N107&lt;&gt;"",$N107&gt;=EDATE($V107,-FenetreRetour)),"Dispensé (EPP récent)",IF($V107&gt;DateRef,"À prévoir à la reprise","À proposer (reprise passée)")))))</f>
        <v/>
      </c>
      <c r="X107" s="40"/>
      <c r="Y107" s="43" t="str">
        <f aca="false">IF(OR($B107="",$X107=""),"",EDATE($X107,DelaiMiCarriere))</f>
        <v/>
      </c>
      <c r="Z107" s="42" t="str">
        <f aca="false">IF(OR($B107="",$X107=""),"",IF(AND($I107&lt;&gt;"",$I107&lt;=DateRef),"",IF(AND($N107&lt;&gt;"",$N107&gt;=$X107),"Réalisé",IF($Y107&lt;DateRef,"En retard","À planifier"))))</f>
        <v/>
      </c>
      <c r="AA107" s="47" t="str">
        <f aca="false">IF(OR($B107="",$G107=""),"",IF($G107&gt;DateRef,"",DATEDIF($G107,DateRef,"y")))</f>
        <v/>
      </c>
      <c r="AB107" s="43" t="str">
        <f aca="false">IF(OR($B107="",$G107=""),"",EDATE($G107,AgeFinCarriere*12))</f>
        <v/>
      </c>
      <c r="AC107" s="42" t="str">
        <f aca="false">IF(OR($B107="",$G107="",$H107=""),"",IF(AND($I107&lt;&gt;"",$I107&lt;=DateRef),"",IF($AB107&lt;DateVigueur,"Non concerné",IF(AND($N107&lt;&gt;"",$N107&gt;=MAX(EDATE($AB107,-FenetreFinCarriere*12),DateVigueur),$N107&lt;=$AB107),"Réalisé",IF(DateRef&gt;$AB107,"Non réalisé",IF(AND($Q107&lt;&gt;"",$Q107&gt;=EDATE($AB107,-FenetreFinCarriere*12),$Q107&lt;=$AB107),"Planifié dans la fenêtre",IF(AND(MAX($P107,DateRef)&gt;=EDATE($AB107,-FenetreFinCarriere*12),MAX($P107,DateRef)&lt;=$AB107),"Prochain EPP dans la fenêtre",IF(MAX($P107,DateRef)&gt;$AB107,"À programmer avant 60 ans",""))))))))</f>
        <v/>
      </c>
      <c r="AD107" s="40"/>
      <c r="AE107" s="43" t="str">
        <f aca="false">IF(OR($B107="",$H107="",AND($I107&lt;&gt;"",$I107&lt;=DateRef)),"",MAX($H107,$AD107,IF($A107="",0,SUMPRODUCT(MAX((Journal!$A$6:$A$1005=$A107)*((Journal!$D$6:$D$1005=TypeEDL)+(Journal!$D$6:$D$1005=TypeBilan6))*Journal!$C$6:$C$1005)))))</f>
        <v/>
      </c>
      <c r="AF107" s="43" t="str">
        <f aca="false">IF($AE107="","",IF(AND(ReglesTransitoires="Oui",EDATE($AE107,AnciennePeriodiciteEDL*12)&lt;DateVigueur),EDATE($AE107,AnciennePeriodiciteEDL*12),EDATE($AE107,PeriodiciteEDL*12)))</f>
        <v/>
      </c>
      <c r="AG107" s="42" t="str">
        <f aca="false">IF($AF107="","",IF(AND($I107&lt;&gt;"",$I107&lt;=DateRef),"",IF($AF107&lt;DateRef,"En retard",IF($AF107-DateRef&lt;=SeuilAlerteEDL,"À prévoir","À jour"))))</f>
        <v/>
      </c>
      <c r="AH107" s="39"/>
      <c r="AI107" s="39"/>
      <c r="AJ107" s="42" t="str">
        <f aca="false">IF(OR($B107="",$H107=""),"",IF(AND($I107&lt;&gt;"",$I107&lt;=DateRef),"",IF(Effectif&lt;SeuilEffectif,"Non concerné (&lt; "&amp;SeuilEffectif&amp;" salariés)",IF($AH107="Oui","Pas de risque",IF(AND(OR($AI107="Non",$S107="En retard"),$AH107="Non"),"Risque abondement",IF(OR($AI107="Non",$S107="En retard"),"À vérifier (formation ?)",IF($AI107="Oui","Pas de risque","À compléter")))))))</f>
        <v/>
      </c>
      <c r="AK107" s="39"/>
    </row>
    <row r="108" customFormat="false" ht="15" hidden="false" customHeight="false" outlineLevel="0" collapsed="false">
      <c r="A108" s="39"/>
      <c r="B108" s="39"/>
      <c r="C108" s="39"/>
      <c r="D108" s="39"/>
      <c r="E108" s="39"/>
      <c r="F108" s="39"/>
      <c r="G108" s="40"/>
      <c r="H108" s="40"/>
      <c r="I108" s="40"/>
      <c r="J108" s="41" t="str">
        <f aca="false">IF(OR($B108="",$H108=""),"",IF($H108&gt;DateRef,0,YEARFRAC($H108,DateRef,1)))</f>
        <v/>
      </c>
      <c r="K108" s="42" t="str">
        <f aca="false">IF(OR($B108="",$H108=""),"",IF(EDATE($H108,12)&lt;=DateRef,"Plus d'un an","Moins d'un an"))</f>
        <v/>
      </c>
      <c r="L108" s="40"/>
      <c r="M108" s="43" t="str">
        <f aca="false">IF(OR($B108="",$A108=""),"",IF(SUMPRODUCT(MAX((Journal!$A$6:$A$1005=$A108)*Journal!$C$6:$C$1005))=0,"",SUMPRODUCT(MAX((Journal!$A$6:$A$1005=$A108)*Journal!$C$6:$C$1005))))</f>
        <v/>
      </c>
      <c r="N108" s="43" t="str">
        <f aca="false">IF($B108="","",IF(MAX($L108,$M108)=0,"",MAX($L108,$M108)))</f>
        <v/>
      </c>
      <c r="O108" s="44" t="str">
        <f aca="false">IF(OR($B108="",$H108=""),"",IF($N108="",IF(EDATE($H108,DelaiPremierEPP)&gt;DateRef,"1er EPP (1re année)","Aucun entretien renseigné"),IF(AND(ReglesTransitoires="Oui",EDATE($N108,AnciennePeriodiciteEP*12)&lt;DateVigueur),"Retard antérieur à la réforme","Périodicité "&amp;PeriodiciteEPP&amp;" ans")))</f>
        <v/>
      </c>
      <c r="P108" s="43" t="str">
        <f aca="false">IF(OR($B108="",$H108=""),"",IF($N108="",EDATE($H108,DelaiPremierEPP),IF(AND(ReglesTransitoires="Oui",EDATE($N108,AnciennePeriodiciteEP*12)&lt;DateVigueur),EDATE($N108,AnciennePeriodiciteEP*12),EDATE($N108,PeriodiciteEPP*12))))</f>
        <v/>
      </c>
      <c r="Q108" s="40"/>
      <c r="R108" s="45" t="str">
        <f aca="false">IF(OR($P108="",AND($I108&lt;&gt;"",$I108&lt;=DateRef)),"",$P108-DateRef)</f>
        <v/>
      </c>
      <c r="S108" s="42" t="str">
        <f aca="false">IF($B108="","",IF(AND($I108&lt;&gt;"",$I108&lt;=DateRef),"Sorti",IF($H108="","À compléter",IF(AND($Q108&lt;&gt;"",$Q108&gt;=DateRef,$Q108&lt;=$P108),"Planifié",IF($R108&lt;0,"En retard",IF($R108&lt;=SeuilAlerteEPP,"À planifier","À jour"))))))</f>
        <v/>
      </c>
      <c r="T108" s="46" t="str">
        <f aca="false">IF(OR($B108="",$S108="Sorti"),"",MID(IF($H108=""," | Date d'embauche manquante","")&amp;IF(AND($K108="Plus d'un an",$N108="")," | Précédent entretien à renseigner (ancienneté &gt; 1 an)","")&amp;IF($O108="Retard antérieur à la réforme"," | Ancien délai de 2 ans expiré avant la réforme","")&amp;IF(AND($N108&lt;&gt;"",$H108&lt;&gt;"",$N108&lt;$H108)," | Entretien antérieur à l'embauche ?","")&amp;IF(AND($N108&lt;&gt;"",$N108&gt;DateRef)," | Entretien daté dans le futur ?","")&amp;IF(AND($Q108&lt;&gt;"",$P108&lt;&gt;"",$Q108&gt;$P108)," | Date prévue après l'échéance","")&amp;IF(AND($Q108&lt;&gt;"",$Q108&lt;DateRef,OR($N108="",$N108&lt;$Q108))," | Entretien prévu passé : le consigner au Journal","")&amp;IF(AND($G108&lt;&gt;"",$X108="",YEAR(DateRef)-YEAR($G108)&gt;=AgeMiCarriere-1,YEAR(DateRef)-YEAR($G108)&lt;=AgeMiCarriere+1)," | Visite de mi-carrière à vérifier",""),4,1000))</f>
        <v/>
      </c>
      <c r="U108" s="39"/>
      <c r="V108" s="40"/>
      <c r="W108" s="42" t="str">
        <f aca="false">IF(OR($B108="",$V108=""),"",IF(AND($I108&lt;&gt;"",$I108&lt;=DateRef),"",IF(AND($N108&lt;&gt;"",$N108&gt;=$V108),"Réalisé",IF(AND($N108&lt;&gt;"",$N108&gt;=EDATE($V108,-FenetreRetour)),"Dispensé (EPP récent)",IF($V108&gt;DateRef,"À prévoir à la reprise","À proposer (reprise passée)")))))</f>
        <v/>
      </c>
      <c r="X108" s="40"/>
      <c r="Y108" s="43" t="str">
        <f aca="false">IF(OR($B108="",$X108=""),"",EDATE($X108,DelaiMiCarriere))</f>
        <v/>
      </c>
      <c r="Z108" s="42" t="str">
        <f aca="false">IF(OR($B108="",$X108=""),"",IF(AND($I108&lt;&gt;"",$I108&lt;=DateRef),"",IF(AND($N108&lt;&gt;"",$N108&gt;=$X108),"Réalisé",IF($Y108&lt;DateRef,"En retard","À planifier"))))</f>
        <v/>
      </c>
      <c r="AA108" s="47" t="str">
        <f aca="false">IF(OR($B108="",$G108=""),"",IF($G108&gt;DateRef,"",DATEDIF($G108,DateRef,"y")))</f>
        <v/>
      </c>
      <c r="AB108" s="43" t="str">
        <f aca="false">IF(OR($B108="",$G108=""),"",EDATE($G108,AgeFinCarriere*12))</f>
        <v/>
      </c>
      <c r="AC108" s="42" t="str">
        <f aca="false">IF(OR($B108="",$G108="",$H108=""),"",IF(AND($I108&lt;&gt;"",$I108&lt;=DateRef),"",IF($AB108&lt;DateVigueur,"Non concerné",IF(AND($N108&lt;&gt;"",$N108&gt;=MAX(EDATE($AB108,-FenetreFinCarriere*12),DateVigueur),$N108&lt;=$AB108),"Réalisé",IF(DateRef&gt;$AB108,"Non réalisé",IF(AND($Q108&lt;&gt;"",$Q108&gt;=EDATE($AB108,-FenetreFinCarriere*12),$Q108&lt;=$AB108),"Planifié dans la fenêtre",IF(AND(MAX($P108,DateRef)&gt;=EDATE($AB108,-FenetreFinCarriere*12),MAX($P108,DateRef)&lt;=$AB108),"Prochain EPP dans la fenêtre",IF(MAX($P108,DateRef)&gt;$AB108,"À programmer avant 60 ans",""))))))))</f>
        <v/>
      </c>
      <c r="AD108" s="40"/>
      <c r="AE108" s="43" t="str">
        <f aca="false">IF(OR($B108="",$H108="",AND($I108&lt;&gt;"",$I108&lt;=DateRef)),"",MAX($H108,$AD108,IF($A108="",0,SUMPRODUCT(MAX((Journal!$A$6:$A$1005=$A108)*((Journal!$D$6:$D$1005=TypeEDL)+(Journal!$D$6:$D$1005=TypeBilan6))*Journal!$C$6:$C$1005)))))</f>
        <v/>
      </c>
      <c r="AF108" s="43" t="str">
        <f aca="false">IF($AE108="","",IF(AND(ReglesTransitoires="Oui",EDATE($AE108,AnciennePeriodiciteEDL*12)&lt;DateVigueur),EDATE($AE108,AnciennePeriodiciteEDL*12),EDATE($AE108,PeriodiciteEDL*12)))</f>
        <v/>
      </c>
      <c r="AG108" s="42" t="str">
        <f aca="false">IF($AF108="","",IF(AND($I108&lt;&gt;"",$I108&lt;=DateRef),"",IF($AF108&lt;DateRef,"En retard",IF($AF108-DateRef&lt;=SeuilAlerteEDL,"À prévoir","À jour"))))</f>
        <v/>
      </c>
      <c r="AH108" s="39"/>
      <c r="AI108" s="39"/>
      <c r="AJ108" s="42" t="str">
        <f aca="false">IF(OR($B108="",$H108=""),"",IF(AND($I108&lt;&gt;"",$I108&lt;=DateRef),"",IF(Effectif&lt;SeuilEffectif,"Non concerné (&lt; "&amp;SeuilEffectif&amp;" salariés)",IF($AH108="Oui","Pas de risque",IF(AND(OR($AI108="Non",$S108="En retard"),$AH108="Non"),"Risque abondement",IF(OR($AI108="Non",$S108="En retard"),"À vérifier (formation ?)",IF($AI108="Oui","Pas de risque","À compléter")))))))</f>
        <v/>
      </c>
      <c r="AK108" s="39"/>
    </row>
    <row r="109" customFormat="false" ht="15" hidden="false" customHeight="false" outlineLevel="0" collapsed="false">
      <c r="A109" s="39"/>
      <c r="B109" s="39"/>
      <c r="C109" s="39"/>
      <c r="D109" s="39"/>
      <c r="E109" s="39"/>
      <c r="F109" s="39"/>
      <c r="G109" s="40"/>
      <c r="H109" s="40"/>
      <c r="I109" s="40"/>
      <c r="J109" s="41" t="str">
        <f aca="false">IF(OR($B109="",$H109=""),"",IF($H109&gt;DateRef,0,YEARFRAC($H109,DateRef,1)))</f>
        <v/>
      </c>
      <c r="K109" s="42" t="str">
        <f aca="false">IF(OR($B109="",$H109=""),"",IF(EDATE($H109,12)&lt;=DateRef,"Plus d'un an","Moins d'un an"))</f>
        <v/>
      </c>
      <c r="L109" s="40"/>
      <c r="M109" s="43" t="str">
        <f aca="false">IF(OR($B109="",$A109=""),"",IF(SUMPRODUCT(MAX((Journal!$A$6:$A$1005=$A109)*Journal!$C$6:$C$1005))=0,"",SUMPRODUCT(MAX((Journal!$A$6:$A$1005=$A109)*Journal!$C$6:$C$1005))))</f>
        <v/>
      </c>
      <c r="N109" s="43" t="str">
        <f aca="false">IF($B109="","",IF(MAX($L109,$M109)=0,"",MAX($L109,$M109)))</f>
        <v/>
      </c>
      <c r="O109" s="44" t="str">
        <f aca="false">IF(OR($B109="",$H109=""),"",IF($N109="",IF(EDATE($H109,DelaiPremierEPP)&gt;DateRef,"1er EPP (1re année)","Aucun entretien renseigné"),IF(AND(ReglesTransitoires="Oui",EDATE($N109,AnciennePeriodiciteEP*12)&lt;DateVigueur),"Retard antérieur à la réforme","Périodicité "&amp;PeriodiciteEPP&amp;" ans")))</f>
        <v/>
      </c>
      <c r="P109" s="43" t="str">
        <f aca="false">IF(OR($B109="",$H109=""),"",IF($N109="",EDATE($H109,DelaiPremierEPP),IF(AND(ReglesTransitoires="Oui",EDATE($N109,AnciennePeriodiciteEP*12)&lt;DateVigueur),EDATE($N109,AnciennePeriodiciteEP*12),EDATE($N109,PeriodiciteEPP*12))))</f>
        <v/>
      </c>
      <c r="Q109" s="40"/>
      <c r="R109" s="45" t="str">
        <f aca="false">IF(OR($P109="",AND($I109&lt;&gt;"",$I109&lt;=DateRef)),"",$P109-DateRef)</f>
        <v/>
      </c>
      <c r="S109" s="42" t="str">
        <f aca="false">IF($B109="","",IF(AND($I109&lt;&gt;"",$I109&lt;=DateRef),"Sorti",IF($H109="","À compléter",IF(AND($Q109&lt;&gt;"",$Q109&gt;=DateRef,$Q109&lt;=$P109),"Planifié",IF($R109&lt;0,"En retard",IF($R109&lt;=SeuilAlerteEPP,"À planifier","À jour"))))))</f>
        <v/>
      </c>
      <c r="T109" s="46" t="str">
        <f aca="false">IF(OR($B109="",$S109="Sorti"),"",MID(IF($H109=""," | Date d'embauche manquante","")&amp;IF(AND($K109="Plus d'un an",$N109="")," | Précédent entretien à renseigner (ancienneté &gt; 1 an)","")&amp;IF($O109="Retard antérieur à la réforme"," | Ancien délai de 2 ans expiré avant la réforme","")&amp;IF(AND($N109&lt;&gt;"",$H109&lt;&gt;"",$N109&lt;$H109)," | Entretien antérieur à l'embauche ?","")&amp;IF(AND($N109&lt;&gt;"",$N109&gt;DateRef)," | Entretien daté dans le futur ?","")&amp;IF(AND($Q109&lt;&gt;"",$P109&lt;&gt;"",$Q109&gt;$P109)," | Date prévue après l'échéance","")&amp;IF(AND($Q109&lt;&gt;"",$Q109&lt;DateRef,OR($N109="",$N109&lt;$Q109))," | Entretien prévu passé : le consigner au Journal","")&amp;IF(AND($G109&lt;&gt;"",$X109="",YEAR(DateRef)-YEAR($G109)&gt;=AgeMiCarriere-1,YEAR(DateRef)-YEAR($G109)&lt;=AgeMiCarriere+1)," | Visite de mi-carrière à vérifier",""),4,1000))</f>
        <v/>
      </c>
      <c r="U109" s="39"/>
      <c r="V109" s="40"/>
      <c r="W109" s="42" t="str">
        <f aca="false">IF(OR($B109="",$V109=""),"",IF(AND($I109&lt;&gt;"",$I109&lt;=DateRef),"",IF(AND($N109&lt;&gt;"",$N109&gt;=$V109),"Réalisé",IF(AND($N109&lt;&gt;"",$N109&gt;=EDATE($V109,-FenetreRetour)),"Dispensé (EPP récent)",IF($V109&gt;DateRef,"À prévoir à la reprise","À proposer (reprise passée)")))))</f>
        <v/>
      </c>
      <c r="X109" s="40"/>
      <c r="Y109" s="43" t="str">
        <f aca="false">IF(OR($B109="",$X109=""),"",EDATE($X109,DelaiMiCarriere))</f>
        <v/>
      </c>
      <c r="Z109" s="42" t="str">
        <f aca="false">IF(OR($B109="",$X109=""),"",IF(AND($I109&lt;&gt;"",$I109&lt;=DateRef),"",IF(AND($N109&lt;&gt;"",$N109&gt;=$X109),"Réalisé",IF($Y109&lt;DateRef,"En retard","À planifier"))))</f>
        <v/>
      </c>
      <c r="AA109" s="47" t="str">
        <f aca="false">IF(OR($B109="",$G109=""),"",IF($G109&gt;DateRef,"",DATEDIF($G109,DateRef,"y")))</f>
        <v/>
      </c>
      <c r="AB109" s="43" t="str">
        <f aca="false">IF(OR($B109="",$G109=""),"",EDATE($G109,AgeFinCarriere*12))</f>
        <v/>
      </c>
      <c r="AC109" s="42" t="str">
        <f aca="false">IF(OR($B109="",$G109="",$H109=""),"",IF(AND($I109&lt;&gt;"",$I109&lt;=DateRef),"",IF($AB109&lt;DateVigueur,"Non concerné",IF(AND($N109&lt;&gt;"",$N109&gt;=MAX(EDATE($AB109,-FenetreFinCarriere*12),DateVigueur),$N109&lt;=$AB109),"Réalisé",IF(DateRef&gt;$AB109,"Non réalisé",IF(AND($Q109&lt;&gt;"",$Q109&gt;=EDATE($AB109,-FenetreFinCarriere*12),$Q109&lt;=$AB109),"Planifié dans la fenêtre",IF(AND(MAX($P109,DateRef)&gt;=EDATE($AB109,-FenetreFinCarriere*12),MAX($P109,DateRef)&lt;=$AB109),"Prochain EPP dans la fenêtre",IF(MAX($P109,DateRef)&gt;$AB109,"À programmer avant 60 ans",""))))))))</f>
        <v/>
      </c>
      <c r="AD109" s="40"/>
      <c r="AE109" s="43" t="str">
        <f aca="false">IF(OR($B109="",$H109="",AND($I109&lt;&gt;"",$I109&lt;=DateRef)),"",MAX($H109,$AD109,IF($A109="",0,SUMPRODUCT(MAX((Journal!$A$6:$A$1005=$A109)*((Journal!$D$6:$D$1005=TypeEDL)+(Journal!$D$6:$D$1005=TypeBilan6))*Journal!$C$6:$C$1005)))))</f>
        <v/>
      </c>
      <c r="AF109" s="43" t="str">
        <f aca="false">IF($AE109="","",IF(AND(ReglesTransitoires="Oui",EDATE($AE109,AnciennePeriodiciteEDL*12)&lt;DateVigueur),EDATE($AE109,AnciennePeriodiciteEDL*12),EDATE($AE109,PeriodiciteEDL*12)))</f>
        <v/>
      </c>
      <c r="AG109" s="42" t="str">
        <f aca="false">IF($AF109="","",IF(AND($I109&lt;&gt;"",$I109&lt;=DateRef),"",IF($AF109&lt;DateRef,"En retard",IF($AF109-DateRef&lt;=SeuilAlerteEDL,"À prévoir","À jour"))))</f>
        <v/>
      </c>
      <c r="AH109" s="39"/>
      <c r="AI109" s="39"/>
      <c r="AJ109" s="42" t="str">
        <f aca="false">IF(OR($B109="",$H109=""),"",IF(AND($I109&lt;&gt;"",$I109&lt;=DateRef),"",IF(Effectif&lt;SeuilEffectif,"Non concerné (&lt; "&amp;SeuilEffectif&amp;" salariés)",IF($AH109="Oui","Pas de risque",IF(AND(OR($AI109="Non",$S109="En retard"),$AH109="Non"),"Risque abondement",IF(OR($AI109="Non",$S109="En retard"),"À vérifier (formation ?)",IF($AI109="Oui","Pas de risque","À compléter")))))))</f>
        <v/>
      </c>
      <c r="AK109" s="39"/>
    </row>
    <row r="110" customFormat="false" ht="15" hidden="false" customHeight="false" outlineLevel="0" collapsed="false">
      <c r="A110" s="39"/>
      <c r="B110" s="39"/>
      <c r="C110" s="39"/>
      <c r="D110" s="39"/>
      <c r="E110" s="39"/>
      <c r="F110" s="39"/>
      <c r="G110" s="40"/>
      <c r="H110" s="40"/>
      <c r="I110" s="40"/>
      <c r="J110" s="41" t="str">
        <f aca="false">IF(OR($B110="",$H110=""),"",IF($H110&gt;DateRef,0,YEARFRAC($H110,DateRef,1)))</f>
        <v/>
      </c>
      <c r="K110" s="42" t="str">
        <f aca="false">IF(OR($B110="",$H110=""),"",IF(EDATE($H110,12)&lt;=DateRef,"Plus d'un an","Moins d'un an"))</f>
        <v/>
      </c>
      <c r="L110" s="40"/>
      <c r="M110" s="43" t="str">
        <f aca="false">IF(OR($B110="",$A110=""),"",IF(SUMPRODUCT(MAX((Journal!$A$6:$A$1005=$A110)*Journal!$C$6:$C$1005))=0,"",SUMPRODUCT(MAX((Journal!$A$6:$A$1005=$A110)*Journal!$C$6:$C$1005))))</f>
        <v/>
      </c>
      <c r="N110" s="43" t="str">
        <f aca="false">IF($B110="","",IF(MAX($L110,$M110)=0,"",MAX($L110,$M110)))</f>
        <v/>
      </c>
      <c r="O110" s="44" t="str">
        <f aca="false">IF(OR($B110="",$H110=""),"",IF($N110="",IF(EDATE($H110,DelaiPremierEPP)&gt;DateRef,"1er EPP (1re année)","Aucun entretien renseigné"),IF(AND(ReglesTransitoires="Oui",EDATE($N110,AnciennePeriodiciteEP*12)&lt;DateVigueur),"Retard antérieur à la réforme","Périodicité "&amp;PeriodiciteEPP&amp;" ans")))</f>
        <v/>
      </c>
      <c r="P110" s="43" t="str">
        <f aca="false">IF(OR($B110="",$H110=""),"",IF($N110="",EDATE($H110,DelaiPremierEPP),IF(AND(ReglesTransitoires="Oui",EDATE($N110,AnciennePeriodiciteEP*12)&lt;DateVigueur),EDATE($N110,AnciennePeriodiciteEP*12),EDATE($N110,PeriodiciteEPP*12))))</f>
        <v/>
      </c>
      <c r="Q110" s="40"/>
      <c r="R110" s="45" t="str">
        <f aca="false">IF(OR($P110="",AND($I110&lt;&gt;"",$I110&lt;=DateRef)),"",$P110-DateRef)</f>
        <v/>
      </c>
      <c r="S110" s="42" t="str">
        <f aca="false">IF($B110="","",IF(AND($I110&lt;&gt;"",$I110&lt;=DateRef),"Sorti",IF($H110="","À compléter",IF(AND($Q110&lt;&gt;"",$Q110&gt;=DateRef,$Q110&lt;=$P110),"Planifié",IF($R110&lt;0,"En retard",IF($R110&lt;=SeuilAlerteEPP,"À planifier","À jour"))))))</f>
        <v/>
      </c>
      <c r="T110" s="46" t="str">
        <f aca="false">IF(OR($B110="",$S110="Sorti"),"",MID(IF($H110=""," | Date d'embauche manquante","")&amp;IF(AND($K110="Plus d'un an",$N110="")," | Précédent entretien à renseigner (ancienneté &gt; 1 an)","")&amp;IF($O110="Retard antérieur à la réforme"," | Ancien délai de 2 ans expiré avant la réforme","")&amp;IF(AND($N110&lt;&gt;"",$H110&lt;&gt;"",$N110&lt;$H110)," | Entretien antérieur à l'embauche ?","")&amp;IF(AND($N110&lt;&gt;"",$N110&gt;DateRef)," | Entretien daté dans le futur ?","")&amp;IF(AND($Q110&lt;&gt;"",$P110&lt;&gt;"",$Q110&gt;$P110)," | Date prévue après l'échéance","")&amp;IF(AND($Q110&lt;&gt;"",$Q110&lt;DateRef,OR($N110="",$N110&lt;$Q110))," | Entretien prévu passé : le consigner au Journal","")&amp;IF(AND($G110&lt;&gt;"",$X110="",YEAR(DateRef)-YEAR($G110)&gt;=AgeMiCarriere-1,YEAR(DateRef)-YEAR($G110)&lt;=AgeMiCarriere+1)," | Visite de mi-carrière à vérifier",""),4,1000))</f>
        <v/>
      </c>
      <c r="U110" s="39"/>
      <c r="V110" s="40"/>
      <c r="W110" s="42" t="str">
        <f aca="false">IF(OR($B110="",$V110=""),"",IF(AND($I110&lt;&gt;"",$I110&lt;=DateRef),"",IF(AND($N110&lt;&gt;"",$N110&gt;=$V110),"Réalisé",IF(AND($N110&lt;&gt;"",$N110&gt;=EDATE($V110,-FenetreRetour)),"Dispensé (EPP récent)",IF($V110&gt;DateRef,"À prévoir à la reprise","À proposer (reprise passée)")))))</f>
        <v/>
      </c>
      <c r="X110" s="40"/>
      <c r="Y110" s="43" t="str">
        <f aca="false">IF(OR($B110="",$X110=""),"",EDATE($X110,DelaiMiCarriere))</f>
        <v/>
      </c>
      <c r="Z110" s="42" t="str">
        <f aca="false">IF(OR($B110="",$X110=""),"",IF(AND($I110&lt;&gt;"",$I110&lt;=DateRef),"",IF(AND($N110&lt;&gt;"",$N110&gt;=$X110),"Réalisé",IF($Y110&lt;DateRef,"En retard","À planifier"))))</f>
        <v/>
      </c>
      <c r="AA110" s="47" t="str">
        <f aca="false">IF(OR($B110="",$G110=""),"",IF($G110&gt;DateRef,"",DATEDIF($G110,DateRef,"y")))</f>
        <v/>
      </c>
      <c r="AB110" s="43" t="str">
        <f aca="false">IF(OR($B110="",$G110=""),"",EDATE($G110,AgeFinCarriere*12))</f>
        <v/>
      </c>
      <c r="AC110" s="42" t="str">
        <f aca="false">IF(OR($B110="",$G110="",$H110=""),"",IF(AND($I110&lt;&gt;"",$I110&lt;=DateRef),"",IF($AB110&lt;DateVigueur,"Non concerné",IF(AND($N110&lt;&gt;"",$N110&gt;=MAX(EDATE($AB110,-FenetreFinCarriere*12),DateVigueur),$N110&lt;=$AB110),"Réalisé",IF(DateRef&gt;$AB110,"Non réalisé",IF(AND($Q110&lt;&gt;"",$Q110&gt;=EDATE($AB110,-FenetreFinCarriere*12),$Q110&lt;=$AB110),"Planifié dans la fenêtre",IF(AND(MAX($P110,DateRef)&gt;=EDATE($AB110,-FenetreFinCarriere*12),MAX($P110,DateRef)&lt;=$AB110),"Prochain EPP dans la fenêtre",IF(MAX($P110,DateRef)&gt;$AB110,"À programmer avant 60 ans",""))))))))</f>
        <v/>
      </c>
      <c r="AD110" s="40"/>
      <c r="AE110" s="43" t="str">
        <f aca="false">IF(OR($B110="",$H110="",AND($I110&lt;&gt;"",$I110&lt;=DateRef)),"",MAX($H110,$AD110,IF($A110="",0,SUMPRODUCT(MAX((Journal!$A$6:$A$1005=$A110)*((Journal!$D$6:$D$1005=TypeEDL)+(Journal!$D$6:$D$1005=TypeBilan6))*Journal!$C$6:$C$1005)))))</f>
        <v/>
      </c>
      <c r="AF110" s="43" t="str">
        <f aca="false">IF($AE110="","",IF(AND(ReglesTransitoires="Oui",EDATE($AE110,AnciennePeriodiciteEDL*12)&lt;DateVigueur),EDATE($AE110,AnciennePeriodiciteEDL*12),EDATE($AE110,PeriodiciteEDL*12)))</f>
        <v/>
      </c>
      <c r="AG110" s="42" t="str">
        <f aca="false">IF($AF110="","",IF(AND($I110&lt;&gt;"",$I110&lt;=DateRef),"",IF($AF110&lt;DateRef,"En retard",IF($AF110-DateRef&lt;=SeuilAlerteEDL,"À prévoir","À jour"))))</f>
        <v/>
      </c>
      <c r="AH110" s="39"/>
      <c r="AI110" s="39"/>
      <c r="AJ110" s="42" t="str">
        <f aca="false">IF(OR($B110="",$H110=""),"",IF(AND($I110&lt;&gt;"",$I110&lt;=DateRef),"",IF(Effectif&lt;SeuilEffectif,"Non concerné (&lt; "&amp;SeuilEffectif&amp;" salariés)",IF($AH110="Oui","Pas de risque",IF(AND(OR($AI110="Non",$S110="En retard"),$AH110="Non"),"Risque abondement",IF(OR($AI110="Non",$S110="En retard"),"À vérifier (formation ?)",IF($AI110="Oui","Pas de risque","À compléter")))))))</f>
        <v/>
      </c>
      <c r="AK110" s="39"/>
    </row>
    <row r="111" customFormat="false" ht="15" hidden="false" customHeight="false" outlineLevel="0" collapsed="false">
      <c r="A111" s="39"/>
      <c r="B111" s="39"/>
      <c r="C111" s="39"/>
      <c r="D111" s="39"/>
      <c r="E111" s="39"/>
      <c r="F111" s="39"/>
      <c r="G111" s="40"/>
      <c r="H111" s="40"/>
      <c r="I111" s="40"/>
      <c r="J111" s="41" t="str">
        <f aca="false">IF(OR($B111="",$H111=""),"",IF($H111&gt;DateRef,0,YEARFRAC($H111,DateRef,1)))</f>
        <v/>
      </c>
      <c r="K111" s="42" t="str">
        <f aca="false">IF(OR($B111="",$H111=""),"",IF(EDATE($H111,12)&lt;=DateRef,"Plus d'un an","Moins d'un an"))</f>
        <v/>
      </c>
      <c r="L111" s="40"/>
      <c r="M111" s="43" t="str">
        <f aca="false">IF(OR($B111="",$A111=""),"",IF(SUMPRODUCT(MAX((Journal!$A$6:$A$1005=$A111)*Journal!$C$6:$C$1005))=0,"",SUMPRODUCT(MAX((Journal!$A$6:$A$1005=$A111)*Journal!$C$6:$C$1005))))</f>
        <v/>
      </c>
      <c r="N111" s="43" t="str">
        <f aca="false">IF($B111="","",IF(MAX($L111,$M111)=0,"",MAX($L111,$M111)))</f>
        <v/>
      </c>
      <c r="O111" s="44" t="str">
        <f aca="false">IF(OR($B111="",$H111=""),"",IF($N111="",IF(EDATE($H111,DelaiPremierEPP)&gt;DateRef,"1er EPP (1re année)","Aucun entretien renseigné"),IF(AND(ReglesTransitoires="Oui",EDATE($N111,AnciennePeriodiciteEP*12)&lt;DateVigueur),"Retard antérieur à la réforme","Périodicité "&amp;PeriodiciteEPP&amp;" ans")))</f>
        <v/>
      </c>
      <c r="P111" s="43" t="str">
        <f aca="false">IF(OR($B111="",$H111=""),"",IF($N111="",EDATE($H111,DelaiPremierEPP),IF(AND(ReglesTransitoires="Oui",EDATE($N111,AnciennePeriodiciteEP*12)&lt;DateVigueur),EDATE($N111,AnciennePeriodiciteEP*12),EDATE($N111,PeriodiciteEPP*12))))</f>
        <v/>
      </c>
      <c r="Q111" s="40"/>
      <c r="R111" s="45" t="str">
        <f aca="false">IF(OR($P111="",AND($I111&lt;&gt;"",$I111&lt;=DateRef)),"",$P111-DateRef)</f>
        <v/>
      </c>
      <c r="S111" s="42" t="str">
        <f aca="false">IF($B111="","",IF(AND($I111&lt;&gt;"",$I111&lt;=DateRef),"Sorti",IF($H111="","À compléter",IF(AND($Q111&lt;&gt;"",$Q111&gt;=DateRef,$Q111&lt;=$P111),"Planifié",IF($R111&lt;0,"En retard",IF($R111&lt;=SeuilAlerteEPP,"À planifier","À jour"))))))</f>
        <v/>
      </c>
      <c r="T111" s="46" t="str">
        <f aca="false">IF(OR($B111="",$S111="Sorti"),"",MID(IF($H111=""," | Date d'embauche manquante","")&amp;IF(AND($K111="Plus d'un an",$N111="")," | Précédent entretien à renseigner (ancienneté &gt; 1 an)","")&amp;IF($O111="Retard antérieur à la réforme"," | Ancien délai de 2 ans expiré avant la réforme","")&amp;IF(AND($N111&lt;&gt;"",$H111&lt;&gt;"",$N111&lt;$H111)," | Entretien antérieur à l'embauche ?","")&amp;IF(AND($N111&lt;&gt;"",$N111&gt;DateRef)," | Entretien daté dans le futur ?","")&amp;IF(AND($Q111&lt;&gt;"",$P111&lt;&gt;"",$Q111&gt;$P111)," | Date prévue après l'échéance","")&amp;IF(AND($Q111&lt;&gt;"",$Q111&lt;DateRef,OR($N111="",$N111&lt;$Q111))," | Entretien prévu passé : le consigner au Journal","")&amp;IF(AND($G111&lt;&gt;"",$X111="",YEAR(DateRef)-YEAR($G111)&gt;=AgeMiCarriere-1,YEAR(DateRef)-YEAR($G111)&lt;=AgeMiCarriere+1)," | Visite de mi-carrière à vérifier",""),4,1000))</f>
        <v/>
      </c>
      <c r="U111" s="39"/>
      <c r="V111" s="40"/>
      <c r="W111" s="42" t="str">
        <f aca="false">IF(OR($B111="",$V111=""),"",IF(AND($I111&lt;&gt;"",$I111&lt;=DateRef),"",IF(AND($N111&lt;&gt;"",$N111&gt;=$V111),"Réalisé",IF(AND($N111&lt;&gt;"",$N111&gt;=EDATE($V111,-FenetreRetour)),"Dispensé (EPP récent)",IF($V111&gt;DateRef,"À prévoir à la reprise","À proposer (reprise passée)")))))</f>
        <v/>
      </c>
      <c r="X111" s="40"/>
      <c r="Y111" s="43" t="str">
        <f aca="false">IF(OR($B111="",$X111=""),"",EDATE($X111,DelaiMiCarriere))</f>
        <v/>
      </c>
      <c r="Z111" s="42" t="str">
        <f aca="false">IF(OR($B111="",$X111=""),"",IF(AND($I111&lt;&gt;"",$I111&lt;=DateRef),"",IF(AND($N111&lt;&gt;"",$N111&gt;=$X111),"Réalisé",IF($Y111&lt;DateRef,"En retard","À planifier"))))</f>
        <v/>
      </c>
      <c r="AA111" s="47" t="str">
        <f aca="false">IF(OR($B111="",$G111=""),"",IF($G111&gt;DateRef,"",DATEDIF($G111,DateRef,"y")))</f>
        <v/>
      </c>
      <c r="AB111" s="43" t="str">
        <f aca="false">IF(OR($B111="",$G111=""),"",EDATE($G111,AgeFinCarriere*12))</f>
        <v/>
      </c>
      <c r="AC111" s="42" t="str">
        <f aca="false">IF(OR($B111="",$G111="",$H111=""),"",IF(AND($I111&lt;&gt;"",$I111&lt;=DateRef),"",IF($AB111&lt;DateVigueur,"Non concerné",IF(AND($N111&lt;&gt;"",$N111&gt;=MAX(EDATE($AB111,-FenetreFinCarriere*12),DateVigueur),$N111&lt;=$AB111),"Réalisé",IF(DateRef&gt;$AB111,"Non réalisé",IF(AND($Q111&lt;&gt;"",$Q111&gt;=EDATE($AB111,-FenetreFinCarriere*12),$Q111&lt;=$AB111),"Planifié dans la fenêtre",IF(AND(MAX($P111,DateRef)&gt;=EDATE($AB111,-FenetreFinCarriere*12),MAX($P111,DateRef)&lt;=$AB111),"Prochain EPP dans la fenêtre",IF(MAX($P111,DateRef)&gt;$AB111,"À programmer avant 60 ans",""))))))))</f>
        <v/>
      </c>
      <c r="AD111" s="40"/>
      <c r="AE111" s="43" t="str">
        <f aca="false">IF(OR($B111="",$H111="",AND($I111&lt;&gt;"",$I111&lt;=DateRef)),"",MAX($H111,$AD111,IF($A111="",0,SUMPRODUCT(MAX((Journal!$A$6:$A$1005=$A111)*((Journal!$D$6:$D$1005=TypeEDL)+(Journal!$D$6:$D$1005=TypeBilan6))*Journal!$C$6:$C$1005)))))</f>
        <v/>
      </c>
      <c r="AF111" s="43" t="str">
        <f aca="false">IF($AE111="","",IF(AND(ReglesTransitoires="Oui",EDATE($AE111,AnciennePeriodiciteEDL*12)&lt;DateVigueur),EDATE($AE111,AnciennePeriodiciteEDL*12),EDATE($AE111,PeriodiciteEDL*12)))</f>
        <v/>
      </c>
      <c r="AG111" s="42" t="str">
        <f aca="false">IF($AF111="","",IF(AND($I111&lt;&gt;"",$I111&lt;=DateRef),"",IF($AF111&lt;DateRef,"En retard",IF($AF111-DateRef&lt;=SeuilAlerteEDL,"À prévoir","À jour"))))</f>
        <v/>
      </c>
      <c r="AH111" s="39"/>
      <c r="AI111" s="39"/>
      <c r="AJ111" s="42" t="str">
        <f aca="false">IF(OR($B111="",$H111=""),"",IF(AND($I111&lt;&gt;"",$I111&lt;=DateRef),"",IF(Effectif&lt;SeuilEffectif,"Non concerné (&lt; "&amp;SeuilEffectif&amp;" salariés)",IF($AH111="Oui","Pas de risque",IF(AND(OR($AI111="Non",$S111="En retard"),$AH111="Non"),"Risque abondement",IF(OR($AI111="Non",$S111="En retard"),"À vérifier (formation ?)",IF($AI111="Oui","Pas de risque","À compléter")))))))</f>
        <v/>
      </c>
      <c r="AK111" s="39"/>
    </row>
    <row r="112" customFormat="false" ht="15" hidden="false" customHeight="false" outlineLevel="0" collapsed="false">
      <c r="A112" s="39"/>
      <c r="B112" s="39"/>
      <c r="C112" s="39"/>
      <c r="D112" s="39"/>
      <c r="E112" s="39"/>
      <c r="F112" s="39"/>
      <c r="G112" s="40"/>
      <c r="H112" s="40"/>
      <c r="I112" s="40"/>
      <c r="J112" s="41" t="str">
        <f aca="false">IF(OR($B112="",$H112=""),"",IF($H112&gt;DateRef,0,YEARFRAC($H112,DateRef,1)))</f>
        <v/>
      </c>
      <c r="K112" s="42" t="str">
        <f aca="false">IF(OR($B112="",$H112=""),"",IF(EDATE($H112,12)&lt;=DateRef,"Plus d'un an","Moins d'un an"))</f>
        <v/>
      </c>
      <c r="L112" s="40"/>
      <c r="M112" s="43" t="str">
        <f aca="false">IF(OR($B112="",$A112=""),"",IF(SUMPRODUCT(MAX((Journal!$A$6:$A$1005=$A112)*Journal!$C$6:$C$1005))=0,"",SUMPRODUCT(MAX((Journal!$A$6:$A$1005=$A112)*Journal!$C$6:$C$1005))))</f>
        <v/>
      </c>
      <c r="N112" s="43" t="str">
        <f aca="false">IF($B112="","",IF(MAX($L112,$M112)=0,"",MAX($L112,$M112)))</f>
        <v/>
      </c>
      <c r="O112" s="44" t="str">
        <f aca="false">IF(OR($B112="",$H112=""),"",IF($N112="",IF(EDATE($H112,DelaiPremierEPP)&gt;DateRef,"1er EPP (1re année)","Aucun entretien renseigné"),IF(AND(ReglesTransitoires="Oui",EDATE($N112,AnciennePeriodiciteEP*12)&lt;DateVigueur),"Retard antérieur à la réforme","Périodicité "&amp;PeriodiciteEPP&amp;" ans")))</f>
        <v/>
      </c>
      <c r="P112" s="43" t="str">
        <f aca="false">IF(OR($B112="",$H112=""),"",IF($N112="",EDATE($H112,DelaiPremierEPP),IF(AND(ReglesTransitoires="Oui",EDATE($N112,AnciennePeriodiciteEP*12)&lt;DateVigueur),EDATE($N112,AnciennePeriodiciteEP*12),EDATE($N112,PeriodiciteEPP*12))))</f>
        <v/>
      </c>
      <c r="Q112" s="40"/>
      <c r="R112" s="45" t="str">
        <f aca="false">IF(OR($P112="",AND($I112&lt;&gt;"",$I112&lt;=DateRef)),"",$P112-DateRef)</f>
        <v/>
      </c>
      <c r="S112" s="42" t="str">
        <f aca="false">IF($B112="","",IF(AND($I112&lt;&gt;"",$I112&lt;=DateRef),"Sorti",IF($H112="","À compléter",IF(AND($Q112&lt;&gt;"",$Q112&gt;=DateRef,$Q112&lt;=$P112),"Planifié",IF($R112&lt;0,"En retard",IF($R112&lt;=SeuilAlerteEPP,"À planifier","À jour"))))))</f>
        <v/>
      </c>
      <c r="T112" s="46" t="str">
        <f aca="false">IF(OR($B112="",$S112="Sorti"),"",MID(IF($H112=""," | Date d'embauche manquante","")&amp;IF(AND($K112="Plus d'un an",$N112="")," | Précédent entretien à renseigner (ancienneté &gt; 1 an)","")&amp;IF($O112="Retard antérieur à la réforme"," | Ancien délai de 2 ans expiré avant la réforme","")&amp;IF(AND($N112&lt;&gt;"",$H112&lt;&gt;"",$N112&lt;$H112)," | Entretien antérieur à l'embauche ?","")&amp;IF(AND($N112&lt;&gt;"",$N112&gt;DateRef)," | Entretien daté dans le futur ?","")&amp;IF(AND($Q112&lt;&gt;"",$P112&lt;&gt;"",$Q112&gt;$P112)," | Date prévue après l'échéance","")&amp;IF(AND($Q112&lt;&gt;"",$Q112&lt;DateRef,OR($N112="",$N112&lt;$Q112))," | Entretien prévu passé : le consigner au Journal","")&amp;IF(AND($G112&lt;&gt;"",$X112="",YEAR(DateRef)-YEAR($G112)&gt;=AgeMiCarriere-1,YEAR(DateRef)-YEAR($G112)&lt;=AgeMiCarriere+1)," | Visite de mi-carrière à vérifier",""),4,1000))</f>
        <v/>
      </c>
      <c r="U112" s="39"/>
      <c r="V112" s="40"/>
      <c r="W112" s="42" t="str">
        <f aca="false">IF(OR($B112="",$V112=""),"",IF(AND($I112&lt;&gt;"",$I112&lt;=DateRef),"",IF(AND($N112&lt;&gt;"",$N112&gt;=$V112),"Réalisé",IF(AND($N112&lt;&gt;"",$N112&gt;=EDATE($V112,-FenetreRetour)),"Dispensé (EPP récent)",IF($V112&gt;DateRef,"À prévoir à la reprise","À proposer (reprise passée)")))))</f>
        <v/>
      </c>
      <c r="X112" s="40"/>
      <c r="Y112" s="43" t="str">
        <f aca="false">IF(OR($B112="",$X112=""),"",EDATE($X112,DelaiMiCarriere))</f>
        <v/>
      </c>
      <c r="Z112" s="42" t="str">
        <f aca="false">IF(OR($B112="",$X112=""),"",IF(AND($I112&lt;&gt;"",$I112&lt;=DateRef),"",IF(AND($N112&lt;&gt;"",$N112&gt;=$X112),"Réalisé",IF($Y112&lt;DateRef,"En retard","À planifier"))))</f>
        <v/>
      </c>
      <c r="AA112" s="47" t="str">
        <f aca="false">IF(OR($B112="",$G112=""),"",IF($G112&gt;DateRef,"",DATEDIF($G112,DateRef,"y")))</f>
        <v/>
      </c>
      <c r="AB112" s="43" t="str">
        <f aca="false">IF(OR($B112="",$G112=""),"",EDATE($G112,AgeFinCarriere*12))</f>
        <v/>
      </c>
      <c r="AC112" s="42" t="str">
        <f aca="false">IF(OR($B112="",$G112="",$H112=""),"",IF(AND($I112&lt;&gt;"",$I112&lt;=DateRef),"",IF($AB112&lt;DateVigueur,"Non concerné",IF(AND($N112&lt;&gt;"",$N112&gt;=MAX(EDATE($AB112,-FenetreFinCarriere*12),DateVigueur),$N112&lt;=$AB112),"Réalisé",IF(DateRef&gt;$AB112,"Non réalisé",IF(AND($Q112&lt;&gt;"",$Q112&gt;=EDATE($AB112,-FenetreFinCarriere*12),$Q112&lt;=$AB112),"Planifié dans la fenêtre",IF(AND(MAX($P112,DateRef)&gt;=EDATE($AB112,-FenetreFinCarriere*12),MAX($P112,DateRef)&lt;=$AB112),"Prochain EPP dans la fenêtre",IF(MAX($P112,DateRef)&gt;$AB112,"À programmer avant 60 ans",""))))))))</f>
        <v/>
      </c>
      <c r="AD112" s="40"/>
      <c r="AE112" s="43" t="str">
        <f aca="false">IF(OR($B112="",$H112="",AND($I112&lt;&gt;"",$I112&lt;=DateRef)),"",MAX($H112,$AD112,IF($A112="",0,SUMPRODUCT(MAX((Journal!$A$6:$A$1005=$A112)*((Journal!$D$6:$D$1005=TypeEDL)+(Journal!$D$6:$D$1005=TypeBilan6))*Journal!$C$6:$C$1005)))))</f>
        <v/>
      </c>
      <c r="AF112" s="43" t="str">
        <f aca="false">IF($AE112="","",IF(AND(ReglesTransitoires="Oui",EDATE($AE112,AnciennePeriodiciteEDL*12)&lt;DateVigueur),EDATE($AE112,AnciennePeriodiciteEDL*12),EDATE($AE112,PeriodiciteEDL*12)))</f>
        <v/>
      </c>
      <c r="AG112" s="42" t="str">
        <f aca="false">IF($AF112="","",IF(AND($I112&lt;&gt;"",$I112&lt;=DateRef),"",IF($AF112&lt;DateRef,"En retard",IF($AF112-DateRef&lt;=SeuilAlerteEDL,"À prévoir","À jour"))))</f>
        <v/>
      </c>
      <c r="AH112" s="39"/>
      <c r="AI112" s="39"/>
      <c r="AJ112" s="42" t="str">
        <f aca="false">IF(OR($B112="",$H112=""),"",IF(AND($I112&lt;&gt;"",$I112&lt;=DateRef),"",IF(Effectif&lt;SeuilEffectif,"Non concerné (&lt; "&amp;SeuilEffectif&amp;" salariés)",IF($AH112="Oui","Pas de risque",IF(AND(OR($AI112="Non",$S112="En retard"),$AH112="Non"),"Risque abondement",IF(OR($AI112="Non",$S112="En retard"),"À vérifier (formation ?)",IF($AI112="Oui","Pas de risque","À compléter")))))))</f>
        <v/>
      </c>
      <c r="AK112" s="39"/>
    </row>
    <row r="113" customFormat="false" ht="15" hidden="false" customHeight="false" outlineLevel="0" collapsed="false">
      <c r="A113" s="39"/>
      <c r="B113" s="39"/>
      <c r="C113" s="39"/>
      <c r="D113" s="39"/>
      <c r="E113" s="39"/>
      <c r="F113" s="39"/>
      <c r="G113" s="40"/>
      <c r="H113" s="40"/>
      <c r="I113" s="40"/>
      <c r="J113" s="41" t="str">
        <f aca="false">IF(OR($B113="",$H113=""),"",IF($H113&gt;DateRef,0,YEARFRAC($H113,DateRef,1)))</f>
        <v/>
      </c>
      <c r="K113" s="42" t="str">
        <f aca="false">IF(OR($B113="",$H113=""),"",IF(EDATE($H113,12)&lt;=DateRef,"Plus d'un an","Moins d'un an"))</f>
        <v/>
      </c>
      <c r="L113" s="40"/>
      <c r="M113" s="43" t="str">
        <f aca="false">IF(OR($B113="",$A113=""),"",IF(SUMPRODUCT(MAX((Journal!$A$6:$A$1005=$A113)*Journal!$C$6:$C$1005))=0,"",SUMPRODUCT(MAX((Journal!$A$6:$A$1005=$A113)*Journal!$C$6:$C$1005))))</f>
        <v/>
      </c>
      <c r="N113" s="43" t="str">
        <f aca="false">IF($B113="","",IF(MAX($L113,$M113)=0,"",MAX($L113,$M113)))</f>
        <v/>
      </c>
      <c r="O113" s="44" t="str">
        <f aca="false">IF(OR($B113="",$H113=""),"",IF($N113="",IF(EDATE($H113,DelaiPremierEPP)&gt;DateRef,"1er EPP (1re année)","Aucun entretien renseigné"),IF(AND(ReglesTransitoires="Oui",EDATE($N113,AnciennePeriodiciteEP*12)&lt;DateVigueur),"Retard antérieur à la réforme","Périodicité "&amp;PeriodiciteEPP&amp;" ans")))</f>
        <v/>
      </c>
      <c r="P113" s="43" t="str">
        <f aca="false">IF(OR($B113="",$H113=""),"",IF($N113="",EDATE($H113,DelaiPremierEPP),IF(AND(ReglesTransitoires="Oui",EDATE($N113,AnciennePeriodiciteEP*12)&lt;DateVigueur),EDATE($N113,AnciennePeriodiciteEP*12),EDATE($N113,PeriodiciteEPP*12))))</f>
        <v/>
      </c>
      <c r="Q113" s="40"/>
      <c r="R113" s="45" t="str">
        <f aca="false">IF(OR($P113="",AND($I113&lt;&gt;"",$I113&lt;=DateRef)),"",$P113-DateRef)</f>
        <v/>
      </c>
      <c r="S113" s="42" t="str">
        <f aca="false">IF($B113="","",IF(AND($I113&lt;&gt;"",$I113&lt;=DateRef),"Sorti",IF($H113="","À compléter",IF(AND($Q113&lt;&gt;"",$Q113&gt;=DateRef,$Q113&lt;=$P113),"Planifié",IF($R113&lt;0,"En retard",IF($R113&lt;=SeuilAlerteEPP,"À planifier","À jour"))))))</f>
        <v/>
      </c>
      <c r="T113" s="46" t="str">
        <f aca="false">IF(OR($B113="",$S113="Sorti"),"",MID(IF($H113=""," | Date d'embauche manquante","")&amp;IF(AND($K113="Plus d'un an",$N113="")," | Précédent entretien à renseigner (ancienneté &gt; 1 an)","")&amp;IF($O113="Retard antérieur à la réforme"," | Ancien délai de 2 ans expiré avant la réforme","")&amp;IF(AND($N113&lt;&gt;"",$H113&lt;&gt;"",$N113&lt;$H113)," | Entretien antérieur à l'embauche ?","")&amp;IF(AND($N113&lt;&gt;"",$N113&gt;DateRef)," | Entretien daté dans le futur ?","")&amp;IF(AND($Q113&lt;&gt;"",$P113&lt;&gt;"",$Q113&gt;$P113)," | Date prévue après l'échéance","")&amp;IF(AND($Q113&lt;&gt;"",$Q113&lt;DateRef,OR($N113="",$N113&lt;$Q113))," | Entretien prévu passé : le consigner au Journal","")&amp;IF(AND($G113&lt;&gt;"",$X113="",YEAR(DateRef)-YEAR($G113)&gt;=AgeMiCarriere-1,YEAR(DateRef)-YEAR($G113)&lt;=AgeMiCarriere+1)," | Visite de mi-carrière à vérifier",""),4,1000))</f>
        <v/>
      </c>
      <c r="U113" s="39"/>
      <c r="V113" s="40"/>
      <c r="W113" s="42" t="str">
        <f aca="false">IF(OR($B113="",$V113=""),"",IF(AND($I113&lt;&gt;"",$I113&lt;=DateRef),"",IF(AND($N113&lt;&gt;"",$N113&gt;=$V113),"Réalisé",IF(AND($N113&lt;&gt;"",$N113&gt;=EDATE($V113,-FenetreRetour)),"Dispensé (EPP récent)",IF($V113&gt;DateRef,"À prévoir à la reprise","À proposer (reprise passée)")))))</f>
        <v/>
      </c>
      <c r="X113" s="40"/>
      <c r="Y113" s="43" t="str">
        <f aca="false">IF(OR($B113="",$X113=""),"",EDATE($X113,DelaiMiCarriere))</f>
        <v/>
      </c>
      <c r="Z113" s="42" t="str">
        <f aca="false">IF(OR($B113="",$X113=""),"",IF(AND($I113&lt;&gt;"",$I113&lt;=DateRef),"",IF(AND($N113&lt;&gt;"",$N113&gt;=$X113),"Réalisé",IF($Y113&lt;DateRef,"En retard","À planifier"))))</f>
        <v/>
      </c>
      <c r="AA113" s="47" t="str">
        <f aca="false">IF(OR($B113="",$G113=""),"",IF($G113&gt;DateRef,"",DATEDIF($G113,DateRef,"y")))</f>
        <v/>
      </c>
      <c r="AB113" s="43" t="str">
        <f aca="false">IF(OR($B113="",$G113=""),"",EDATE($G113,AgeFinCarriere*12))</f>
        <v/>
      </c>
      <c r="AC113" s="42" t="str">
        <f aca="false">IF(OR($B113="",$G113="",$H113=""),"",IF(AND($I113&lt;&gt;"",$I113&lt;=DateRef),"",IF($AB113&lt;DateVigueur,"Non concerné",IF(AND($N113&lt;&gt;"",$N113&gt;=MAX(EDATE($AB113,-FenetreFinCarriere*12),DateVigueur),$N113&lt;=$AB113),"Réalisé",IF(DateRef&gt;$AB113,"Non réalisé",IF(AND($Q113&lt;&gt;"",$Q113&gt;=EDATE($AB113,-FenetreFinCarriere*12),$Q113&lt;=$AB113),"Planifié dans la fenêtre",IF(AND(MAX($P113,DateRef)&gt;=EDATE($AB113,-FenetreFinCarriere*12),MAX($P113,DateRef)&lt;=$AB113),"Prochain EPP dans la fenêtre",IF(MAX($P113,DateRef)&gt;$AB113,"À programmer avant 60 ans",""))))))))</f>
        <v/>
      </c>
      <c r="AD113" s="40"/>
      <c r="AE113" s="43" t="str">
        <f aca="false">IF(OR($B113="",$H113="",AND($I113&lt;&gt;"",$I113&lt;=DateRef)),"",MAX($H113,$AD113,IF($A113="",0,SUMPRODUCT(MAX((Journal!$A$6:$A$1005=$A113)*((Journal!$D$6:$D$1005=TypeEDL)+(Journal!$D$6:$D$1005=TypeBilan6))*Journal!$C$6:$C$1005)))))</f>
        <v/>
      </c>
      <c r="AF113" s="43" t="str">
        <f aca="false">IF($AE113="","",IF(AND(ReglesTransitoires="Oui",EDATE($AE113,AnciennePeriodiciteEDL*12)&lt;DateVigueur),EDATE($AE113,AnciennePeriodiciteEDL*12),EDATE($AE113,PeriodiciteEDL*12)))</f>
        <v/>
      </c>
      <c r="AG113" s="42" t="str">
        <f aca="false">IF($AF113="","",IF(AND($I113&lt;&gt;"",$I113&lt;=DateRef),"",IF($AF113&lt;DateRef,"En retard",IF($AF113-DateRef&lt;=SeuilAlerteEDL,"À prévoir","À jour"))))</f>
        <v/>
      </c>
      <c r="AH113" s="39"/>
      <c r="AI113" s="39"/>
      <c r="AJ113" s="42" t="str">
        <f aca="false">IF(OR($B113="",$H113=""),"",IF(AND($I113&lt;&gt;"",$I113&lt;=DateRef),"",IF(Effectif&lt;SeuilEffectif,"Non concerné (&lt; "&amp;SeuilEffectif&amp;" salariés)",IF($AH113="Oui","Pas de risque",IF(AND(OR($AI113="Non",$S113="En retard"),$AH113="Non"),"Risque abondement",IF(OR($AI113="Non",$S113="En retard"),"À vérifier (formation ?)",IF($AI113="Oui","Pas de risque","À compléter")))))))</f>
        <v/>
      </c>
      <c r="AK113" s="39"/>
    </row>
    <row r="114" customFormat="false" ht="15" hidden="false" customHeight="false" outlineLevel="0" collapsed="false">
      <c r="A114" s="39"/>
      <c r="B114" s="39"/>
      <c r="C114" s="39"/>
      <c r="D114" s="39"/>
      <c r="E114" s="39"/>
      <c r="F114" s="39"/>
      <c r="G114" s="40"/>
      <c r="H114" s="40"/>
      <c r="I114" s="40"/>
      <c r="J114" s="41" t="str">
        <f aca="false">IF(OR($B114="",$H114=""),"",IF($H114&gt;DateRef,0,YEARFRAC($H114,DateRef,1)))</f>
        <v/>
      </c>
      <c r="K114" s="42" t="str">
        <f aca="false">IF(OR($B114="",$H114=""),"",IF(EDATE($H114,12)&lt;=DateRef,"Plus d'un an","Moins d'un an"))</f>
        <v/>
      </c>
      <c r="L114" s="40"/>
      <c r="M114" s="43" t="str">
        <f aca="false">IF(OR($B114="",$A114=""),"",IF(SUMPRODUCT(MAX((Journal!$A$6:$A$1005=$A114)*Journal!$C$6:$C$1005))=0,"",SUMPRODUCT(MAX((Journal!$A$6:$A$1005=$A114)*Journal!$C$6:$C$1005))))</f>
        <v/>
      </c>
      <c r="N114" s="43" t="str">
        <f aca="false">IF($B114="","",IF(MAX($L114,$M114)=0,"",MAX($L114,$M114)))</f>
        <v/>
      </c>
      <c r="O114" s="44" t="str">
        <f aca="false">IF(OR($B114="",$H114=""),"",IF($N114="",IF(EDATE($H114,DelaiPremierEPP)&gt;DateRef,"1er EPP (1re année)","Aucun entretien renseigné"),IF(AND(ReglesTransitoires="Oui",EDATE($N114,AnciennePeriodiciteEP*12)&lt;DateVigueur),"Retard antérieur à la réforme","Périodicité "&amp;PeriodiciteEPP&amp;" ans")))</f>
        <v/>
      </c>
      <c r="P114" s="43" t="str">
        <f aca="false">IF(OR($B114="",$H114=""),"",IF($N114="",EDATE($H114,DelaiPremierEPP),IF(AND(ReglesTransitoires="Oui",EDATE($N114,AnciennePeriodiciteEP*12)&lt;DateVigueur),EDATE($N114,AnciennePeriodiciteEP*12),EDATE($N114,PeriodiciteEPP*12))))</f>
        <v/>
      </c>
      <c r="Q114" s="40"/>
      <c r="R114" s="45" t="str">
        <f aca="false">IF(OR($P114="",AND($I114&lt;&gt;"",$I114&lt;=DateRef)),"",$P114-DateRef)</f>
        <v/>
      </c>
      <c r="S114" s="42" t="str">
        <f aca="false">IF($B114="","",IF(AND($I114&lt;&gt;"",$I114&lt;=DateRef),"Sorti",IF($H114="","À compléter",IF(AND($Q114&lt;&gt;"",$Q114&gt;=DateRef,$Q114&lt;=$P114),"Planifié",IF($R114&lt;0,"En retard",IF($R114&lt;=SeuilAlerteEPP,"À planifier","À jour"))))))</f>
        <v/>
      </c>
      <c r="T114" s="46" t="str">
        <f aca="false">IF(OR($B114="",$S114="Sorti"),"",MID(IF($H114=""," | Date d'embauche manquante","")&amp;IF(AND($K114="Plus d'un an",$N114="")," | Précédent entretien à renseigner (ancienneté &gt; 1 an)","")&amp;IF($O114="Retard antérieur à la réforme"," | Ancien délai de 2 ans expiré avant la réforme","")&amp;IF(AND($N114&lt;&gt;"",$H114&lt;&gt;"",$N114&lt;$H114)," | Entretien antérieur à l'embauche ?","")&amp;IF(AND($N114&lt;&gt;"",$N114&gt;DateRef)," | Entretien daté dans le futur ?","")&amp;IF(AND($Q114&lt;&gt;"",$P114&lt;&gt;"",$Q114&gt;$P114)," | Date prévue après l'échéance","")&amp;IF(AND($Q114&lt;&gt;"",$Q114&lt;DateRef,OR($N114="",$N114&lt;$Q114))," | Entretien prévu passé : le consigner au Journal","")&amp;IF(AND($G114&lt;&gt;"",$X114="",YEAR(DateRef)-YEAR($G114)&gt;=AgeMiCarriere-1,YEAR(DateRef)-YEAR($G114)&lt;=AgeMiCarriere+1)," | Visite de mi-carrière à vérifier",""),4,1000))</f>
        <v/>
      </c>
      <c r="U114" s="39"/>
      <c r="V114" s="40"/>
      <c r="W114" s="42" t="str">
        <f aca="false">IF(OR($B114="",$V114=""),"",IF(AND($I114&lt;&gt;"",$I114&lt;=DateRef),"",IF(AND($N114&lt;&gt;"",$N114&gt;=$V114),"Réalisé",IF(AND($N114&lt;&gt;"",$N114&gt;=EDATE($V114,-FenetreRetour)),"Dispensé (EPP récent)",IF($V114&gt;DateRef,"À prévoir à la reprise","À proposer (reprise passée)")))))</f>
        <v/>
      </c>
      <c r="X114" s="40"/>
      <c r="Y114" s="43" t="str">
        <f aca="false">IF(OR($B114="",$X114=""),"",EDATE($X114,DelaiMiCarriere))</f>
        <v/>
      </c>
      <c r="Z114" s="42" t="str">
        <f aca="false">IF(OR($B114="",$X114=""),"",IF(AND($I114&lt;&gt;"",$I114&lt;=DateRef),"",IF(AND($N114&lt;&gt;"",$N114&gt;=$X114),"Réalisé",IF($Y114&lt;DateRef,"En retard","À planifier"))))</f>
        <v/>
      </c>
      <c r="AA114" s="47" t="str">
        <f aca="false">IF(OR($B114="",$G114=""),"",IF($G114&gt;DateRef,"",DATEDIF($G114,DateRef,"y")))</f>
        <v/>
      </c>
      <c r="AB114" s="43" t="str">
        <f aca="false">IF(OR($B114="",$G114=""),"",EDATE($G114,AgeFinCarriere*12))</f>
        <v/>
      </c>
      <c r="AC114" s="42" t="str">
        <f aca="false">IF(OR($B114="",$G114="",$H114=""),"",IF(AND($I114&lt;&gt;"",$I114&lt;=DateRef),"",IF($AB114&lt;DateVigueur,"Non concerné",IF(AND($N114&lt;&gt;"",$N114&gt;=MAX(EDATE($AB114,-FenetreFinCarriere*12),DateVigueur),$N114&lt;=$AB114),"Réalisé",IF(DateRef&gt;$AB114,"Non réalisé",IF(AND($Q114&lt;&gt;"",$Q114&gt;=EDATE($AB114,-FenetreFinCarriere*12),$Q114&lt;=$AB114),"Planifié dans la fenêtre",IF(AND(MAX($P114,DateRef)&gt;=EDATE($AB114,-FenetreFinCarriere*12),MAX($P114,DateRef)&lt;=$AB114),"Prochain EPP dans la fenêtre",IF(MAX($P114,DateRef)&gt;$AB114,"À programmer avant 60 ans",""))))))))</f>
        <v/>
      </c>
      <c r="AD114" s="40"/>
      <c r="AE114" s="43" t="str">
        <f aca="false">IF(OR($B114="",$H114="",AND($I114&lt;&gt;"",$I114&lt;=DateRef)),"",MAX($H114,$AD114,IF($A114="",0,SUMPRODUCT(MAX((Journal!$A$6:$A$1005=$A114)*((Journal!$D$6:$D$1005=TypeEDL)+(Journal!$D$6:$D$1005=TypeBilan6))*Journal!$C$6:$C$1005)))))</f>
        <v/>
      </c>
      <c r="AF114" s="43" t="str">
        <f aca="false">IF($AE114="","",IF(AND(ReglesTransitoires="Oui",EDATE($AE114,AnciennePeriodiciteEDL*12)&lt;DateVigueur),EDATE($AE114,AnciennePeriodiciteEDL*12),EDATE($AE114,PeriodiciteEDL*12)))</f>
        <v/>
      </c>
      <c r="AG114" s="42" t="str">
        <f aca="false">IF($AF114="","",IF(AND($I114&lt;&gt;"",$I114&lt;=DateRef),"",IF($AF114&lt;DateRef,"En retard",IF($AF114-DateRef&lt;=SeuilAlerteEDL,"À prévoir","À jour"))))</f>
        <v/>
      </c>
      <c r="AH114" s="39"/>
      <c r="AI114" s="39"/>
      <c r="AJ114" s="42" t="str">
        <f aca="false">IF(OR($B114="",$H114=""),"",IF(AND($I114&lt;&gt;"",$I114&lt;=DateRef),"",IF(Effectif&lt;SeuilEffectif,"Non concerné (&lt; "&amp;SeuilEffectif&amp;" salariés)",IF($AH114="Oui","Pas de risque",IF(AND(OR($AI114="Non",$S114="En retard"),$AH114="Non"),"Risque abondement",IF(OR($AI114="Non",$S114="En retard"),"À vérifier (formation ?)",IF($AI114="Oui","Pas de risque","À compléter")))))))</f>
        <v/>
      </c>
      <c r="AK114" s="39"/>
    </row>
    <row r="115" customFormat="false" ht="15" hidden="false" customHeight="false" outlineLevel="0" collapsed="false">
      <c r="A115" s="39"/>
      <c r="B115" s="39"/>
      <c r="C115" s="39"/>
      <c r="D115" s="39"/>
      <c r="E115" s="39"/>
      <c r="F115" s="39"/>
      <c r="G115" s="40"/>
      <c r="H115" s="40"/>
      <c r="I115" s="40"/>
      <c r="J115" s="41" t="str">
        <f aca="false">IF(OR($B115="",$H115=""),"",IF($H115&gt;DateRef,0,YEARFRAC($H115,DateRef,1)))</f>
        <v/>
      </c>
      <c r="K115" s="42" t="str">
        <f aca="false">IF(OR($B115="",$H115=""),"",IF(EDATE($H115,12)&lt;=DateRef,"Plus d'un an","Moins d'un an"))</f>
        <v/>
      </c>
      <c r="L115" s="40"/>
      <c r="M115" s="43" t="str">
        <f aca="false">IF(OR($B115="",$A115=""),"",IF(SUMPRODUCT(MAX((Journal!$A$6:$A$1005=$A115)*Journal!$C$6:$C$1005))=0,"",SUMPRODUCT(MAX((Journal!$A$6:$A$1005=$A115)*Journal!$C$6:$C$1005))))</f>
        <v/>
      </c>
      <c r="N115" s="43" t="str">
        <f aca="false">IF($B115="","",IF(MAX($L115,$M115)=0,"",MAX($L115,$M115)))</f>
        <v/>
      </c>
      <c r="O115" s="44" t="str">
        <f aca="false">IF(OR($B115="",$H115=""),"",IF($N115="",IF(EDATE($H115,DelaiPremierEPP)&gt;DateRef,"1er EPP (1re année)","Aucun entretien renseigné"),IF(AND(ReglesTransitoires="Oui",EDATE($N115,AnciennePeriodiciteEP*12)&lt;DateVigueur),"Retard antérieur à la réforme","Périodicité "&amp;PeriodiciteEPP&amp;" ans")))</f>
        <v/>
      </c>
      <c r="P115" s="43" t="str">
        <f aca="false">IF(OR($B115="",$H115=""),"",IF($N115="",EDATE($H115,DelaiPremierEPP),IF(AND(ReglesTransitoires="Oui",EDATE($N115,AnciennePeriodiciteEP*12)&lt;DateVigueur),EDATE($N115,AnciennePeriodiciteEP*12),EDATE($N115,PeriodiciteEPP*12))))</f>
        <v/>
      </c>
      <c r="Q115" s="40"/>
      <c r="R115" s="45" t="str">
        <f aca="false">IF(OR($P115="",AND($I115&lt;&gt;"",$I115&lt;=DateRef)),"",$P115-DateRef)</f>
        <v/>
      </c>
      <c r="S115" s="42" t="str">
        <f aca="false">IF($B115="","",IF(AND($I115&lt;&gt;"",$I115&lt;=DateRef),"Sorti",IF($H115="","À compléter",IF(AND($Q115&lt;&gt;"",$Q115&gt;=DateRef,$Q115&lt;=$P115),"Planifié",IF($R115&lt;0,"En retard",IF($R115&lt;=SeuilAlerteEPP,"À planifier","À jour"))))))</f>
        <v/>
      </c>
      <c r="T115" s="46" t="str">
        <f aca="false">IF(OR($B115="",$S115="Sorti"),"",MID(IF($H115=""," | Date d'embauche manquante","")&amp;IF(AND($K115="Plus d'un an",$N115="")," | Précédent entretien à renseigner (ancienneté &gt; 1 an)","")&amp;IF($O115="Retard antérieur à la réforme"," | Ancien délai de 2 ans expiré avant la réforme","")&amp;IF(AND($N115&lt;&gt;"",$H115&lt;&gt;"",$N115&lt;$H115)," | Entretien antérieur à l'embauche ?","")&amp;IF(AND($N115&lt;&gt;"",$N115&gt;DateRef)," | Entretien daté dans le futur ?","")&amp;IF(AND($Q115&lt;&gt;"",$P115&lt;&gt;"",$Q115&gt;$P115)," | Date prévue après l'échéance","")&amp;IF(AND($Q115&lt;&gt;"",$Q115&lt;DateRef,OR($N115="",$N115&lt;$Q115))," | Entretien prévu passé : le consigner au Journal","")&amp;IF(AND($G115&lt;&gt;"",$X115="",YEAR(DateRef)-YEAR($G115)&gt;=AgeMiCarriere-1,YEAR(DateRef)-YEAR($G115)&lt;=AgeMiCarriere+1)," | Visite de mi-carrière à vérifier",""),4,1000))</f>
        <v/>
      </c>
      <c r="U115" s="39"/>
      <c r="V115" s="40"/>
      <c r="W115" s="42" t="str">
        <f aca="false">IF(OR($B115="",$V115=""),"",IF(AND($I115&lt;&gt;"",$I115&lt;=DateRef),"",IF(AND($N115&lt;&gt;"",$N115&gt;=$V115),"Réalisé",IF(AND($N115&lt;&gt;"",$N115&gt;=EDATE($V115,-FenetreRetour)),"Dispensé (EPP récent)",IF($V115&gt;DateRef,"À prévoir à la reprise","À proposer (reprise passée)")))))</f>
        <v/>
      </c>
      <c r="X115" s="40"/>
      <c r="Y115" s="43" t="str">
        <f aca="false">IF(OR($B115="",$X115=""),"",EDATE($X115,DelaiMiCarriere))</f>
        <v/>
      </c>
      <c r="Z115" s="42" t="str">
        <f aca="false">IF(OR($B115="",$X115=""),"",IF(AND($I115&lt;&gt;"",$I115&lt;=DateRef),"",IF(AND($N115&lt;&gt;"",$N115&gt;=$X115),"Réalisé",IF($Y115&lt;DateRef,"En retard","À planifier"))))</f>
        <v/>
      </c>
      <c r="AA115" s="47" t="str">
        <f aca="false">IF(OR($B115="",$G115=""),"",IF($G115&gt;DateRef,"",DATEDIF($G115,DateRef,"y")))</f>
        <v/>
      </c>
      <c r="AB115" s="43" t="str">
        <f aca="false">IF(OR($B115="",$G115=""),"",EDATE($G115,AgeFinCarriere*12))</f>
        <v/>
      </c>
      <c r="AC115" s="42" t="str">
        <f aca="false">IF(OR($B115="",$G115="",$H115=""),"",IF(AND($I115&lt;&gt;"",$I115&lt;=DateRef),"",IF($AB115&lt;DateVigueur,"Non concerné",IF(AND($N115&lt;&gt;"",$N115&gt;=MAX(EDATE($AB115,-FenetreFinCarriere*12),DateVigueur),$N115&lt;=$AB115),"Réalisé",IF(DateRef&gt;$AB115,"Non réalisé",IF(AND($Q115&lt;&gt;"",$Q115&gt;=EDATE($AB115,-FenetreFinCarriere*12),$Q115&lt;=$AB115),"Planifié dans la fenêtre",IF(AND(MAX($P115,DateRef)&gt;=EDATE($AB115,-FenetreFinCarriere*12),MAX($P115,DateRef)&lt;=$AB115),"Prochain EPP dans la fenêtre",IF(MAX($P115,DateRef)&gt;$AB115,"À programmer avant 60 ans",""))))))))</f>
        <v/>
      </c>
      <c r="AD115" s="40"/>
      <c r="AE115" s="43" t="str">
        <f aca="false">IF(OR($B115="",$H115="",AND($I115&lt;&gt;"",$I115&lt;=DateRef)),"",MAX($H115,$AD115,IF($A115="",0,SUMPRODUCT(MAX((Journal!$A$6:$A$1005=$A115)*((Journal!$D$6:$D$1005=TypeEDL)+(Journal!$D$6:$D$1005=TypeBilan6))*Journal!$C$6:$C$1005)))))</f>
        <v/>
      </c>
      <c r="AF115" s="43" t="str">
        <f aca="false">IF($AE115="","",IF(AND(ReglesTransitoires="Oui",EDATE($AE115,AnciennePeriodiciteEDL*12)&lt;DateVigueur),EDATE($AE115,AnciennePeriodiciteEDL*12),EDATE($AE115,PeriodiciteEDL*12)))</f>
        <v/>
      </c>
      <c r="AG115" s="42" t="str">
        <f aca="false">IF($AF115="","",IF(AND($I115&lt;&gt;"",$I115&lt;=DateRef),"",IF($AF115&lt;DateRef,"En retard",IF($AF115-DateRef&lt;=SeuilAlerteEDL,"À prévoir","À jour"))))</f>
        <v/>
      </c>
      <c r="AH115" s="39"/>
      <c r="AI115" s="39"/>
      <c r="AJ115" s="42" t="str">
        <f aca="false">IF(OR($B115="",$H115=""),"",IF(AND($I115&lt;&gt;"",$I115&lt;=DateRef),"",IF(Effectif&lt;SeuilEffectif,"Non concerné (&lt; "&amp;SeuilEffectif&amp;" salariés)",IF($AH115="Oui","Pas de risque",IF(AND(OR($AI115="Non",$S115="En retard"),$AH115="Non"),"Risque abondement",IF(OR($AI115="Non",$S115="En retard"),"À vérifier (formation ?)",IF($AI115="Oui","Pas de risque","À compléter")))))))</f>
        <v/>
      </c>
      <c r="AK115" s="39"/>
    </row>
    <row r="116" customFormat="false" ht="15" hidden="false" customHeight="false" outlineLevel="0" collapsed="false">
      <c r="A116" s="39"/>
      <c r="B116" s="39"/>
      <c r="C116" s="39"/>
      <c r="D116" s="39"/>
      <c r="E116" s="39"/>
      <c r="F116" s="39"/>
      <c r="G116" s="40"/>
      <c r="H116" s="40"/>
      <c r="I116" s="40"/>
      <c r="J116" s="41" t="str">
        <f aca="false">IF(OR($B116="",$H116=""),"",IF($H116&gt;DateRef,0,YEARFRAC($H116,DateRef,1)))</f>
        <v/>
      </c>
      <c r="K116" s="42" t="str">
        <f aca="false">IF(OR($B116="",$H116=""),"",IF(EDATE($H116,12)&lt;=DateRef,"Plus d'un an","Moins d'un an"))</f>
        <v/>
      </c>
      <c r="L116" s="40"/>
      <c r="M116" s="43" t="str">
        <f aca="false">IF(OR($B116="",$A116=""),"",IF(SUMPRODUCT(MAX((Journal!$A$6:$A$1005=$A116)*Journal!$C$6:$C$1005))=0,"",SUMPRODUCT(MAX((Journal!$A$6:$A$1005=$A116)*Journal!$C$6:$C$1005))))</f>
        <v/>
      </c>
      <c r="N116" s="43" t="str">
        <f aca="false">IF($B116="","",IF(MAX($L116,$M116)=0,"",MAX($L116,$M116)))</f>
        <v/>
      </c>
      <c r="O116" s="44" t="str">
        <f aca="false">IF(OR($B116="",$H116=""),"",IF($N116="",IF(EDATE($H116,DelaiPremierEPP)&gt;DateRef,"1er EPP (1re année)","Aucun entretien renseigné"),IF(AND(ReglesTransitoires="Oui",EDATE($N116,AnciennePeriodiciteEP*12)&lt;DateVigueur),"Retard antérieur à la réforme","Périodicité "&amp;PeriodiciteEPP&amp;" ans")))</f>
        <v/>
      </c>
      <c r="P116" s="43" t="str">
        <f aca="false">IF(OR($B116="",$H116=""),"",IF($N116="",EDATE($H116,DelaiPremierEPP),IF(AND(ReglesTransitoires="Oui",EDATE($N116,AnciennePeriodiciteEP*12)&lt;DateVigueur),EDATE($N116,AnciennePeriodiciteEP*12),EDATE($N116,PeriodiciteEPP*12))))</f>
        <v/>
      </c>
      <c r="Q116" s="40"/>
      <c r="R116" s="45" t="str">
        <f aca="false">IF(OR($P116="",AND($I116&lt;&gt;"",$I116&lt;=DateRef)),"",$P116-DateRef)</f>
        <v/>
      </c>
      <c r="S116" s="42" t="str">
        <f aca="false">IF($B116="","",IF(AND($I116&lt;&gt;"",$I116&lt;=DateRef),"Sorti",IF($H116="","À compléter",IF(AND($Q116&lt;&gt;"",$Q116&gt;=DateRef,$Q116&lt;=$P116),"Planifié",IF($R116&lt;0,"En retard",IF($R116&lt;=SeuilAlerteEPP,"À planifier","À jour"))))))</f>
        <v/>
      </c>
      <c r="T116" s="46" t="str">
        <f aca="false">IF(OR($B116="",$S116="Sorti"),"",MID(IF($H116=""," | Date d'embauche manquante","")&amp;IF(AND($K116="Plus d'un an",$N116="")," | Précédent entretien à renseigner (ancienneté &gt; 1 an)","")&amp;IF($O116="Retard antérieur à la réforme"," | Ancien délai de 2 ans expiré avant la réforme","")&amp;IF(AND($N116&lt;&gt;"",$H116&lt;&gt;"",$N116&lt;$H116)," | Entretien antérieur à l'embauche ?","")&amp;IF(AND($N116&lt;&gt;"",$N116&gt;DateRef)," | Entretien daté dans le futur ?","")&amp;IF(AND($Q116&lt;&gt;"",$P116&lt;&gt;"",$Q116&gt;$P116)," | Date prévue après l'échéance","")&amp;IF(AND($Q116&lt;&gt;"",$Q116&lt;DateRef,OR($N116="",$N116&lt;$Q116))," | Entretien prévu passé : le consigner au Journal","")&amp;IF(AND($G116&lt;&gt;"",$X116="",YEAR(DateRef)-YEAR($G116)&gt;=AgeMiCarriere-1,YEAR(DateRef)-YEAR($G116)&lt;=AgeMiCarriere+1)," | Visite de mi-carrière à vérifier",""),4,1000))</f>
        <v/>
      </c>
      <c r="U116" s="39"/>
      <c r="V116" s="40"/>
      <c r="W116" s="42" t="str">
        <f aca="false">IF(OR($B116="",$V116=""),"",IF(AND($I116&lt;&gt;"",$I116&lt;=DateRef),"",IF(AND($N116&lt;&gt;"",$N116&gt;=$V116),"Réalisé",IF(AND($N116&lt;&gt;"",$N116&gt;=EDATE($V116,-FenetreRetour)),"Dispensé (EPP récent)",IF($V116&gt;DateRef,"À prévoir à la reprise","À proposer (reprise passée)")))))</f>
        <v/>
      </c>
      <c r="X116" s="40"/>
      <c r="Y116" s="43" t="str">
        <f aca="false">IF(OR($B116="",$X116=""),"",EDATE($X116,DelaiMiCarriere))</f>
        <v/>
      </c>
      <c r="Z116" s="42" t="str">
        <f aca="false">IF(OR($B116="",$X116=""),"",IF(AND($I116&lt;&gt;"",$I116&lt;=DateRef),"",IF(AND($N116&lt;&gt;"",$N116&gt;=$X116),"Réalisé",IF($Y116&lt;DateRef,"En retard","À planifier"))))</f>
        <v/>
      </c>
      <c r="AA116" s="47" t="str">
        <f aca="false">IF(OR($B116="",$G116=""),"",IF($G116&gt;DateRef,"",DATEDIF($G116,DateRef,"y")))</f>
        <v/>
      </c>
      <c r="AB116" s="43" t="str">
        <f aca="false">IF(OR($B116="",$G116=""),"",EDATE($G116,AgeFinCarriere*12))</f>
        <v/>
      </c>
      <c r="AC116" s="42" t="str">
        <f aca="false">IF(OR($B116="",$G116="",$H116=""),"",IF(AND($I116&lt;&gt;"",$I116&lt;=DateRef),"",IF($AB116&lt;DateVigueur,"Non concerné",IF(AND($N116&lt;&gt;"",$N116&gt;=MAX(EDATE($AB116,-FenetreFinCarriere*12),DateVigueur),$N116&lt;=$AB116),"Réalisé",IF(DateRef&gt;$AB116,"Non réalisé",IF(AND($Q116&lt;&gt;"",$Q116&gt;=EDATE($AB116,-FenetreFinCarriere*12),$Q116&lt;=$AB116),"Planifié dans la fenêtre",IF(AND(MAX($P116,DateRef)&gt;=EDATE($AB116,-FenetreFinCarriere*12),MAX($P116,DateRef)&lt;=$AB116),"Prochain EPP dans la fenêtre",IF(MAX($P116,DateRef)&gt;$AB116,"À programmer avant 60 ans",""))))))))</f>
        <v/>
      </c>
      <c r="AD116" s="40"/>
      <c r="AE116" s="43" t="str">
        <f aca="false">IF(OR($B116="",$H116="",AND($I116&lt;&gt;"",$I116&lt;=DateRef)),"",MAX($H116,$AD116,IF($A116="",0,SUMPRODUCT(MAX((Journal!$A$6:$A$1005=$A116)*((Journal!$D$6:$D$1005=TypeEDL)+(Journal!$D$6:$D$1005=TypeBilan6))*Journal!$C$6:$C$1005)))))</f>
        <v/>
      </c>
      <c r="AF116" s="43" t="str">
        <f aca="false">IF($AE116="","",IF(AND(ReglesTransitoires="Oui",EDATE($AE116,AnciennePeriodiciteEDL*12)&lt;DateVigueur),EDATE($AE116,AnciennePeriodiciteEDL*12),EDATE($AE116,PeriodiciteEDL*12)))</f>
        <v/>
      </c>
      <c r="AG116" s="42" t="str">
        <f aca="false">IF($AF116="","",IF(AND($I116&lt;&gt;"",$I116&lt;=DateRef),"",IF($AF116&lt;DateRef,"En retard",IF($AF116-DateRef&lt;=SeuilAlerteEDL,"À prévoir","À jour"))))</f>
        <v/>
      </c>
      <c r="AH116" s="39"/>
      <c r="AI116" s="39"/>
      <c r="AJ116" s="42" t="str">
        <f aca="false">IF(OR($B116="",$H116=""),"",IF(AND($I116&lt;&gt;"",$I116&lt;=DateRef),"",IF(Effectif&lt;SeuilEffectif,"Non concerné (&lt; "&amp;SeuilEffectif&amp;" salariés)",IF($AH116="Oui","Pas de risque",IF(AND(OR($AI116="Non",$S116="En retard"),$AH116="Non"),"Risque abondement",IF(OR($AI116="Non",$S116="En retard"),"À vérifier (formation ?)",IF($AI116="Oui","Pas de risque","À compléter")))))))</f>
        <v/>
      </c>
      <c r="AK116" s="39"/>
    </row>
    <row r="117" customFormat="false" ht="15" hidden="false" customHeight="false" outlineLevel="0" collapsed="false">
      <c r="A117" s="39"/>
      <c r="B117" s="39"/>
      <c r="C117" s="39"/>
      <c r="D117" s="39"/>
      <c r="E117" s="39"/>
      <c r="F117" s="39"/>
      <c r="G117" s="40"/>
      <c r="H117" s="40"/>
      <c r="I117" s="40"/>
      <c r="J117" s="41" t="str">
        <f aca="false">IF(OR($B117="",$H117=""),"",IF($H117&gt;DateRef,0,YEARFRAC($H117,DateRef,1)))</f>
        <v/>
      </c>
      <c r="K117" s="42" t="str">
        <f aca="false">IF(OR($B117="",$H117=""),"",IF(EDATE($H117,12)&lt;=DateRef,"Plus d'un an","Moins d'un an"))</f>
        <v/>
      </c>
      <c r="L117" s="40"/>
      <c r="M117" s="43" t="str">
        <f aca="false">IF(OR($B117="",$A117=""),"",IF(SUMPRODUCT(MAX((Journal!$A$6:$A$1005=$A117)*Journal!$C$6:$C$1005))=0,"",SUMPRODUCT(MAX((Journal!$A$6:$A$1005=$A117)*Journal!$C$6:$C$1005))))</f>
        <v/>
      </c>
      <c r="N117" s="43" t="str">
        <f aca="false">IF($B117="","",IF(MAX($L117,$M117)=0,"",MAX($L117,$M117)))</f>
        <v/>
      </c>
      <c r="O117" s="44" t="str">
        <f aca="false">IF(OR($B117="",$H117=""),"",IF($N117="",IF(EDATE($H117,DelaiPremierEPP)&gt;DateRef,"1er EPP (1re année)","Aucun entretien renseigné"),IF(AND(ReglesTransitoires="Oui",EDATE($N117,AnciennePeriodiciteEP*12)&lt;DateVigueur),"Retard antérieur à la réforme","Périodicité "&amp;PeriodiciteEPP&amp;" ans")))</f>
        <v/>
      </c>
      <c r="P117" s="43" t="str">
        <f aca="false">IF(OR($B117="",$H117=""),"",IF($N117="",EDATE($H117,DelaiPremierEPP),IF(AND(ReglesTransitoires="Oui",EDATE($N117,AnciennePeriodiciteEP*12)&lt;DateVigueur),EDATE($N117,AnciennePeriodiciteEP*12),EDATE($N117,PeriodiciteEPP*12))))</f>
        <v/>
      </c>
      <c r="Q117" s="40"/>
      <c r="R117" s="45" t="str">
        <f aca="false">IF(OR($P117="",AND($I117&lt;&gt;"",$I117&lt;=DateRef)),"",$P117-DateRef)</f>
        <v/>
      </c>
      <c r="S117" s="42" t="str">
        <f aca="false">IF($B117="","",IF(AND($I117&lt;&gt;"",$I117&lt;=DateRef),"Sorti",IF($H117="","À compléter",IF(AND($Q117&lt;&gt;"",$Q117&gt;=DateRef,$Q117&lt;=$P117),"Planifié",IF($R117&lt;0,"En retard",IF($R117&lt;=SeuilAlerteEPP,"À planifier","À jour"))))))</f>
        <v/>
      </c>
      <c r="T117" s="46" t="str">
        <f aca="false">IF(OR($B117="",$S117="Sorti"),"",MID(IF($H117=""," | Date d'embauche manquante","")&amp;IF(AND($K117="Plus d'un an",$N117="")," | Précédent entretien à renseigner (ancienneté &gt; 1 an)","")&amp;IF($O117="Retard antérieur à la réforme"," | Ancien délai de 2 ans expiré avant la réforme","")&amp;IF(AND($N117&lt;&gt;"",$H117&lt;&gt;"",$N117&lt;$H117)," | Entretien antérieur à l'embauche ?","")&amp;IF(AND($N117&lt;&gt;"",$N117&gt;DateRef)," | Entretien daté dans le futur ?","")&amp;IF(AND($Q117&lt;&gt;"",$P117&lt;&gt;"",$Q117&gt;$P117)," | Date prévue après l'échéance","")&amp;IF(AND($Q117&lt;&gt;"",$Q117&lt;DateRef,OR($N117="",$N117&lt;$Q117))," | Entretien prévu passé : le consigner au Journal","")&amp;IF(AND($G117&lt;&gt;"",$X117="",YEAR(DateRef)-YEAR($G117)&gt;=AgeMiCarriere-1,YEAR(DateRef)-YEAR($G117)&lt;=AgeMiCarriere+1)," | Visite de mi-carrière à vérifier",""),4,1000))</f>
        <v/>
      </c>
      <c r="U117" s="39"/>
      <c r="V117" s="40"/>
      <c r="W117" s="42" t="str">
        <f aca="false">IF(OR($B117="",$V117=""),"",IF(AND($I117&lt;&gt;"",$I117&lt;=DateRef),"",IF(AND($N117&lt;&gt;"",$N117&gt;=$V117),"Réalisé",IF(AND($N117&lt;&gt;"",$N117&gt;=EDATE($V117,-FenetreRetour)),"Dispensé (EPP récent)",IF($V117&gt;DateRef,"À prévoir à la reprise","À proposer (reprise passée)")))))</f>
        <v/>
      </c>
      <c r="X117" s="40"/>
      <c r="Y117" s="43" t="str">
        <f aca="false">IF(OR($B117="",$X117=""),"",EDATE($X117,DelaiMiCarriere))</f>
        <v/>
      </c>
      <c r="Z117" s="42" t="str">
        <f aca="false">IF(OR($B117="",$X117=""),"",IF(AND($I117&lt;&gt;"",$I117&lt;=DateRef),"",IF(AND($N117&lt;&gt;"",$N117&gt;=$X117),"Réalisé",IF($Y117&lt;DateRef,"En retard","À planifier"))))</f>
        <v/>
      </c>
      <c r="AA117" s="47" t="str">
        <f aca="false">IF(OR($B117="",$G117=""),"",IF($G117&gt;DateRef,"",DATEDIF($G117,DateRef,"y")))</f>
        <v/>
      </c>
      <c r="AB117" s="43" t="str">
        <f aca="false">IF(OR($B117="",$G117=""),"",EDATE($G117,AgeFinCarriere*12))</f>
        <v/>
      </c>
      <c r="AC117" s="42" t="str">
        <f aca="false">IF(OR($B117="",$G117="",$H117=""),"",IF(AND($I117&lt;&gt;"",$I117&lt;=DateRef),"",IF($AB117&lt;DateVigueur,"Non concerné",IF(AND($N117&lt;&gt;"",$N117&gt;=MAX(EDATE($AB117,-FenetreFinCarriere*12),DateVigueur),$N117&lt;=$AB117),"Réalisé",IF(DateRef&gt;$AB117,"Non réalisé",IF(AND($Q117&lt;&gt;"",$Q117&gt;=EDATE($AB117,-FenetreFinCarriere*12),$Q117&lt;=$AB117),"Planifié dans la fenêtre",IF(AND(MAX($P117,DateRef)&gt;=EDATE($AB117,-FenetreFinCarriere*12),MAX($P117,DateRef)&lt;=$AB117),"Prochain EPP dans la fenêtre",IF(MAX($P117,DateRef)&gt;$AB117,"À programmer avant 60 ans",""))))))))</f>
        <v/>
      </c>
      <c r="AD117" s="40"/>
      <c r="AE117" s="43" t="str">
        <f aca="false">IF(OR($B117="",$H117="",AND($I117&lt;&gt;"",$I117&lt;=DateRef)),"",MAX($H117,$AD117,IF($A117="",0,SUMPRODUCT(MAX((Journal!$A$6:$A$1005=$A117)*((Journal!$D$6:$D$1005=TypeEDL)+(Journal!$D$6:$D$1005=TypeBilan6))*Journal!$C$6:$C$1005)))))</f>
        <v/>
      </c>
      <c r="AF117" s="43" t="str">
        <f aca="false">IF($AE117="","",IF(AND(ReglesTransitoires="Oui",EDATE($AE117,AnciennePeriodiciteEDL*12)&lt;DateVigueur),EDATE($AE117,AnciennePeriodiciteEDL*12),EDATE($AE117,PeriodiciteEDL*12)))</f>
        <v/>
      </c>
      <c r="AG117" s="42" t="str">
        <f aca="false">IF($AF117="","",IF(AND($I117&lt;&gt;"",$I117&lt;=DateRef),"",IF($AF117&lt;DateRef,"En retard",IF($AF117-DateRef&lt;=SeuilAlerteEDL,"À prévoir","À jour"))))</f>
        <v/>
      </c>
      <c r="AH117" s="39"/>
      <c r="AI117" s="39"/>
      <c r="AJ117" s="42" t="str">
        <f aca="false">IF(OR($B117="",$H117=""),"",IF(AND($I117&lt;&gt;"",$I117&lt;=DateRef),"",IF(Effectif&lt;SeuilEffectif,"Non concerné (&lt; "&amp;SeuilEffectif&amp;" salariés)",IF($AH117="Oui","Pas de risque",IF(AND(OR($AI117="Non",$S117="En retard"),$AH117="Non"),"Risque abondement",IF(OR($AI117="Non",$S117="En retard"),"À vérifier (formation ?)",IF($AI117="Oui","Pas de risque","À compléter")))))))</f>
        <v/>
      </c>
      <c r="AK117" s="39"/>
    </row>
    <row r="118" customFormat="false" ht="15" hidden="false" customHeight="false" outlineLevel="0" collapsed="false">
      <c r="A118" s="39"/>
      <c r="B118" s="39"/>
      <c r="C118" s="39"/>
      <c r="D118" s="39"/>
      <c r="E118" s="39"/>
      <c r="F118" s="39"/>
      <c r="G118" s="40"/>
      <c r="H118" s="40"/>
      <c r="I118" s="40"/>
      <c r="J118" s="41" t="str">
        <f aca="false">IF(OR($B118="",$H118=""),"",IF($H118&gt;DateRef,0,YEARFRAC($H118,DateRef,1)))</f>
        <v/>
      </c>
      <c r="K118" s="42" t="str">
        <f aca="false">IF(OR($B118="",$H118=""),"",IF(EDATE($H118,12)&lt;=DateRef,"Plus d'un an","Moins d'un an"))</f>
        <v/>
      </c>
      <c r="L118" s="40"/>
      <c r="M118" s="43" t="str">
        <f aca="false">IF(OR($B118="",$A118=""),"",IF(SUMPRODUCT(MAX((Journal!$A$6:$A$1005=$A118)*Journal!$C$6:$C$1005))=0,"",SUMPRODUCT(MAX((Journal!$A$6:$A$1005=$A118)*Journal!$C$6:$C$1005))))</f>
        <v/>
      </c>
      <c r="N118" s="43" t="str">
        <f aca="false">IF($B118="","",IF(MAX($L118,$M118)=0,"",MAX($L118,$M118)))</f>
        <v/>
      </c>
      <c r="O118" s="44" t="str">
        <f aca="false">IF(OR($B118="",$H118=""),"",IF($N118="",IF(EDATE($H118,DelaiPremierEPP)&gt;DateRef,"1er EPP (1re année)","Aucun entretien renseigné"),IF(AND(ReglesTransitoires="Oui",EDATE($N118,AnciennePeriodiciteEP*12)&lt;DateVigueur),"Retard antérieur à la réforme","Périodicité "&amp;PeriodiciteEPP&amp;" ans")))</f>
        <v/>
      </c>
      <c r="P118" s="43" t="str">
        <f aca="false">IF(OR($B118="",$H118=""),"",IF($N118="",EDATE($H118,DelaiPremierEPP),IF(AND(ReglesTransitoires="Oui",EDATE($N118,AnciennePeriodiciteEP*12)&lt;DateVigueur),EDATE($N118,AnciennePeriodiciteEP*12),EDATE($N118,PeriodiciteEPP*12))))</f>
        <v/>
      </c>
      <c r="Q118" s="40"/>
      <c r="R118" s="45" t="str">
        <f aca="false">IF(OR($P118="",AND($I118&lt;&gt;"",$I118&lt;=DateRef)),"",$P118-DateRef)</f>
        <v/>
      </c>
      <c r="S118" s="42" t="str">
        <f aca="false">IF($B118="","",IF(AND($I118&lt;&gt;"",$I118&lt;=DateRef),"Sorti",IF($H118="","À compléter",IF(AND($Q118&lt;&gt;"",$Q118&gt;=DateRef,$Q118&lt;=$P118),"Planifié",IF($R118&lt;0,"En retard",IF($R118&lt;=SeuilAlerteEPP,"À planifier","À jour"))))))</f>
        <v/>
      </c>
      <c r="T118" s="46" t="str">
        <f aca="false">IF(OR($B118="",$S118="Sorti"),"",MID(IF($H118=""," | Date d'embauche manquante","")&amp;IF(AND($K118="Plus d'un an",$N118="")," | Précédent entretien à renseigner (ancienneté &gt; 1 an)","")&amp;IF($O118="Retard antérieur à la réforme"," | Ancien délai de 2 ans expiré avant la réforme","")&amp;IF(AND($N118&lt;&gt;"",$H118&lt;&gt;"",$N118&lt;$H118)," | Entretien antérieur à l'embauche ?","")&amp;IF(AND($N118&lt;&gt;"",$N118&gt;DateRef)," | Entretien daté dans le futur ?","")&amp;IF(AND($Q118&lt;&gt;"",$P118&lt;&gt;"",$Q118&gt;$P118)," | Date prévue après l'échéance","")&amp;IF(AND($Q118&lt;&gt;"",$Q118&lt;DateRef,OR($N118="",$N118&lt;$Q118))," | Entretien prévu passé : le consigner au Journal","")&amp;IF(AND($G118&lt;&gt;"",$X118="",YEAR(DateRef)-YEAR($G118)&gt;=AgeMiCarriere-1,YEAR(DateRef)-YEAR($G118)&lt;=AgeMiCarriere+1)," | Visite de mi-carrière à vérifier",""),4,1000))</f>
        <v/>
      </c>
      <c r="U118" s="39"/>
      <c r="V118" s="40"/>
      <c r="W118" s="42" t="str">
        <f aca="false">IF(OR($B118="",$V118=""),"",IF(AND($I118&lt;&gt;"",$I118&lt;=DateRef),"",IF(AND($N118&lt;&gt;"",$N118&gt;=$V118),"Réalisé",IF(AND($N118&lt;&gt;"",$N118&gt;=EDATE($V118,-FenetreRetour)),"Dispensé (EPP récent)",IF($V118&gt;DateRef,"À prévoir à la reprise","À proposer (reprise passée)")))))</f>
        <v/>
      </c>
      <c r="X118" s="40"/>
      <c r="Y118" s="43" t="str">
        <f aca="false">IF(OR($B118="",$X118=""),"",EDATE($X118,DelaiMiCarriere))</f>
        <v/>
      </c>
      <c r="Z118" s="42" t="str">
        <f aca="false">IF(OR($B118="",$X118=""),"",IF(AND($I118&lt;&gt;"",$I118&lt;=DateRef),"",IF(AND($N118&lt;&gt;"",$N118&gt;=$X118),"Réalisé",IF($Y118&lt;DateRef,"En retard","À planifier"))))</f>
        <v/>
      </c>
      <c r="AA118" s="47" t="str">
        <f aca="false">IF(OR($B118="",$G118=""),"",IF($G118&gt;DateRef,"",DATEDIF($G118,DateRef,"y")))</f>
        <v/>
      </c>
      <c r="AB118" s="43" t="str">
        <f aca="false">IF(OR($B118="",$G118=""),"",EDATE($G118,AgeFinCarriere*12))</f>
        <v/>
      </c>
      <c r="AC118" s="42" t="str">
        <f aca="false">IF(OR($B118="",$G118="",$H118=""),"",IF(AND($I118&lt;&gt;"",$I118&lt;=DateRef),"",IF($AB118&lt;DateVigueur,"Non concerné",IF(AND($N118&lt;&gt;"",$N118&gt;=MAX(EDATE($AB118,-FenetreFinCarriere*12),DateVigueur),$N118&lt;=$AB118),"Réalisé",IF(DateRef&gt;$AB118,"Non réalisé",IF(AND($Q118&lt;&gt;"",$Q118&gt;=EDATE($AB118,-FenetreFinCarriere*12),$Q118&lt;=$AB118),"Planifié dans la fenêtre",IF(AND(MAX($P118,DateRef)&gt;=EDATE($AB118,-FenetreFinCarriere*12),MAX($P118,DateRef)&lt;=$AB118),"Prochain EPP dans la fenêtre",IF(MAX($P118,DateRef)&gt;$AB118,"À programmer avant 60 ans",""))))))))</f>
        <v/>
      </c>
      <c r="AD118" s="40"/>
      <c r="AE118" s="43" t="str">
        <f aca="false">IF(OR($B118="",$H118="",AND($I118&lt;&gt;"",$I118&lt;=DateRef)),"",MAX($H118,$AD118,IF($A118="",0,SUMPRODUCT(MAX((Journal!$A$6:$A$1005=$A118)*((Journal!$D$6:$D$1005=TypeEDL)+(Journal!$D$6:$D$1005=TypeBilan6))*Journal!$C$6:$C$1005)))))</f>
        <v/>
      </c>
      <c r="AF118" s="43" t="str">
        <f aca="false">IF($AE118="","",IF(AND(ReglesTransitoires="Oui",EDATE($AE118,AnciennePeriodiciteEDL*12)&lt;DateVigueur),EDATE($AE118,AnciennePeriodiciteEDL*12),EDATE($AE118,PeriodiciteEDL*12)))</f>
        <v/>
      </c>
      <c r="AG118" s="42" t="str">
        <f aca="false">IF($AF118="","",IF(AND($I118&lt;&gt;"",$I118&lt;=DateRef),"",IF($AF118&lt;DateRef,"En retard",IF($AF118-DateRef&lt;=SeuilAlerteEDL,"À prévoir","À jour"))))</f>
        <v/>
      </c>
      <c r="AH118" s="39"/>
      <c r="AI118" s="39"/>
      <c r="AJ118" s="42" t="str">
        <f aca="false">IF(OR($B118="",$H118=""),"",IF(AND($I118&lt;&gt;"",$I118&lt;=DateRef),"",IF(Effectif&lt;SeuilEffectif,"Non concerné (&lt; "&amp;SeuilEffectif&amp;" salariés)",IF($AH118="Oui","Pas de risque",IF(AND(OR($AI118="Non",$S118="En retard"),$AH118="Non"),"Risque abondement",IF(OR($AI118="Non",$S118="En retard"),"À vérifier (formation ?)",IF($AI118="Oui","Pas de risque","À compléter")))))))</f>
        <v/>
      </c>
      <c r="AK118" s="39"/>
    </row>
    <row r="119" customFormat="false" ht="15" hidden="false" customHeight="false" outlineLevel="0" collapsed="false">
      <c r="A119" s="39"/>
      <c r="B119" s="39"/>
      <c r="C119" s="39"/>
      <c r="D119" s="39"/>
      <c r="E119" s="39"/>
      <c r="F119" s="39"/>
      <c r="G119" s="40"/>
      <c r="H119" s="40"/>
      <c r="I119" s="40"/>
      <c r="J119" s="41" t="str">
        <f aca="false">IF(OR($B119="",$H119=""),"",IF($H119&gt;DateRef,0,YEARFRAC($H119,DateRef,1)))</f>
        <v/>
      </c>
      <c r="K119" s="42" t="str">
        <f aca="false">IF(OR($B119="",$H119=""),"",IF(EDATE($H119,12)&lt;=DateRef,"Plus d'un an","Moins d'un an"))</f>
        <v/>
      </c>
      <c r="L119" s="40"/>
      <c r="M119" s="43" t="str">
        <f aca="false">IF(OR($B119="",$A119=""),"",IF(SUMPRODUCT(MAX((Journal!$A$6:$A$1005=$A119)*Journal!$C$6:$C$1005))=0,"",SUMPRODUCT(MAX((Journal!$A$6:$A$1005=$A119)*Journal!$C$6:$C$1005))))</f>
        <v/>
      </c>
      <c r="N119" s="43" t="str">
        <f aca="false">IF($B119="","",IF(MAX($L119,$M119)=0,"",MAX($L119,$M119)))</f>
        <v/>
      </c>
      <c r="O119" s="44" t="str">
        <f aca="false">IF(OR($B119="",$H119=""),"",IF($N119="",IF(EDATE($H119,DelaiPremierEPP)&gt;DateRef,"1er EPP (1re année)","Aucun entretien renseigné"),IF(AND(ReglesTransitoires="Oui",EDATE($N119,AnciennePeriodiciteEP*12)&lt;DateVigueur),"Retard antérieur à la réforme","Périodicité "&amp;PeriodiciteEPP&amp;" ans")))</f>
        <v/>
      </c>
      <c r="P119" s="43" t="str">
        <f aca="false">IF(OR($B119="",$H119=""),"",IF($N119="",EDATE($H119,DelaiPremierEPP),IF(AND(ReglesTransitoires="Oui",EDATE($N119,AnciennePeriodiciteEP*12)&lt;DateVigueur),EDATE($N119,AnciennePeriodiciteEP*12),EDATE($N119,PeriodiciteEPP*12))))</f>
        <v/>
      </c>
      <c r="Q119" s="40"/>
      <c r="R119" s="45" t="str">
        <f aca="false">IF(OR($P119="",AND($I119&lt;&gt;"",$I119&lt;=DateRef)),"",$P119-DateRef)</f>
        <v/>
      </c>
      <c r="S119" s="42" t="str">
        <f aca="false">IF($B119="","",IF(AND($I119&lt;&gt;"",$I119&lt;=DateRef),"Sorti",IF($H119="","À compléter",IF(AND($Q119&lt;&gt;"",$Q119&gt;=DateRef,$Q119&lt;=$P119),"Planifié",IF($R119&lt;0,"En retard",IF($R119&lt;=SeuilAlerteEPP,"À planifier","À jour"))))))</f>
        <v/>
      </c>
      <c r="T119" s="46" t="str">
        <f aca="false">IF(OR($B119="",$S119="Sorti"),"",MID(IF($H119=""," | Date d'embauche manquante","")&amp;IF(AND($K119="Plus d'un an",$N119="")," | Précédent entretien à renseigner (ancienneté &gt; 1 an)","")&amp;IF($O119="Retard antérieur à la réforme"," | Ancien délai de 2 ans expiré avant la réforme","")&amp;IF(AND($N119&lt;&gt;"",$H119&lt;&gt;"",$N119&lt;$H119)," | Entretien antérieur à l'embauche ?","")&amp;IF(AND($N119&lt;&gt;"",$N119&gt;DateRef)," | Entretien daté dans le futur ?","")&amp;IF(AND($Q119&lt;&gt;"",$P119&lt;&gt;"",$Q119&gt;$P119)," | Date prévue après l'échéance","")&amp;IF(AND($Q119&lt;&gt;"",$Q119&lt;DateRef,OR($N119="",$N119&lt;$Q119))," | Entretien prévu passé : le consigner au Journal","")&amp;IF(AND($G119&lt;&gt;"",$X119="",YEAR(DateRef)-YEAR($G119)&gt;=AgeMiCarriere-1,YEAR(DateRef)-YEAR($G119)&lt;=AgeMiCarriere+1)," | Visite de mi-carrière à vérifier",""),4,1000))</f>
        <v/>
      </c>
      <c r="U119" s="39"/>
      <c r="V119" s="40"/>
      <c r="W119" s="42" t="str">
        <f aca="false">IF(OR($B119="",$V119=""),"",IF(AND($I119&lt;&gt;"",$I119&lt;=DateRef),"",IF(AND($N119&lt;&gt;"",$N119&gt;=$V119),"Réalisé",IF(AND($N119&lt;&gt;"",$N119&gt;=EDATE($V119,-FenetreRetour)),"Dispensé (EPP récent)",IF($V119&gt;DateRef,"À prévoir à la reprise","À proposer (reprise passée)")))))</f>
        <v/>
      </c>
      <c r="X119" s="40"/>
      <c r="Y119" s="43" t="str">
        <f aca="false">IF(OR($B119="",$X119=""),"",EDATE($X119,DelaiMiCarriere))</f>
        <v/>
      </c>
      <c r="Z119" s="42" t="str">
        <f aca="false">IF(OR($B119="",$X119=""),"",IF(AND($I119&lt;&gt;"",$I119&lt;=DateRef),"",IF(AND($N119&lt;&gt;"",$N119&gt;=$X119),"Réalisé",IF($Y119&lt;DateRef,"En retard","À planifier"))))</f>
        <v/>
      </c>
      <c r="AA119" s="47" t="str">
        <f aca="false">IF(OR($B119="",$G119=""),"",IF($G119&gt;DateRef,"",DATEDIF($G119,DateRef,"y")))</f>
        <v/>
      </c>
      <c r="AB119" s="43" t="str">
        <f aca="false">IF(OR($B119="",$G119=""),"",EDATE($G119,AgeFinCarriere*12))</f>
        <v/>
      </c>
      <c r="AC119" s="42" t="str">
        <f aca="false">IF(OR($B119="",$G119="",$H119=""),"",IF(AND($I119&lt;&gt;"",$I119&lt;=DateRef),"",IF($AB119&lt;DateVigueur,"Non concerné",IF(AND($N119&lt;&gt;"",$N119&gt;=MAX(EDATE($AB119,-FenetreFinCarriere*12),DateVigueur),$N119&lt;=$AB119),"Réalisé",IF(DateRef&gt;$AB119,"Non réalisé",IF(AND($Q119&lt;&gt;"",$Q119&gt;=EDATE($AB119,-FenetreFinCarriere*12),$Q119&lt;=$AB119),"Planifié dans la fenêtre",IF(AND(MAX($P119,DateRef)&gt;=EDATE($AB119,-FenetreFinCarriere*12),MAX($P119,DateRef)&lt;=$AB119),"Prochain EPP dans la fenêtre",IF(MAX($P119,DateRef)&gt;$AB119,"À programmer avant 60 ans",""))))))))</f>
        <v/>
      </c>
      <c r="AD119" s="40"/>
      <c r="AE119" s="43" t="str">
        <f aca="false">IF(OR($B119="",$H119="",AND($I119&lt;&gt;"",$I119&lt;=DateRef)),"",MAX($H119,$AD119,IF($A119="",0,SUMPRODUCT(MAX((Journal!$A$6:$A$1005=$A119)*((Journal!$D$6:$D$1005=TypeEDL)+(Journal!$D$6:$D$1005=TypeBilan6))*Journal!$C$6:$C$1005)))))</f>
        <v/>
      </c>
      <c r="AF119" s="43" t="str">
        <f aca="false">IF($AE119="","",IF(AND(ReglesTransitoires="Oui",EDATE($AE119,AnciennePeriodiciteEDL*12)&lt;DateVigueur),EDATE($AE119,AnciennePeriodiciteEDL*12),EDATE($AE119,PeriodiciteEDL*12)))</f>
        <v/>
      </c>
      <c r="AG119" s="42" t="str">
        <f aca="false">IF($AF119="","",IF(AND($I119&lt;&gt;"",$I119&lt;=DateRef),"",IF($AF119&lt;DateRef,"En retard",IF($AF119-DateRef&lt;=SeuilAlerteEDL,"À prévoir","À jour"))))</f>
        <v/>
      </c>
      <c r="AH119" s="39"/>
      <c r="AI119" s="39"/>
      <c r="AJ119" s="42" t="str">
        <f aca="false">IF(OR($B119="",$H119=""),"",IF(AND($I119&lt;&gt;"",$I119&lt;=DateRef),"",IF(Effectif&lt;SeuilEffectif,"Non concerné (&lt; "&amp;SeuilEffectif&amp;" salariés)",IF($AH119="Oui","Pas de risque",IF(AND(OR($AI119="Non",$S119="En retard"),$AH119="Non"),"Risque abondement",IF(OR($AI119="Non",$S119="En retard"),"À vérifier (formation ?)",IF($AI119="Oui","Pas de risque","À compléter")))))))</f>
        <v/>
      </c>
      <c r="AK119" s="39"/>
    </row>
    <row r="120" customFormat="false" ht="15" hidden="false" customHeight="false" outlineLevel="0" collapsed="false">
      <c r="A120" s="39"/>
      <c r="B120" s="39"/>
      <c r="C120" s="39"/>
      <c r="D120" s="39"/>
      <c r="E120" s="39"/>
      <c r="F120" s="39"/>
      <c r="G120" s="40"/>
      <c r="H120" s="40"/>
      <c r="I120" s="40"/>
      <c r="J120" s="41" t="str">
        <f aca="false">IF(OR($B120="",$H120=""),"",IF($H120&gt;DateRef,0,YEARFRAC($H120,DateRef,1)))</f>
        <v/>
      </c>
      <c r="K120" s="42" t="str">
        <f aca="false">IF(OR($B120="",$H120=""),"",IF(EDATE($H120,12)&lt;=DateRef,"Plus d'un an","Moins d'un an"))</f>
        <v/>
      </c>
      <c r="L120" s="40"/>
      <c r="M120" s="43" t="str">
        <f aca="false">IF(OR($B120="",$A120=""),"",IF(SUMPRODUCT(MAX((Journal!$A$6:$A$1005=$A120)*Journal!$C$6:$C$1005))=0,"",SUMPRODUCT(MAX((Journal!$A$6:$A$1005=$A120)*Journal!$C$6:$C$1005))))</f>
        <v/>
      </c>
      <c r="N120" s="43" t="str">
        <f aca="false">IF($B120="","",IF(MAX($L120,$M120)=0,"",MAX($L120,$M120)))</f>
        <v/>
      </c>
      <c r="O120" s="44" t="str">
        <f aca="false">IF(OR($B120="",$H120=""),"",IF($N120="",IF(EDATE($H120,DelaiPremierEPP)&gt;DateRef,"1er EPP (1re année)","Aucun entretien renseigné"),IF(AND(ReglesTransitoires="Oui",EDATE($N120,AnciennePeriodiciteEP*12)&lt;DateVigueur),"Retard antérieur à la réforme","Périodicité "&amp;PeriodiciteEPP&amp;" ans")))</f>
        <v/>
      </c>
      <c r="P120" s="43" t="str">
        <f aca="false">IF(OR($B120="",$H120=""),"",IF($N120="",EDATE($H120,DelaiPremierEPP),IF(AND(ReglesTransitoires="Oui",EDATE($N120,AnciennePeriodiciteEP*12)&lt;DateVigueur),EDATE($N120,AnciennePeriodiciteEP*12),EDATE($N120,PeriodiciteEPP*12))))</f>
        <v/>
      </c>
      <c r="Q120" s="40"/>
      <c r="R120" s="45" t="str">
        <f aca="false">IF(OR($P120="",AND($I120&lt;&gt;"",$I120&lt;=DateRef)),"",$P120-DateRef)</f>
        <v/>
      </c>
      <c r="S120" s="42" t="str">
        <f aca="false">IF($B120="","",IF(AND($I120&lt;&gt;"",$I120&lt;=DateRef),"Sorti",IF($H120="","À compléter",IF(AND($Q120&lt;&gt;"",$Q120&gt;=DateRef,$Q120&lt;=$P120),"Planifié",IF($R120&lt;0,"En retard",IF($R120&lt;=SeuilAlerteEPP,"À planifier","À jour"))))))</f>
        <v/>
      </c>
      <c r="T120" s="46" t="str">
        <f aca="false">IF(OR($B120="",$S120="Sorti"),"",MID(IF($H120=""," | Date d'embauche manquante","")&amp;IF(AND($K120="Plus d'un an",$N120="")," | Précédent entretien à renseigner (ancienneté &gt; 1 an)","")&amp;IF($O120="Retard antérieur à la réforme"," | Ancien délai de 2 ans expiré avant la réforme","")&amp;IF(AND($N120&lt;&gt;"",$H120&lt;&gt;"",$N120&lt;$H120)," | Entretien antérieur à l'embauche ?","")&amp;IF(AND($N120&lt;&gt;"",$N120&gt;DateRef)," | Entretien daté dans le futur ?","")&amp;IF(AND($Q120&lt;&gt;"",$P120&lt;&gt;"",$Q120&gt;$P120)," | Date prévue après l'échéance","")&amp;IF(AND($Q120&lt;&gt;"",$Q120&lt;DateRef,OR($N120="",$N120&lt;$Q120))," | Entretien prévu passé : le consigner au Journal","")&amp;IF(AND($G120&lt;&gt;"",$X120="",YEAR(DateRef)-YEAR($G120)&gt;=AgeMiCarriere-1,YEAR(DateRef)-YEAR($G120)&lt;=AgeMiCarriere+1)," | Visite de mi-carrière à vérifier",""),4,1000))</f>
        <v/>
      </c>
      <c r="U120" s="39"/>
      <c r="V120" s="40"/>
      <c r="W120" s="42" t="str">
        <f aca="false">IF(OR($B120="",$V120=""),"",IF(AND($I120&lt;&gt;"",$I120&lt;=DateRef),"",IF(AND($N120&lt;&gt;"",$N120&gt;=$V120),"Réalisé",IF(AND($N120&lt;&gt;"",$N120&gt;=EDATE($V120,-FenetreRetour)),"Dispensé (EPP récent)",IF($V120&gt;DateRef,"À prévoir à la reprise","À proposer (reprise passée)")))))</f>
        <v/>
      </c>
      <c r="X120" s="40"/>
      <c r="Y120" s="43" t="str">
        <f aca="false">IF(OR($B120="",$X120=""),"",EDATE($X120,DelaiMiCarriere))</f>
        <v/>
      </c>
      <c r="Z120" s="42" t="str">
        <f aca="false">IF(OR($B120="",$X120=""),"",IF(AND($I120&lt;&gt;"",$I120&lt;=DateRef),"",IF(AND($N120&lt;&gt;"",$N120&gt;=$X120),"Réalisé",IF($Y120&lt;DateRef,"En retard","À planifier"))))</f>
        <v/>
      </c>
      <c r="AA120" s="47" t="str">
        <f aca="false">IF(OR($B120="",$G120=""),"",IF($G120&gt;DateRef,"",DATEDIF($G120,DateRef,"y")))</f>
        <v/>
      </c>
      <c r="AB120" s="43" t="str">
        <f aca="false">IF(OR($B120="",$G120=""),"",EDATE($G120,AgeFinCarriere*12))</f>
        <v/>
      </c>
      <c r="AC120" s="42" t="str">
        <f aca="false">IF(OR($B120="",$G120="",$H120=""),"",IF(AND($I120&lt;&gt;"",$I120&lt;=DateRef),"",IF($AB120&lt;DateVigueur,"Non concerné",IF(AND($N120&lt;&gt;"",$N120&gt;=MAX(EDATE($AB120,-FenetreFinCarriere*12),DateVigueur),$N120&lt;=$AB120),"Réalisé",IF(DateRef&gt;$AB120,"Non réalisé",IF(AND($Q120&lt;&gt;"",$Q120&gt;=EDATE($AB120,-FenetreFinCarriere*12),$Q120&lt;=$AB120),"Planifié dans la fenêtre",IF(AND(MAX($P120,DateRef)&gt;=EDATE($AB120,-FenetreFinCarriere*12),MAX($P120,DateRef)&lt;=$AB120),"Prochain EPP dans la fenêtre",IF(MAX($P120,DateRef)&gt;$AB120,"À programmer avant 60 ans",""))))))))</f>
        <v/>
      </c>
      <c r="AD120" s="40"/>
      <c r="AE120" s="43" t="str">
        <f aca="false">IF(OR($B120="",$H120="",AND($I120&lt;&gt;"",$I120&lt;=DateRef)),"",MAX($H120,$AD120,IF($A120="",0,SUMPRODUCT(MAX((Journal!$A$6:$A$1005=$A120)*((Journal!$D$6:$D$1005=TypeEDL)+(Journal!$D$6:$D$1005=TypeBilan6))*Journal!$C$6:$C$1005)))))</f>
        <v/>
      </c>
      <c r="AF120" s="43" t="str">
        <f aca="false">IF($AE120="","",IF(AND(ReglesTransitoires="Oui",EDATE($AE120,AnciennePeriodiciteEDL*12)&lt;DateVigueur),EDATE($AE120,AnciennePeriodiciteEDL*12),EDATE($AE120,PeriodiciteEDL*12)))</f>
        <v/>
      </c>
      <c r="AG120" s="42" t="str">
        <f aca="false">IF($AF120="","",IF(AND($I120&lt;&gt;"",$I120&lt;=DateRef),"",IF($AF120&lt;DateRef,"En retard",IF($AF120-DateRef&lt;=SeuilAlerteEDL,"À prévoir","À jour"))))</f>
        <v/>
      </c>
      <c r="AH120" s="39"/>
      <c r="AI120" s="39"/>
      <c r="AJ120" s="42" t="str">
        <f aca="false">IF(OR($B120="",$H120=""),"",IF(AND($I120&lt;&gt;"",$I120&lt;=DateRef),"",IF(Effectif&lt;SeuilEffectif,"Non concerné (&lt; "&amp;SeuilEffectif&amp;" salariés)",IF($AH120="Oui","Pas de risque",IF(AND(OR($AI120="Non",$S120="En retard"),$AH120="Non"),"Risque abondement",IF(OR($AI120="Non",$S120="En retard"),"À vérifier (formation ?)",IF($AI120="Oui","Pas de risque","À compléter")))))))</f>
        <v/>
      </c>
      <c r="AK120" s="39"/>
    </row>
    <row r="121" customFormat="false" ht="15" hidden="false" customHeight="false" outlineLevel="0" collapsed="false">
      <c r="A121" s="39"/>
      <c r="B121" s="39"/>
      <c r="C121" s="39"/>
      <c r="D121" s="39"/>
      <c r="E121" s="39"/>
      <c r="F121" s="39"/>
      <c r="G121" s="40"/>
      <c r="H121" s="40"/>
      <c r="I121" s="40"/>
      <c r="J121" s="41" t="str">
        <f aca="false">IF(OR($B121="",$H121=""),"",IF($H121&gt;DateRef,0,YEARFRAC($H121,DateRef,1)))</f>
        <v/>
      </c>
      <c r="K121" s="42" t="str">
        <f aca="false">IF(OR($B121="",$H121=""),"",IF(EDATE($H121,12)&lt;=DateRef,"Plus d'un an","Moins d'un an"))</f>
        <v/>
      </c>
      <c r="L121" s="40"/>
      <c r="M121" s="43" t="str">
        <f aca="false">IF(OR($B121="",$A121=""),"",IF(SUMPRODUCT(MAX((Journal!$A$6:$A$1005=$A121)*Journal!$C$6:$C$1005))=0,"",SUMPRODUCT(MAX((Journal!$A$6:$A$1005=$A121)*Journal!$C$6:$C$1005))))</f>
        <v/>
      </c>
      <c r="N121" s="43" t="str">
        <f aca="false">IF($B121="","",IF(MAX($L121,$M121)=0,"",MAX($L121,$M121)))</f>
        <v/>
      </c>
      <c r="O121" s="44" t="str">
        <f aca="false">IF(OR($B121="",$H121=""),"",IF($N121="",IF(EDATE($H121,DelaiPremierEPP)&gt;DateRef,"1er EPP (1re année)","Aucun entretien renseigné"),IF(AND(ReglesTransitoires="Oui",EDATE($N121,AnciennePeriodiciteEP*12)&lt;DateVigueur),"Retard antérieur à la réforme","Périodicité "&amp;PeriodiciteEPP&amp;" ans")))</f>
        <v/>
      </c>
      <c r="P121" s="43" t="str">
        <f aca="false">IF(OR($B121="",$H121=""),"",IF($N121="",EDATE($H121,DelaiPremierEPP),IF(AND(ReglesTransitoires="Oui",EDATE($N121,AnciennePeriodiciteEP*12)&lt;DateVigueur),EDATE($N121,AnciennePeriodiciteEP*12),EDATE($N121,PeriodiciteEPP*12))))</f>
        <v/>
      </c>
      <c r="Q121" s="40"/>
      <c r="R121" s="45" t="str">
        <f aca="false">IF(OR($P121="",AND($I121&lt;&gt;"",$I121&lt;=DateRef)),"",$P121-DateRef)</f>
        <v/>
      </c>
      <c r="S121" s="42" t="str">
        <f aca="false">IF($B121="","",IF(AND($I121&lt;&gt;"",$I121&lt;=DateRef),"Sorti",IF($H121="","À compléter",IF(AND($Q121&lt;&gt;"",$Q121&gt;=DateRef,$Q121&lt;=$P121),"Planifié",IF($R121&lt;0,"En retard",IF($R121&lt;=SeuilAlerteEPP,"À planifier","À jour"))))))</f>
        <v/>
      </c>
      <c r="T121" s="46" t="str">
        <f aca="false">IF(OR($B121="",$S121="Sorti"),"",MID(IF($H121=""," | Date d'embauche manquante","")&amp;IF(AND($K121="Plus d'un an",$N121="")," | Précédent entretien à renseigner (ancienneté &gt; 1 an)","")&amp;IF($O121="Retard antérieur à la réforme"," | Ancien délai de 2 ans expiré avant la réforme","")&amp;IF(AND($N121&lt;&gt;"",$H121&lt;&gt;"",$N121&lt;$H121)," | Entretien antérieur à l'embauche ?","")&amp;IF(AND($N121&lt;&gt;"",$N121&gt;DateRef)," | Entretien daté dans le futur ?","")&amp;IF(AND($Q121&lt;&gt;"",$P121&lt;&gt;"",$Q121&gt;$P121)," | Date prévue après l'échéance","")&amp;IF(AND($Q121&lt;&gt;"",$Q121&lt;DateRef,OR($N121="",$N121&lt;$Q121))," | Entretien prévu passé : le consigner au Journal","")&amp;IF(AND($G121&lt;&gt;"",$X121="",YEAR(DateRef)-YEAR($G121)&gt;=AgeMiCarriere-1,YEAR(DateRef)-YEAR($G121)&lt;=AgeMiCarriere+1)," | Visite de mi-carrière à vérifier",""),4,1000))</f>
        <v/>
      </c>
      <c r="U121" s="39"/>
      <c r="V121" s="40"/>
      <c r="W121" s="42" t="str">
        <f aca="false">IF(OR($B121="",$V121=""),"",IF(AND($I121&lt;&gt;"",$I121&lt;=DateRef),"",IF(AND($N121&lt;&gt;"",$N121&gt;=$V121),"Réalisé",IF(AND($N121&lt;&gt;"",$N121&gt;=EDATE($V121,-FenetreRetour)),"Dispensé (EPP récent)",IF($V121&gt;DateRef,"À prévoir à la reprise","À proposer (reprise passée)")))))</f>
        <v/>
      </c>
      <c r="X121" s="40"/>
      <c r="Y121" s="43" t="str">
        <f aca="false">IF(OR($B121="",$X121=""),"",EDATE($X121,DelaiMiCarriere))</f>
        <v/>
      </c>
      <c r="Z121" s="42" t="str">
        <f aca="false">IF(OR($B121="",$X121=""),"",IF(AND($I121&lt;&gt;"",$I121&lt;=DateRef),"",IF(AND($N121&lt;&gt;"",$N121&gt;=$X121),"Réalisé",IF($Y121&lt;DateRef,"En retard","À planifier"))))</f>
        <v/>
      </c>
      <c r="AA121" s="47" t="str">
        <f aca="false">IF(OR($B121="",$G121=""),"",IF($G121&gt;DateRef,"",DATEDIF($G121,DateRef,"y")))</f>
        <v/>
      </c>
      <c r="AB121" s="43" t="str">
        <f aca="false">IF(OR($B121="",$G121=""),"",EDATE($G121,AgeFinCarriere*12))</f>
        <v/>
      </c>
      <c r="AC121" s="42" t="str">
        <f aca="false">IF(OR($B121="",$G121="",$H121=""),"",IF(AND($I121&lt;&gt;"",$I121&lt;=DateRef),"",IF($AB121&lt;DateVigueur,"Non concerné",IF(AND($N121&lt;&gt;"",$N121&gt;=MAX(EDATE($AB121,-FenetreFinCarriere*12),DateVigueur),$N121&lt;=$AB121),"Réalisé",IF(DateRef&gt;$AB121,"Non réalisé",IF(AND($Q121&lt;&gt;"",$Q121&gt;=EDATE($AB121,-FenetreFinCarriere*12),$Q121&lt;=$AB121),"Planifié dans la fenêtre",IF(AND(MAX($P121,DateRef)&gt;=EDATE($AB121,-FenetreFinCarriere*12),MAX($P121,DateRef)&lt;=$AB121),"Prochain EPP dans la fenêtre",IF(MAX($P121,DateRef)&gt;$AB121,"À programmer avant 60 ans",""))))))))</f>
        <v/>
      </c>
      <c r="AD121" s="40"/>
      <c r="AE121" s="43" t="str">
        <f aca="false">IF(OR($B121="",$H121="",AND($I121&lt;&gt;"",$I121&lt;=DateRef)),"",MAX($H121,$AD121,IF($A121="",0,SUMPRODUCT(MAX((Journal!$A$6:$A$1005=$A121)*((Journal!$D$6:$D$1005=TypeEDL)+(Journal!$D$6:$D$1005=TypeBilan6))*Journal!$C$6:$C$1005)))))</f>
        <v/>
      </c>
      <c r="AF121" s="43" t="str">
        <f aca="false">IF($AE121="","",IF(AND(ReglesTransitoires="Oui",EDATE($AE121,AnciennePeriodiciteEDL*12)&lt;DateVigueur),EDATE($AE121,AnciennePeriodiciteEDL*12),EDATE($AE121,PeriodiciteEDL*12)))</f>
        <v/>
      </c>
      <c r="AG121" s="42" t="str">
        <f aca="false">IF($AF121="","",IF(AND($I121&lt;&gt;"",$I121&lt;=DateRef),"",IF($AF121&lt;DateRef,"En retard",IF($AF121-DateRef&lt;=SeuilAlerteEDL,"À prévoir","À jour"))))</f>
        <v/>
      </c>
      <c r="AH121" s="39"/>
      <c r="AI121" s="39"/>
      <c r="AJ121" s="42" t="str">
        <f aca="false">IF(OR($B121="",$H121=""),"",IF(AND($I121&lt;&gt;"",$I121&lt;=DateRef),"",IF(Effectif&lt;SeuilEffectif,"Non concerné (&lt; "&amp;SeuilEffectif&amp;" salariés)",IF($AH121="Oui","Pas de risque",IF(AND(OR($AI121="Non",$S121="En retard"),$AH121="Non"),"Risque abondement",IF(OR($AI121="Non",$S121="En retard"),"À vérifier (formation ?)",IF($AI121="Oui","Pas de risque","À compléter")))))))</f>
        <v/>
      </c>
      <c r="AK121" s="39"/>
    </row>
    <row r="122" customFormat="false" ht="15" hidden="false" customHeight="false" outlineLevel="0" collapsed="false">
      <c r="A122" s="39"/>
      <c r="B122" s="39"/>
      <c r="C122" s="39"/>
      <c r="D122" s="39"/>
      <c r="E122" s="39"/>
      <c r="F122" s="39"/>
      <c r="G122" s="40"/>
      <c r="H122" s="40"/>
      <c r="I122" s="40"/>
      <c r="J122" s="41" t="str">
        <f aca="false">IF(OR($B122="",$H122=""),"",IF($H122&gt;DateRef,0,YEARFRAC($H122,DateRef,1)))</f>
        <v/>
      </c>
      <c r="K122" s="42" t="str">
        <f aca="false">IF(OR($B122="",$H122=""),"",IF(EDATE($H122,12)&lt;=DateRef,"Plus d'un an","Moins d'un an"))</f>
        <v/>
      </c>
      <c r="L122" s="40"/>
      <c r="M122" s="43" t="str">
        <f aca="false">IF(OR($B122="",$A122=""),"",IF(SUMPRODUCT(MAX((Journal!$A$6:$A$1005=$A122)*Journal!$C$6:$C$1005))=0,"",SUMPRODUCT(MAX((Journal!$A$6:$A$1005=$A122)*Journal!$C$6:$C$1005))))</f>
        <v/>
      </c>
      <c r="N122" s="43" t="str">
        <f aca="false">IF($B122="","",IF(MAX($L122,$M122)=0,"",MAX($L122,$M122)))</f>
        <v/>
      </c>
      <c r="O122" s="44" t="str">
        <f aca="false">IF(OR($B122="",$H122=""),"",IF($N122="",IF(EDATE($H122,DelaiPremierEPP)&gt;DateRef,"1er EPP (1re année)","Aucun entretien renseigné"),IF(AND(ReglesTransitoires="Oui",EDATE($N122,AnciennePeriodiciteEP*12)&lt;DateVigueur),"Retard antérieur à la réforme","Périodicité "&amp;PeriodiciteEPP&amp;" ans")))</f>
        <v/>
      </c>
      <c r="P122" s="43" t="str">
        <f aca="false">IF(OR($B122="",$H122=""),"",IF($N122="",EDATE($H122,DelaiPremierEPP),IF(AND(ReglesTransitoires="Oui",EDATE($N122,AnciennePeriodiciteEP*12)&lt;DateVigueur),EDATE($N122,AnciennePeriodiciteEP*12),EDATE($N122,PeriodiciteEPP*12))))</f>
        <v/>
      </c>
      <c r="Q122" s="40"/>
      <c r="R122" s="45" t="str">
        <f aca="false">IF(OR($P122="",AND($I122&lt;&gt;"",$I122&lt;=DateRef)),"",$P122-DateRef)</f>
        <v/>
      </c>
      <c r="S122" s="42" t="str">
        <f aca="false">IF($B122="","",IF(AND($I122&lt;&gt;"",$I122&lt;=DateRef),"Sorti",IF($H122="","À compléter",IF(AND($Q122&lt;&gt;"",$Q122&gt;=DateRef,$Q122&lt;=$P122),"Planifié",IF($R122&lt;0,"En retard",IF($R122&lt;=SeuilAlerteEPP,"À planifier","À jour"))))))</f>
        <v/>
      </c>
      <c r="T122" s="46" t="str">
        <f aca="false">IF(OR($B122="",$S122="Sorti"),"",MID(IF($H122=""," | Date d'embauche manquante","")&amp;IF(AND($K122="Plus d'un an",$N122="")," | Précédent entretien à renseigner (ancienneté &gt; 1 an)","")&amp;IF($O122="Retard antérieur à la réforme"," | Ancien délai de 2 ans expiré avant la réforme","")&amp;IF(AND($N122&lt;&gt;"",$H122&lt;&gt;"",$N122&lt;$H122)," | Entretien antérieur à l'embauche ?","")&amp;IF(AND($N122&lt;&gt;"",$N122&gt;DateRef)," | Entretien daté dans le futur ?","")&amp;IF(AND($Q122&lt;&gt;"",$P122&lt;&gt;"",$Q122&gt;$P122)," | Date prévue après l'échéance","")&amp;IF(AND($Q122&lt;&gt;"",$Q122&lt;DateRef,OR($N122="",$N122&lt;$Q122))," | Entretien prévu passé : le consigner au Journal","")&amp;IF(AND($G122&lt;&gt;"",$X122="",YEAR(DateRef)-YEAR($G122)&gt;=AgeMiCarriere-1,YEAR(DateRef)-YEAR($G122)&lt;=AgeMiCarriere+1)," | Visite de mi-carrière à vérifier",""),4,1000))</f>
        <v/>
      </c>
      <c r="U122" s="39"/>
      <c r="V122" s="40"/>
      <c r="W122" s="42" t="str">
        <f aca="false">IF(OR($B122="",$V122=""),"",IF(AND($I122&lt;&gt;"",$I122&lt;=DateRef),"",IF(AND($N122&lt;&gt;"",$N122&gt;=$V122),"Réalisé",IF(AND($N122&lt;&gt;"",$N122&gt;=EDATE($V122,-FenetreRetour)),"Dispensé (EPP récent)",IF($V122&gt;DateRef,"À prévoir à la reprise","À proposer (reprise passée)")))))</f>
        <v/>
      </c>
      <c r="X122" s="40"/>
      <c r="Y122" s="43" t="str">
        <f aca="false">IF(OR($B122="",$X122=""),"",EDATE($X122,DelaiMiCarriere))</f>
        <v/>
      </c>
      <c r="Z122" s="42" t="str">
        <f aca="false">IF(OR($B122="",$X122=""),"",IF(AND($I122&lt;&gt;"",$I122&lt;=DateRef),"",IF(AND($N122&lt;&gt;"",$N122&gt;=$X122),"Réalisé",IF($Y122&lt;DateRef,"En retard","À planifier"))))</f>
        <v/>
      </c>
      <c r="AA122" s="47" t="str">
        <f aca="false">IF(OR($B122="",$G122=""),"",IF($G122&gt;DateRef,"",DATEDIF($G122,DateRef,"y")))</f>
        <v/>
      </c>
      <c r="AB122" s="43" t="str">
        <f aca="false">IF(OR($B122="",$G122=""),"",EDATE($G122,AgeFinCarriere*12))</f>
        <v/>
      </c>
      <c r="AC122" s="42" t="str">
        <f aca="false">IF(OR($B122="",$G122="",$H122=""),"",IF(AND($I122&lt;&gt;"",$I122&lt;=DateRef),"",IF($AB122&lt;DateVigueur,"Non concerné",IF(AND($N122&lt;&gt;"",$N122&gt;=MAX(EDATE($AB122,-FenetreFinCarriere*12),DateVigueur),$N122&lt;=$AB122),"Réalisé",IF(DateRef&gt;$AB122,"Non réalisé",IF(AND($Q122&lt;&gt;"",$Q122&gt;=EDATE($AB122,-FenetreFinCarriere*12),$Q122&lt;=$AB122),"Planifié dans la fenêtre",IF(AND(MAX($P122,DateRef)&gt;=EDATE($AB122,-FenetreFinCarriere*12),MAX($P122,DateRef)&lt;=$AB122),"Prochain EPP dans la fenêtre",IF(MAX($P122,DateRef)&gt;$AB122,"À programmer avant 60 ans",""))))))))</f>
        <v/>
      </c>
      <c r="AD122" s="40"/>
      <c r="AE122" s="43" t="str">
        <f aca="false">IF(OR($B122="",$H122="",AND($I122&lt;&gt;"",$I122&lt;=DateRef)),"",MAX($H122,$AD122,IF($A122="",0,SUMPRODUCT(MAX((Journal!$A$6:$A$1005=$A122)*((Journal!$D$6:$D$1005=TypeEDL)+(Journal!$D$6:$D$1005=TypeBilan6))*Journal!$C$6:$C$1005)))))</f>
        <v/>
      </c>
      <c r="AF122" s="43" t="str">
        <f aca="false">IF($AE122="","",IF(AND(ReglesTransitoires="Oui",EDATE($AE122,AnciennePeriodiciteEDL*12)&lt;DateVigueur),EDATE($AE122,AnciennePeriodiciteEDL*12),EDATE($AE122,PeriodiciteEDL*12)))</f>
        <v/>
      </c>
      <c r="AG122" s="42" t="str">
        <f aca="false">IF($AF122="","",IF(AND($I122&lt;&gt;"",$I122&lt;=DateRef),"",IF($AF122&lt;DateRef,"En retard",IF($AF122-DateRef&lt;=SeuilAlerteEDL,"À prévoir","À jour"))))</f>
        <v/>
      </c>
      <c r="AH122" s="39"/>
      <c r="AI122" s="39"/>
      <c r="AJ122" s="42" t="str">
        <f aca="false">IF(OR($B122="",$H122=""),"",IF(AND($I122&lt;&gt;"",$I122&lt;=DateRef),"",IF(Effectif&lt;SeuilEffectif,"Non concerné (&lt; "&amp;SeuilEffectif&amp;" salariés)",IF($AH122="Oui","Pas de risque",IF(AND(OR($AI122="Non",$S122="En retard"),$AH122="Non"),"Risque abondement",IF(OR($AI122="Non",$S122="En retard"),"À vérifier (formation ?)",IF($AI122="Oui","Pas de risque","À compléter")))))))</f>
        <v/>
      </c>
      <c r="AK122" s="39"/>
    </row>
    <row r="123" customFormat="false" ht="15" hidden="false" customHeight="false" outlineLevel="0" collapsed="false">
      <c r="A123" s="39"/>
      <c r="B123" s="39"/>
      <c r="C123" s="39"/>
      <c r="D123" s="39"/>
      <c r="E123" s="39"/>
      <c r="F123" s="39"/>
      <c r="G123" s="40"/>
      <c r="H123" s="40"/>
      <c r="I123" s="40"/>
      <c r="J123" s="41" t="str">
        <f aca="false">IF(OR($B123="",$H123=""),"",IF($H123&gt;DateRef,0,YEARFRAC($H123,DateRef,1)))</f>
        <v/>
      </c>
      <c r="K123" s="42" t="str">
        <f aca="false">IF(OR($B123="",$H123=""),"",IF(EDATE($H123,12)&lt;=DateRef,"Plus d'un an","Moins d'un an"))</f>
        <v/>
      </c>
      <c r="L123" s="40"/>
      <c r="M123" s="43" t="str">
        <f aca="false">IF(OR($B123="",$A123=""),"",IF(SUMPRODUCT(MAX((Journal!$A$6:$A$1005=$A123)*Journal!$C$6:$C$1005))=0,"",SUMPRODUCT(MAX((Journal!$A$6:$A$1005=$A123)*Journal!$C$6:$C$1005))))</f>
        <v/>
      </c>
      <c r="N123" s="43" t="str">
        <f aca="false">IF($B123="","",IF(MAX($L123,$M123)=0,"",MAX($L123,$M123)))</f>
        <v/>
      </c>
      <c r="O123" s="44" t="str">
        <f aca="false">IF(OR($B123="",$H123=""),"",IF($N123="",IF(EDATE($H123,DelaiPremierEPP)&gt;DateRef,"1er EPP (1re année)","Aucun entretien renseigné"),IF(AND(ReglesTransitoires="Oui",EDATE($N123,AnciennePeriodiciteEP*12)&lt;DateVigueur),"Retard antérieur à la réforme","Périodicité "&amp;PeriodiciteEPP&amp;" ans")))</f>
        <v/>
      </c>
      <c r="P123" s="43" t="str">
        <f aca="false">IF(OR($B123="",$H123=""),"",IF($N123="",EDATE($H123,DelaiPremierEPP),IF(AND(ReglesTransitoires="Oui",EDATE($N123,AnciennePeriodiciteEP*12)&lt;DateVigueur),EDATE($N123,AnciennePeriodiciteEP*12),EDATE($N123,PeriodiciteEPP*12))))</f>
        <v/>
      </c>
      <c r="Q123" s="40"/>
      <c r="R123" s="45" t="str">
        <f aca="false">IF(OR($P123="",AND($I123&lt;&gt;"",$I123&lt;=DateRef)),"",$P123-DateRef)</f>
        <v/>
      </c>
      <c r="S123" s="42" t="str">
        <f aca="false">IF($B123="","",IF(AND($I123&lt;&gt;"",$I123&lt;=DateRef),"Sorti",IF($H123="","À compléter",IF(AND($Q123&lt;&gt;"",$Q123&gt;=DateRef,$Q123&lt;=$P123),"Planifié",IF($R123&lt;0,"En retard",IF($R123&lt;=SeuilAlerteEPP,"À planifier","À jour"))))))</f>
        <v/>
      </c>
      <c r="T123" s="46" t="str">
        <f aca="false">IF(OR($B123="",$S123="Sorti"),"",MID(IF($H123=""," | Date d'embauche manquante","")&amp;IF(AND($K123="Plus d'un an",$N123="")," | Précédent entretien à renseigner (ancienneté &gt; 1 an)","")&amp;IF($O123="Retard antérieur à la réforme"," | Ancien délai de 2 ans expiré avant la réforme","")&amp;IF(AND($N123&lt;&gt;"",$H123&lt;&gt;"",$N123&lt;$H123)," | Entretien antérieur à l'embauche ?","")&amp;IF(AND($N123&lt;&gt;"",$N123&gt;DateRef)," | Entretien daté dans le futur ?","")&amp;IF(AND($Q123&lt;&gt;"",$P123&lt;&gt;"",$Q123&gt;$P123)," | Date prévue après l'échéance","")&amp;IF(AND($Q123&lt;&gt;"",$Q123&lt;DateRef,OR($N123="",$N123&lt;$Q123))," | Entretien prévu passé : le consigner au Journal","")&amp;IF(AND($G123&lt;&gt;"",$X123="",YEAR(DateRef)-YEAR($G123)&gt;=AgeMiCarriere-1,YEAR(DateRef)-YEAR($G123)&lt;=AgeMiCarriere+1)," | Visite de mi-carrière à vérifier",""),4,1000))</f>
        <v/>
      </c>
      <c r="U123" s="39"/>
      <c r="V123" s="40"/>
      <c r="W123" s="42" t="str">
        <f aca="false">IF(OR($B123="",$V123=""),"",IF(AND($I123&lt;&gt;"",$I123&lt;=DateRef),"",IF(AND($N123&lt;&gt;"",$N123&gt;=$V123),"Réalisé",IF(AND($N123&lt;&gt;"",$N123&gt;=EDATE($V123,-FenetreRetour)),"Dispensé (EPP récent)",IF($V123&gt;DateRef,"À prévoir à la reprise","À proposer (reprise passée)")))))</f>
        <v/>
      </c>
      <c r="X123" s="40"/>
      <c r="Y123" s="43" t="str">
        <f aca="false">IF(OR($B123="",$X123=""),"",EDATE($X123,DelaiMiCarriere))</f>
        <v/>
      </c>
      <c r="Z123" s="42" t="str">
        <f aca="false">IF(OR($B123="",$X123=""),"",IF(AND($I123&lt;&gt;"",$I123&lt;=DateRef),"",IF(AND($N123&lt;&gt;"",$N123&gt;=$X123),"Réalisé",IF($Y123&lt;DateRef,"En retard","À planifier"))))</f>
        <v/>
      </c>
      <c r="AA123" s="47" t="str">
        <f aca="false">IF(OR($B123="",$G123=""),"",IF($G123&gt;DateRef,"",DATEDIF($G123,DateRef,"y")))</f>
        <v/>
      </c>
      <c r="AB123" s="43" t="str">
        <f aca="false">IF(OR($B123="",$G123=""),"",EDATE($G123,AgeFinCarriere*12))</f>
        <v/>
      </c>
      <c r="AC123" s="42" t="str">
        <f aca="false">IF(OR($B123="",$G123="",$H123=""),"",IF(AND($I123&lt;&gt;"",$I123&lt;=DateRef),"",IF($AB123&lt;DateVigueur,"Non concerné",IF(AND($N123&lt;&gt;"",$N123&gt;=MAX(EDATE($AB123,-FenetreFinCarriere*12),DateVigueur),$N123&lt;=$AB123),"Réalisé",IF(DateRef&gt;$AB123,"Non réalisé",IF(AND($Q123&lt;&gt;"",$Q123&gt;=EDATE($AB123,-FenetreFinCarriere*12),$Q123&lt;=$AB123),"Planifié dans la fenêtre",IF(AND(MAX($P123,DateRef)&gt;=EDATE($AB123,-FenetreFinCarriere*12),MAX($P123,DateRef)&lt;=$AB123),"Prochain EPP dans la fenêtre",IF(MAX($P123,DateRef)&gt;$AB123,"À programmer avant 60 ans",""))))))))</f>
        <v/>
      </c>
      <c r="AD123" s="40"/>
      <c r="AE123" s="43" t="str">
        <f aca="false">IF(OR($B123="",$H123="",AND($I123&lt;&gt;"",$I123&lt;=DateRef)),"",MAX($H123,$AD123,IF($A123="",0,SUMPRODUCT(MAX((Journal!$A$6:$A$1005=$A123)*((Journal!$D$6:$D$1005=TypeEDL)+(Journal!$D$6:$D$1005=TypeBilan6))*Journal!$C$6:$C$1005)))))</f>
        <v/>
      </c>
      <c r="AF123" s="43" t="str">
        <f aca="false">IF($AE123="","",IF(AND(ReglesTransitoires="Oui",EDATE($AE123,AnciennePeriodiciteEDL*12)&lt;DateVigueur),EDATE($AE123,AnciennePeriodiciteEDL*12),EDATE($AE123,PeriodiciteEDL*12)))</f>
        <v/>
      </c>
      <c r="AG123" s="42" t="str">
        <f aca="false">IF($AF123="","",IF(AND($I123&lt;&gt;"",$I123&lt;=DateRef),"",IF($AF123&lt;DateRef,"En retard",IF($AF123-DateRef&lt;=SeuilAlerteEDL,"À prévoir","À jour"))))</f>
        <v/>
      </c>
      <c r="AH123" s="39"/>
      <c r="AI123" s="39"/>
      <c r="AJ123" s="42" t="str">
        <f aca="false">IF(OR($B123="",$H123=""),"",IF(AND($I123&lt;&gt;"",$I123&lt;=DateRef),"",IF(Effectif&lt;SeuilEffectif,"Non concerné (&lt; "&amp;SeuilEffectif&amp;" salariés)",IF($AH123="Oui","Pas de risque",IF(AND(OR($AI123="Non",$S123="En retard"),$AH123="Non"),"Risque abondement",IF(OR($AI123="Non",$S123="En retard"),"À vérifier (formation ?)",IF($AI123="Oui","Pas de risque","À compléter")))))))</f>
        <v/>
      </c>
      <c r="AK123" s="39"/>
    </row>
    <row r="124" customFormat="false" ht="15" hidden="false" customHeight="false" outlineLevel="0" collapsed="false">
      <c r="A124" s="39"/>
      <c r="B124" s="39"/>
      <c r="C124" s="39"/>
      <c r="D124" s="39"/>
      <c r="E124" s="39"/>
      <c r="F124" s="39"/>
      <c r="G124" s="40"/>
      <c r="H124" s="40"/>
      <c r="I124" s="40"/>
      <c r="J124" s="41" t="str">
        <f aca="false">IF(OR($B124="",$H124=""),"",IF($H124&gt;DateRef,0,YEARFRAC($H124,DateRef,1)))</f>
        <v/>
      </c>
      <c r="K124" s="42" t="str">
        <f aca="false">IF(OR($B124="",$H124=""),"",IF(EDATE($H124,12)&lt;=DateRef,"Plus d'un an","Moins d'un an"))</f>
        <v/>
      </c>
      <c r="L124" s="40"/>
      <c r="M124" s="43" t="str">
        <f aca="false">IF(OR($B124="",$A124=""),"",IF(SUMPRODUCT(MAX((Journal!$A$6:$A$1005=$A124)*Journal!$C$6:$C$1005))=0,"",SUMPRODUCT(MAX((Journal!$A$6:$A$1005=$A124)*Journal!$C$6:$C$1005))))</f>
        <v/>
      </c>
      <c r="N124" s="43" t="str">
        <f aca="false">IF($B124="","",IF(MAX($L124,$M124)=0,"",MAX($L124,$M124)))</f>
        <v/>
      </c>
      <c r="O124" s="44" t="str">
        <f aca="false">IF(OR($B124="",$H124=""),"",IF($N124="",IF(EDATE($H124,DelaiPremierEPP)&gt;DateRef,"1er EPP (1re année)","Aucun entretien renseigné"),IF(AND(ReglesTransitoires="Oui",EDATE($N124,AnciennePeriodiciteEP*12)&lt;DateVigueur),"Retard antérieur à la réforme","Périodicité "&amp;PeriodiciteEPP&amp;" ans")))</f>
        <v/>
      </c>
      <c r="P124" s="43" t="str">
        <f aca="false">IF(OR($B124="",$H124=""),"",IF($N124="",EDATE($H124,DelaiPremierEPP),IF(AND(ReglesTransitoires="Oui",EDATE($N124,AnciennePeriodiciteEP*12)&lt;DateVigueur),EDATE($N124,AnciennePeriodiciteEP*12),EDATE($N124,PeriodiciteEPP*12))))</f>
        <v/>
      </c>
      <c r="Q124" s="40"/>
      <c r="R124" s="45" t="str">
        <f aca="false">IF(OR($P124="",AND($I124&lt;&gt;"",$I124&lt;=DateRef)),"",$P124-DateRef)</f>
        <v/>
      </c>
      <c r="S124" s="42" t="str">
        <f aca="false">IF($B124="","",IF(AND($I124&lt;&gt;"",$I124&lt;=DateRef),"Sorti",IF($H124="","À compléter",IF(AND($Q124&lt;&gt;"",$Q124&gt;=DateRef,$Q124&lt;=$P124),"Planifié",IF($R124&lt;0,"En retard",IF($R124&lt;=SeuilAlerteEPP,"À planifier","À jour"))))))</f>
        <v/>
      </c>
      <c r="T124" s="46" t="str">
        <f aca="false">IF(OR($B124="",$S124="Sorti"),"",MID(IF($H124=""," | Date d'embauche manquante","")&amp;IF(AND($K124="Plus d'un an",$N124="")," | Précédent entretien à renseigner (ancienneté &gt; 1 an)","")&amp;IF($O124="Retard antérieur à la réforme"," | Ancien délai de 2 ans expiré avant la réforme","")&amp;IF(AND($N124&lt;&gt;"",$H124&lt;&gt;"",$N124&lt;$H124)," | Entretien antérieur à l'embauche ?","")&amp;IF(AND($N124&lt;&gt;"",$N124&gt;DateRef)," | Entretien daté dans le futur ?","")&amp;IF(AND($Q124&lt;&gt;"",$P124&lt;&gt;"",$Q124&gt;$P124)," | Date prévue après l'échéance","")&amp;IF(AND($Q124&lt;&gt;"",$Q124&lt;DateRef,OR($N124="",$N124&lt;$Q124))," | Entretien prévu passé : le consigner au Journal","")&amp;IF(AND($G124&lt;&gt;"",$X124="",YEAR(DateRef)-YEAR($G124)&gt;=AgeMiCarriere-1,YEAR(DateRef)-YEAR($G124)&lt;=AgeMiCarriere+1)," | Visite de mi-carrière à vérifier",""),4,1000))</f>
        <v/>
      </c>
      <c r="U124" s="39"/>
      <c r="V124" s="40"/>
      <c r="W124" s="42" t="str">
        <f aca="false">IF(OR($B124="",$V124=""),"",IF(AND($I124&lt;&gt;"",$I124&lt;=DateRef),"",IF(AND($N124&lt;&gt;"",$N124&gt;=$V124),"Réalisé",IF(AND($N124&lt;&gt;"",$N124&gt;=EDATE($V124,-FenetreRetour)),"Dispensé (EPP récent)",IF($V124&gt;DateRef,"À prévoir à la reprise","À proposer (reprise passée)")))))</f>
        <v/>
      </c>
      <c r="X124" s="40"/>
      <c r="Y124" s="43" t="str">
        <f aca="false">IF(OR($B124="",$X124=""),"",EDATE($X124,DelaiMiCarriere))</f>
        <v/>
      </c>
      <c r="Z124" s="42" t="str">
        <f aca="false">IF(OR($B124="",$X124=""),"",IF(AND($I124&lt;&gt;"",$I124&lt;=DateRef),"",IF(AND($N124&lt;&gt;"",$N124&gt;=$X124),"Réalisé",IF($Y124&lt;DateRef,"En retard","À planifier"))))</f>
        <v/>
      </c>
      <c r="AA124" s="47" t="str">
        <f aca="false">IF(OR($B124="",$G124=""),"",IF($G124&gt;DateRef,"",DATEDIF($G124,DateRef,"y")))</f>
        <v/>
      </c>
      <c r="AB124" s="43" t="str">
        <f aca="false">IF(OR($B124="",$G124=""),"",EDATE($G124,AgeFinCarriere*12))</f>
        <v/>
      </c>
      <c r="AC124" s="42" t="str">
        <f aca="false">IF(OR($B124="",$G124="",$H124=""),"",IF(AND($I124&lt;&gt;"",$I124&lt;=DateRef),"",IF($AB124&lt;DateVigueur,"Non concerné",IF(AND($N124&lt;&gt;"",$N124&gt;=MAX(EDATE($AB124,-FenetreFinCarriere*12),DateVigueur),$N124&lt;=$AB124),"Réalisé",IF(DateRef&gt;$AB124,"Non réalisé",IF(AND($Q124&lt;&gt;"",$Q124&gt;=EDATE($AB124,-FenetreFinCarriere*12),$Q124&lt;=$AB124),"Planifié dans la fenêtre",IF(AND(MAX($P124,DateRef)&gt;=EDATE($AB124,-FenetreFinCarriere*12),MAX($P124,DateRef)&lt;=$AB124),"Prochain EPP dans la fenêtre",IF(MAX($P124,DateRef)&gt;$AB124,"À programmer avant 60 ans",""))))))))</f>
        <v/>
      </c>
      <c r="AD124" s="40"/>
      <c r="AE124" s="43" t="str">
        <f aca="false">IF(OR($B124="",$H124="",AND($I124&lt;&gt;"",$I124&lt;=DateRef)),"",MAX($H124,$AD124,IF($A124="",0,SUMPRODUCT(MAX((Journal!$A$6:$A$1005=$A124)*((Journal!$D$6:$D$1005=TypeEDL)+(Journal!$D$6:$D$1005=TypeBilan6))*Journal!$C$6:$C$1005)))))</f>
        <v/>
      </c>
      <c r="AF124" s="43" t="str">
        <f aca="false">IF($AE124="","",IF(AND(ReglesTransitoires="Oui",EDATE($AE124,AnciennePeriodiciteEDL*12)&lt;DateVigueur),EDATE($AE124,AnciennePeriodiciteEDL*12),EDATE($AE124,PeriodiciteEDL*12)))</f>
        <v/>
      </c>
      <c r="AG124" s="42" t="str">
        <f aca="false">IF($AF124="","",IF(AND($I124&lt;&gt;"",$I124&lt;=DateRef),"",IF($AF124&lt;DateRef,"En retard",IF($AF124-DateRef&lt;=SeuilAlerteEDL,"À prévoir","À jour"))))</f>
        <v/>
      </c>
      <c r="AH124" s="39"/>
      <c r="AI124" s="39"/>
      <c r="AJ124" s="42" t="str">
        <f aca="false">IF(OR($B124="",$H124=""),"",IF(AND($I124&lt;&gt;"",$I124&lt;=DateRef),"",IF(Effectif&lt;SeuilEffectif,"Non concerné (&lt; "&amp;SeuilEffectif&amp;" salariés)",IF($AH124="Oui","Pas de risque",IF(AND(OR($AI124="Non",$S124="En retard"),$AH124="Non"),"Risque abondement",IF(OR($AI124="Non",$S124="En retard"),"À vérifier (formation ?)",IF($AI124="Oui","Pas de risque","À compléter")))))))</f>
        <v/>
      </c>
      <c r="AK124" s="39"/>
    </row>
    <row r="125" customFormat="false" ht="15" hidden="false" customHeight="false" outlineLevel="0" collapsed="false">
      <c r="A125" s="39"/>
      <c r="B125" s="39"/>
      <c r="C125" s="39"/>
      <c r="D125" s="39"/>
      <c r="E125" s="39"/>
      <c r="F125" s="39"/>
      <c r="G125" s="40"/>
      <c r="H125" s="40"/>
      <c r="I125" s="40"/>
      <c r="J125" s="41" t="str">
        <f aca="false">IF(OR($B125="",$H125=""),"",IF($H125&gt;DateRef,0,YEARFRAC($H125,DateRef,1)))</f>
        <v/>
      </c>
      <c r="K125" s="42" t="str">
        <f aca="false">IF(OR($B125="",$H125=""),"",IF(EDATE($H125,12)&lt;=DateRef,"Plus d'un an","Moins d'un an"))</f>
        <v/>
      </c>
      <c r="L125" s="40"/>
      <c r="M125" s="43" t="str">
        <f aca="false">IF(OR($B125="",$A125=""),"",IF(SUMPRODUCT(MAX((Journal!$A$6:$A$1005=$A125)*Journal!$C$6:$C$1005))=0,"",SUMPRODUCT(MAX((Journal!$A$6:$A$1005=$A125)*Journal!$C$6:$C$1005))))</f>
        <v/>
      </c>
      <c r="N125" s="43" t="str">
        <f aca="false">IF($B125="","",IF(MAX($L125,$M125)=0,"",MAX($L125,$M125)))</f>
        <v/>
      </c>
      <c r="O125" s="44" t="str">
        <f aca="false">IF(OR($B125="",$H125=""),"",IF($N125="",IF(EDATE($H125,DelaiPremierEPP)&gt;DateRef,"1er EPP (1re année)","Aucun entretien renseigné"),IF(AND(ReglesTransitoires="Oui",EDATE($N125,AnciennePeriodiciteEP*12)&lt;DateVigueur),"Retard antérieur à la réforme","Périodicité "&amp;PeriodiciteEPP&amp;" ans")))</f>
        <v/>
      </c>
      <c r="P125" s="43" t="str">
        <f aca="false">IF(OR($B125="",$H125=""),"",IF($N125="",EDATE($H125,DelaiPremierEPP),IF(AND(ReglesTransitoires="Oui",EDATE($N125,AnciennePeriodiciteEP*12)&lt;DateVigueur),EDATE($N125,AnciennePeriodiciteEP*12),EDATE($N125,PeriodiciteEPP*12))))</f>
        <v/>
      </c>
      <c r="Q125" s="40"/>
      <c r="R125" s="45" t="str">
        <f aca="false">IF(OR($P125="",AND($I125&lt;&gt;"",$I125&lt;=DateRef)),"",$P125-DateRef)</f>
        <v/>
      </c>
      <c r="S125" s="42" t="str">
        <f aca="false">IF($B125="","",IF(AND($I125&lt;&gt;"",$I125&lt;=DateRef),"Sorti",IF($H125="","À compléter",IF(AND($Q125&lt;&gt;"",$Q125&gt;=DateRef,$Q125&lt;=$P125),"Planifié",IF($R125&lt;0,"En retard",IF($R125&lt;=SeuilAlerteEPP,"À planifier","À jour"))))))</f>
        <v/>
      </c>
      <c r="T125" s="46" t="str">
        <f aca="false">IF(OR($B125="",$S125="Sorti"),"",MID(IF($H125=""," | Date d'embauche manquante","")&amp;IF(AND($K125="Plus d'un an",$N125="")," | Précédent entretien à renseigner (ancienneté &gt; 1 an)","")&amp;IF($O125="Retard antérieur à la réforme"," | Ancien délai de 2 ans expiré avant la réforme","")&amp;IF(AND($N125&lt;&gt;"",$H125&lt;&gt;"",$N125&lt;$H125)," | Entretien antérieur à l'embauche ?","")&amp;IF(AND($N125&lt;&gt;"",$N125&gt;DateRef)," | Entretien daté dans le futur ?","")&amp;IF(AND($Q125&lt;&gt;"",$P125&lt;&gt;"",$Q125&gt;$P125)," | Date prévue après l'échéance","")&amp;IF(AND($Q125&lt;&gt;"",$Q125&lt;DateRef,OR($N125="",$N125&lt;$Q125))," | Entretien prévu passé : le consigner au Journal","")&amp;IF(AND($G125&lt;&gt;"",$X125="",YEAR(DateRef)-YEAR($G125)&gt;=AgeMiCarriere-1,YEAR(DateRef)-YEAR($G125)&lt;=AgeMiCarriere+1)," | Visite de mi-carrière à vérifier",""),4,1000))</f>
        <v/>
      </c>
      <c r="U125" s="39"/>
      <c r="V125" s="40"/>
      <c r="W125" s="42" t="str">
        <f aca="false">IF(OR($B125="",$V125=""),"",IF(AND($I125&lt;&gt;"",$I125&lt;=DateRef),"",IF(AND($N125&lt;&gt;"",$N125&gt;=$V125),"Réalisé",IF(AND($N125&lt;&gt;"",$N125&gt;=EDATE($V125,-FenetreRetour)),"Dispensé (EPP récent)",IF($V125&gt;DateRef,"À prévoir à la reprise","À proposer (reprise passée)")))))</f>
        <v/>
      </c>
      <c r="X125" s="40"/>
      <c r="Y125" s="43" t="str">
        <f aca="false">IF(OR($B125="",$X125=""),"",EDATE($X125,DelaiMiCarriere))</f>
        <v/>
      </c>
      <c r="Z125" s="42" t="str">
        <f aca="false">IF(OR($B125="",$X125=""),"",IF(AND($I125&lt;&gt;"",$I125&lt;=DateRef),"",IF(AND($N125&lt;&gt;"",$N125&gt;=$X125),"Réalisé",IF($Y125&lt;DateRef,"En retard","À planifier"))))</f>
        <v/>
      </c>
      <c r="AA125" s="47" t="str">
        <f aca="false">IF(OR($B125="",$G125=""),"",IF($G125&gt;DateRef,"",DATEDIF($G125,DateRef,"y")))</f>
        <v/>
      </c>
      <c r="AB125" s="43" t="str">
        <f aca="false">IF(OR($B125="",$G125=""),"",EDATE($G125,AgeFinCarriere*12))</f>
        <v/>
      </c>
      <c r="AC125" s="42" t="str">
        <f aca="false">IF(OR($B125="",$G125="",$H125=""),"",IF(AND($I125&lt;&gt;"",$I125&lt;=DateRef),"",IF($AB125&lt;DateVigueur,"Non concerné",IF(AND($N125&lt;&gt;"",$N125&gt;=MAX(EDATE($AB125,-FenetreFinCarriere*12),DateVigueur),$N125&lt;=$AB125),"Réalisé",IF(DateRef&gt;$AB125,"Non réalisé",IF(AND($Q125&lt;&gt;"",$Q125&gt;=EDATE($AB125,-FenetreFinCarriere*12),$Q125&lt;=$AB125),"Planifié dans la fenêtre",IF(AND(MAX($P125,DateRef)&gt;=EDATE($AB125,-FenetreFinCarriere*12),MAX($P125,DateRef)&lt;=$AB125),"Prochain EPP dans la fenêtre",IF(MAX($P125,DateRef)&gt;$AB125,"À programmer avant 60 ans",""))))))))</f>
        <v/>
      </c>
      <c r="AD125" s="40"/>
      <c r="AE125" s="43" t="str">
        <f aca="false">IF(OR($B125="",$H125="",AND($I125&lt;&gt;"",$I125&lt;=DateRef)),"",MAX($H125,$AD125,IF($A125="",0,SUMPRODUCT(MAX((Journal!$A$6:$A$1005=$A125)*((Journal!$D$6:$D$1005=TypeEDL)+(Journal!$D$6:$D$1005=TypeBilan6))*Journal!$C$6:$C$1005)))))</f>
        <v/>
      </c>
      <c r="AF125" s="43" t="str">
        <f aca="false">IF($AE125="","",IF(AND(ReglesTransitoires="Oui",EDATE($AE125,AnciennePeriodiciteEDL*12)&lt;DateVigueur),EDATE($AE125,AnciennePeriodiciteEDL*12),EDATE($AE125,PeriodiciteEDL*12)))</f>
        <v/>
      </c>
      <c r="AG125" s="42" t="str">
        <f aca="false">IF($AF125="","",IF(AND($I125&lt;&gt;"",$I125&lt;=DateRef),"",IF($AF125&lt;DateRef,"En retard",IF($AF125-DateRef&lt;=SeuilAlerteEDL,"À prévoir","À jour"))))</f>
        <v/>
      </c>
      <c r="AH125" s="39"/>
      <c r="AI125" s="39"/>
      <c r="AJ125" s="42" t="str">
        <f aca="false">IF(OR($B125="",$H125=""),"",IF(AND($I125&lt;&gt;"",$I125&lt;=DateRef),"",IF(Effectif&lt;SeuilEffectif,"Non concerné (&lt; "&amp;SeuilEffectif&amp;" salariés)",IF($AH125="Oui","Pas de risque",IF(AND(OR($AI125="Non",$S125="En retard"),$AH125="Non"),"Risque abondement",IF(OR($AI125="Non",$S125="En retard"),"À vérifier (formation ?)",IF($AI125="Oui","Pas de risque","À compléter")))))))</f>
        <v/>
      </c>
      <c r="AK125" s="39"/>
    </row>
    <row r="126" customFormat="false" ht="15" hidden="false" customHeight="false" outlineLevel="0" collapsed="false">
      <c r="A126" s="39"/>
      <c r="B126" s="39"/>
      <c r="C126" s="39"/>
      <c r="D126" s="39"/>
      <c r="E126" s="39"/>
      <c r="F126" s="39"/>
      <c r="G126" s="40"/>
      <c r="H126" s="40"/>
      <c r="I126" s="40"/>
      <c r="J126" s="41" t="str">
        <f aca="false">IF(OR($B126="",$H126=""),"",IF($H126&gt;DateRef,0,YEARFRAC($H126,DateRef,1)))</f>
        <v/>
      </c>
      <c r="K126" s="42" t="str">
        <f aca="false">IF(OR($B126="",$H126=""),"",IF(EDATE($H126,12)&lt;=DateRef,"Plus d'un an","Moins d'un an"))</f>
        <v/>
      </c>
      <c r="L126" s="40"/>
      <c r="M126" s="43" t="str">
        <f aca="false">IF(OR($B126="",$A126=""),"",IF(SUMPRODUCT(MAX((Journal!$A$6:$A$1005=$A126)*Journal!$C$6:$C$1005))=0,"",SUMPRODUCT(MAX((Journal!$A$6:$A$1005=$A126)*Journal!$C$6:$C$1005))))</f>
        <v/>
      </c>
      <c r="N126" s="43" t="str">
        <f aca="false">IF($B126="","",IF(MAX($L126,$M126)=0,"",MAX($L126,$M126)))</f>
        <v/>
      </c>
      <c r="O126" s="44" t="str">
        <f aca="false">IF(OR($B126="",$H126=""),"",IF($N126="",IF(EDATE($H126,DelaiPremierEPP)&gt;DateRef,"1er EPP (1re année)","Aucun entretien renseigné"),IF(AND(ReglesTransitoires="Oui",EDATE($N126,AnciennePeriodiciteEP*12)&lt;DateVigueur),"Retard antérieur à la réforme","Périodicité "&amp;PeriodiciteEPP&amp;" ans")))</f>
        <v/>
      </c>
      <c r="P126" s="43" t="str">
        <f aca="false">IF(OR($B126="",$H126=""),"",IF($N126="",EDATE($H126,DelaiPremierEPP),IF(AND(ReglesTransitoires="Oui",EDATE($N126,AnciennePeriodiciteEP*12)&lt;DateVigueur),EDATE($N126,AnciennePeriodiciteEP*12),EDATE($N126,PeriodiciteEPP*12))))</f>
        <v/>
      </c>
      <c r="Q126" s="40"/>
      <c r="R126" s="45" t="str">
        <f aca="false">IF(OR($P126="",AND($I126&lt;&gt;"",$I126&lt;=DateRef)),"",$P126-DateRef)</f>
        <v/>
      </c>
      <c r="S126" s="42" t="str">
        <f aca="false">IF($B126="","",IF(AND($I126&lt;&gt;"",$I126&lt;=DateRef),"Sorti",IF($H126="","À compléter",IF(AND($Q126&lt;&gt;"",$Q126&gt;=DateRef,$Q126&lt;=$P126),"Planifié",IF($R126&lt;0,"En retard",IF($R126&lt;=SeuilAlerteEPP,"À planifier","À jour"))))))</f>
        <v/>
      </c>
      <c r="T126" s="46" t="str">
        <f aca="false">IF(OR($B126="",$S126="Sorti"),"",MID(IF($H126=""," | Date d'embauche manquante","")&amp;IF(AND($K126="Plus d'un an",$N126="")," | Précédent entretien à renseigner (ancienneté &gt; 1 an)","")&amp;IF($O126="Retard antérieur à la réforme"," | Ancien délai de 2 ans expiré avant la réforme","")&amp;IF(AND($N126&lt;&gt;"",$H126&lt;&gt;"",$N126&lt;$H126)," | Entretien antérieur à l'embauche ?","")&amp;IF(AND($N126&lt;&gt;"",$N126&gt;DateRef)," | Entretien daté dans le futur ?","")&amp;IF(AND($Q126&lt;&gt;"",$P126&lt;&gt;"",$Q126&gt;$P126)," | Date prévue après l'échéance","")&amp;IF(AND($Q126&lt;&gt;"",$Q126&lt;DateRef,OR($N126="",$N126&lt;$Q126))," | Entretien prévu passé : le consigner au Journal","")&amp;IF(AND($G126&lt;&gt;"",$X126="",YEAR(DateRef)-YEAR($G126)&gt;=AgeMiCarriere-1,YEAR(DateRef)-YEAR($G126)&lt;=AgeMiCarriere+1)," | Visite de mi-carrière à vérifier",""),4,1000))</f>
        <v/>
      </c>
      <c r="U126" s="39"/>
      <c r="V126" s="40"/>
      <c r="W126" s="42" t="str">
        <f aca="false">IF(OR($B126="",$V126=""),"",IF(AND($I126&lt;&gt;"",$I126&lt;=DateRef),"",IF(AND($N126&lt;&gt;"",$N126&gt;=$V126),"Réalisé",IF(AND($N126&lt;&gt;"",$N126&gt;=EDATE($V126,-FenetreRetour)),"Dispensé (EPP récent)",IF($V126&gt;DateRef,"À prévoir à la reprise","À proposer (reprise passée)")))))</f>
        <v/>
      </c>
      <c r="X126" s="40"/>
      <c r="Y126" s="43" t="str">
        <f aca="false">IF(OR($B126="",$X126=""),"",EDATE($X126,DelaiMiCarriere))</f>
        <v/>
      </c>
      <c r="Z126" s="42" t="str">
        <f aca="false">IF(OR($B126="",$X126=""),"",IF(AND($I126&lt;&gt;"",$I126&lt;=DateRef),"",IF(AND($N126&lt;&gt;"",$N126&gt;=$X126),"Réalisé",IF($Y126&lt;DateRef,"En retard","À planifier"))))</f>
        <v/>
      </c>
      <c r="AA126" s="47" t="str">
        <f aca="false">IF(OR($B126="",$G126=""),"",IF($G126&gt;DateRef,"",DATEDIF($G126,DateRef,"y")))</f>
        <v/>
      </c>
      <c r="AB126" s="43" t="str">
        <f aca="false">IF(OR($B126="",$G126=""),"",EDATE($G126,AgeFinCarriere*12))</f>
        <v/>
      </c>
      <c r="AC126" s="42" t="str">
        <f aca="false">IF(OR($B126="",$G126="",$H126=""),"",IF(AND($I126&lt;&gt;"",$I126&lt;=DateRef),"",IF($AB126&lt;DateVigueur,"Non concerné",IF(AND($N126&lt;&gt;"",$N126&gt;=MAX(EDATE($AB126,-FenetreFinCarriere*12),DateVigueur),$N126&lt;=$AB126),"Réalisé",IF(DateRef&gt;$AB126,"Non réalisé",IF(AND($Q126&lt;&gt;"",$Q126&gt;=EDATE($AB126,-FenetreFinCarriere*12),$Q126&lt;=$AB126),"Planifié dans la fenêtre",IF(AND(MAX($P126,DateRef)&gt;=EDATE($AB126,-FenetreFinCarriere*12),MAX($P126,DateRef)&lt;=$AB126),"Prochain EPP dans la fenêtre",IF(MAX($P126,DateRef)&gt;$AB126,"À programmer avant 60 ans",""))))))))</f>
        <v/>
      </c>
      <c r="AD126" s="40"/>
      <c r="AE126" s="43" t="str">
        <f aca="false">IF(OR($B126="",$H126="",AND($I126&lt;&gt;"",$I126&lt;=DateRef)),"",MAX($H126,$AD126,IF($A126="",0,SUMPRODUCT(MAX((Journal!$A$6:$A$1005=$A126)*((Journal!$D$6:$D$1005=TypeEDL)+(Journal!$D$6:$D$1005=TypeBilan6))*Journal!$C$6:$C$1005)))))</f>
        <v/>
      </c>
      <c r="AF126" s="43" t="str">
        <f aca="false">IF($AE126="","",IF(AND(ReglesTransitoires="Oui",EDATE($AE126,AnciennePeriodiciteEDL*12)&lt;DateVigueur),EDATE($AE126,AnciennePeriodiciteEDL*12),EDATE($AE126,PeriodiciteEDL*12)))</f>
        <v/>
      </c>
      <c r="AG126" s="42" t="str">
        <f aca="false">IF($AF126="","",IF(AND($I126&lt;&gt;"",$I126&lt;=DateRef),"",IF($AF126&lt;DateRef,"En retard",IF($AF126-DateRef&lt;=SeuilAlerteEDL,"À prévoir","À jour"))))</f>
        <v/>
      </c>
      <c r="AH126" s="39"/>
      <c r="AI126" s="39"/>
      <c r="AJ126" s="42" t="str">
        <f aca="false">IF(OR($B126="",$H126=""),"",IF(AND($I126&lt;&gt;"",$I126&lt;=DateRef),"",IF(Effectif&lt;SeuilEffectif,"Non concerné (&lt; "&amp;SeuilEffectif&amp;" salariés)",IF($AH126="Oui","Pas de risque",IF(AND(OR($AI126="Non",$S126="En retard"),$AH126="Non"),"Risque abondement",IF(OR($AI126="Non",$S126="En retard"),"À vérifier (formation ?)",IF($AI126="Oui","Pas de risque","À compléter")))))))</f>
        <v/>
      </c>
      <c r="AK126" s="39"/>
    </row>
    <row r="127" customFormat="false" ht="15" hidden="false" customHeight="false" outlineLevel="0" collapsed="false">
      <c r="A127" s="39"/>
      <c r="B127" s="39"/>
      <c r="C127" s="39"/>
      <c r="D127" s="39"/>
      <c r="E127" s="39"/>
      <c r="F127" s="39"/>
      <c r="G127" s="40"/>
      <c r="H127" s="40"/>
      <c r="I127" s="40"/>
      <c r="J127" s="41" t="str">
        <f aca="false">IF(OR($B127="",$H127=""),"",IF($H127&gt;DateRef,0,YEARFRAC($H127,DateRef,1)))</f>
        <v/>
      </c>
      <c r="K127" s="42" t="str">
        <f aca="false">IF(OR($B127="",$H127=""),"",IF(EDATE($H127,12)&lt;=DateRef,"Plus d'un an","Moins d'un an"))</f>
        <v/>
      </c>
      <c r="L127" s="40"/>
      <c r="M127" s="43" t="str">
        <f aca="false">IF(OR($B127="",$A127=""),"",IF(SUMPRODUCT(MAX((Journal!$A$6:$A$1005=$A127)*Journal!$C$6:$C$1005))=0,"",SUMPRODUCT(MAX((Journal!$A$6:$A$1005=$A127)*Journal!$C$6:$C$1005))))</f>
        <v/>
      </c>
      <c r="N127" s="43" t="str">
        <f aca="false">IF($B127="","",IF(MAX($L127,$M127)=0,"",MAX($L127,$M127)))</f>
        <v/>
      </c>
      <c r="O127" s="44" t="str">
        <f aca="false">IF(OR($B127="",$H127=""),"",IF($N127="",IF(EDATE($H127,DelaiPremierEPP)&gt;DateRef,"1er EPP (1re année)","Aucun entretien renseigné"),IF(AND(ReglesTransitoires="Oui",EDATE($N127,AnciennePeriodiciteEP*12)&lt;DateVigueur),"Retard antérieur à la réforme","Périodicité "&amp;PeriodiciteEPP&amp;" ans")))</f>
        <v/>
      </c>
      <c r="P127" s="43" t="str">
        <f aca="false">IF(OR($B127="",$H127=""),"",IF($N127="",EDATE($H127,DelaiPremierEPP),IF(AND(ReglesTransitoires="Oui",EDATE($N127,AnciennePeriodiciteEP*12)&lt;DateVigueur),EDATE($N127,AnciennePeriodiciteEP*12),EDATE($N127,PeriodiciteEPP*12))))</f>
        <v/>
      </c>
      <c r="Q127" s="40"/>
      <c r="R127" s="45" t="str">
        <f aca="false">IF(OR($P127="",AND($I127&lt;&gt;"",$I127&lt;=DateRef)),"",$P127-DateRef)</f>
        <v/>
      </c>
      <c r="S127" s="42" t="str">
        <f aca="false">IF($B127="","",IF(AND($I127&lt;&gt;"",$I127&lt;=DateRef),"Sorti",IF($H127="","À compléter",IF(AND($Q127&lt;&gt;"",$Q127&gt;=DateRef,$Q127&lt;=$P127),"Planifié",IF($R127&lt;0,"En retard",IF($R127&lt;=SeuilAlerteEPP,"À planifier","À jour"))))))</f>
        <v/>
      </c>
      <c r="T127" s="46" t="str">
        <f aca="false">IF(OR($B127="",$S127="Sorti"),"",MID(IF($H127=""," | Date d'embauche manquante","")&amp;IF(AND($K127="Plus d'un an",$N127="")," | Précédent entretien à renseigner (ancienneté &gt; 1 an)","")&amp;IF($O127="Retard antérieur à la réforme"," | Ancien délai de 2 ans expiré avant la réforme","")&amp;IF(AND($N127&lt;&gt;"",$H127&lt;&gt;"",$N127&lt;$H127)," | Entretien antérieur à l'embauche ?","")&amp;IF(AND($N127&lt;&gt;"",$N127&gt;DateRef)," | Entretien daté dans le futur ?","")&amp;IF(AND($Q127&lt;&gt;"",$P127&lt;&gt;"",$Q127&gt;$P127)," | Date prévue après l'échéance","")&amp;IF(AND($Q127&lt;&gt;"",$Q127&lt;DateRef,OR($N127="",$N127&lt;$Q127))," | Entretien prévu passé : le consigner au Journal","")&amp;IF(AND($G127&lt;&gt;"",$X127="",YEAR(DateRef)-YEAR($G127)&gt;=AgeMiCarriere-1,YEAR(DateRef)-YEAR($G127)&lt;=AgeMiCarriere+1)," | Visite de mi-carrière à vérifier",""),4,1000))</f>
        <v/>
      </c>
      <c r="U127" s="39"/>
      <c r="V127" s="40"/>
      <c r="W127" s="42" t="str">
        <f aca="false">IF(OR($B127="",$V127=""),"",IF(AND($I127&lt;&gt;"",$I127&lt;=DateRef),"",IF(AND($N127&lt;&gt;"",$N127&gt;=$V127),"Réalisé",IF(AND($N127&lt;&gt;"",$N127&gt;=EDATE($V127,-FenetreRetour)),"Dispensé (EPP récent)",IF($V127&gt;DateRef,"À prévoir à la reprise","À proposer (reprise passée)")))))</f>
        <v/>
      </c>
      <c r="X127" s="40"/>
      <c r="Y127" s="43" t="str">
        <f aca="false">IF(OR($B127="",$X127=""),"",EDATE($X127,DelaiMiCarriere))</f>
        <v/>
      </c>
      <c r="Z127" s="42" t="str">
        <f aca="false">IF(OR($B127="",$X127=""),"",IF(AND($I127&lt;&gt;"",$I127&lt;=DateRef),"",IF(AND($N127&lt;&gt;"",$N127&gt;=$X127),"Réalisé",IF($Y127&lt;DateRef,"En retard","À planifier"))))</f>
        <v/>
      </c>
      <c r="AA127" s="47" t="str">
        <f aca="false">IF(OR($B127="",$G127=""),"",IF($G127&gt;DateRef,"",DATEDIF($G127,DateRef,"y")))</f>
        <v/>
      </c>
      <c r="AB127" s="43" t="str">
        <f aca="false">IF(OR($B127="",$G127=""),"",EDATE($G127,AgeFinCarriere*12))</f>
        <v/>
      </c>
      <c r="AC127" s="42" t="str">
        <f aca="false">IF(OR($B127="",$G127="",$H127=""),"",IF(AND($I127&lt;&gt;"",$I127&lt;=DateRef),"",IF($AB127&lt;DateVigueur,"Non concerné",IF(AND($N127&lt;&gt;"",$N127&gt;=MAX(EDATE($AB127,-FenetreFinCarriere*12),DateVigueur),$N127&lt;=$AB127),"Réalisé",IF(DateRef&gt;$AB127,"Non réalisé",IF(AND($Q127&lt;&gt;"",$Q127&gt;=EDATE($AB127,-FenetreFinCarriere*12),$Q127&lt;=$AB127),"Planifié dans la fenêtre",IF(AND(MAX($P127,DateRef)&gt;=EDATE($AB127,-FenetreFinCarriere*12),MAX($P127,DateRef)&lt;=$AB127),"Prochain EPP dans la fenêtre",IF(MAX($P127,DateRef)&gt;$AB127,"À programmer avant 60 ans",""))))))))</f>
        <v/>
      </c>
      <c r="AD127" s="40"/>
      <c r="AE127" s="43" t="str">
        <f aca="false">IF(OR($B127="",$H127="",AND($I127&lt;&gt;"",$I127&lt;=DateRef)),"",MAX($H127,$AD127,IF($A127="",0,SUMPRODUCT(MAX((Journal!$A$6:$A$1005=$A127)*((Journal!$D$6:$D$1005=TypeEDL)+(Journal!$D$6:$D$1005=TypeBilan6))*Journal!$C$6:$C$1005)))))</f>
        <v/>
      </c>
      <c r="AF127" s="43" t="str">
        <f aca="false">IF($AE127="","",IF(AND(ReglesTransitoires="Oui",EDATE($AE127,AnciennePeriodiciteEDL*12)&lt;DateVigueur),EDATE($AE127,AnciennePeriodiciteEDL*12),EDATE($AE127,PeriodiciteEDL*12)))</f>
        <v/>
      </c>
      <c r="AG127" s="42" t="str">
        <f aca="false">IF($AF127="","",IF(AND($I127&lt;&gt;"",$I127&lt;=DateRef),"",IF($AF127&lt;DateRef,"En retard",IF($AF127-DateRef&lt;=SeuilAlerteEDL,"À prévoir","À jour"))))</f>
        <v/>
      </c>
      <c r="AH127" s="39"/>
      <c r="AI127" s="39"/>
      <c r="AJ127" s="42" t="str">
        <f aca="false">IF(OR($B127="",$H127=""),"",IF(AND($I127&lt;&gt;"",$I127&lt;=DateRef),"",IF(Effectif&lt;SeuilEffectif,"Non concerné (&lt; "&amp;SeuilEffectif&amp;" salariés)",IF($AH127="Oui","Pas de risque",IF(AND(OR($AI127="Non",$S127="En retard"),$AH127="Non"),"Risque abondement",IF(OR($AI127="Non",$S127="En retard"),"À vérifier (formation ?)",IF($AI127="Oui","Pas de risque","À compléter")))))))</f>
        <v/>
      </c>
      <c r="AK127" s="39"/>
    </row>
    <row r="128" customFormat="false" ht="15" hidden="false" customHeight="false" outlineLevel="0" collapsed="false">
      <c r="A128" s="39"/>
      <c r="B128" s="39"/>
      <c r="C128" s="39"/>
      <c r="D128" s="39"/>
      <c r="E128" s="39"/>
      <c r="F128" s="39"/>
      <c r="G128" s="40"/>
      <c r="H128" s="40"/>
      <c r="I128" s="40"/>
      <c r="J128" s="41" t="str">
        <f aca="false">IF(OR($B128="",$H128=""),"",IF($H128&gt;DateRef,0,YEARFRAC($H128,DateRef,1)))</f>
        <v/>
      </c>
      <c r="K128" s="42" t="str">
        <f aca="false">IF(OR($B128="",$H128=""),"",IF(EDATE($H128,12)&lt;=DateRef,"Plus d'un an","Moins d'un an"))</f>
        <v/>
      </c>
      <c r="L128" s="40"/>
      <c r="M128" s="43" t="str">
        <f aca="false">IF(OR($B128="",$A128=""),"",IF(SUMPRODUCT(MAX((Journal!$A$6:$A$1005=$A128)*Journal!$C$6:$C$1005))=0,"",SUMPRODUCT(MAX((Journal!$A$6:$A$1005=$A128)*Journal!$C$6:$C$1005))))</f>
        <v/>
      </c>
      <c r="N128" s="43" t="str">
        <f aca="false">IF($B128="","",IF(MAX($L128,$M128)=0,"",MAX($L128,$M128)))</f>
        <v/>
      </c>
      <c r="O128" s="44" t="str">
        <f aca="false">IF(OR($B128="",$H128=""),"",IF($N128="",IF(EDATE($H128,DelaiPremierEPP)&gt;DateRef,"1er EPP (1re année)","Aucun entretien renseigné"),IF(AND(ReglesTransitoires="Oui",EDATE($N128,AnciennePeriodiciteEP*12)&lt;DateVigueur),"Retard antérieur à la réforme","Périodicité "&amp;PeriodiciteEPP&amp;" ans")))</f>
        <v/>
      </c>
      <c r="P128" s="43" t="str">
        <f aca="false">IF(OR($B128="",$H128=""),"",IF($N128="",EDATE($H128,DelaiPremierEPP),IF(AND(ReglesTransitoires="Oui",EDATE($N128,AnciennePeriodiciteEP*12)&lt;DateVigueur),EDATE($N128,AnciennePeriodiciteEP*12),EDATE($N128,PeriodiciteEPP*12))))</f>
        <v/>
      </c>
      <c r="Q128" s="40"/>
      <c r="R128" s="45" t="str">
        <f aca="false">IF(OR($P128="",AND($I128&lt;&gt;"",$I128&lt;=DateRef)),"",$P128-DateRef)</f>
        <v/>
      </c>
      <c r="S128" s="42" t="str">
        <f aca="false">IF($B128="","",IF(AND($I128&lt;&gt;"",$I128&lt;=DateRef),"Sorti",IF($H128="","À compléter",IF(AND($Q128&lt;&gt;"",$Q128&gt;=DateRef,$Q128&lt;=$P128),"Planifié",IF($R128&lt;0,"En retard",IF($R128&lt;=SeuilAlerteEPP,"À planifier","À jour"))))))</f>
        <v/>
      </c>
      <c r="T128" s="46" t="str">
        <f aca="false">IF(OR($B128="",$S128="Sorti"),"",MID(IF($H128=""," | Date d'embauche manquante","")&amp;IF(AND($K128="Plus d'un an",$N128="")," | Précédent entretien à renseigner (ancienneté &gt; 1 an)","")&amp;IF($O128="Retard antérieur à la réforme"," | Ancien délai de 2 ans expiré avant la réforme","")&amp;IF(AND($N128&lt;&gt;"",$H128&lt;&gt;"",$N128&lt;$H128)," | Entretien antérieur à l'embauche ?","")&amp;IF(AND($N128&lt;&gt;"",$N128&gt;DateRef)," | Entretien daté dans le futur ?","")&amp;IF(AND($Q128&lt;&gt;"",$P128&lt;&gt;"",$Q128&gt;$P128)," | Date prévue après l'échéance","")&amp;IF(AND($Q128&lt;&gt;"",$Q128&lt;DateRef,OR($N128="",$N128&lt;$Q128))," | Entretien prévu passé : le consigner au Journal","")&amp;IF(AND($G128&lt;&gt;"",$X128="",YEAR(DateRef)-YEAR($G128)&gt;=AgeMiCarriere-1,YEAR(DateRef)-YEAR($G128)&lt;=AgeMiCarriere+1)," | Visite de mi-carrière à vérifier",""),4,1000))</f>
        <v/>
      </c>
      <c r="U128" s="39"/>
      <c r="V128" s="40"/>
      <c r="W128" s="42" t="str">
        <f aca="false">IF(OR($B128="",$V128=""),"",IF(AND($I128&lt;&gt;"",$I128&lt;=DateRef),"",IF(AND($N128&lt;&gt;"",$N128&gt;=$V128),"Réalisé",IF(AND($N128&lt;&gt;"",$N128&gt;=EDATE($V128,-FenetreRetour)),"Dispensé (EPP récent)",IF($V128&gt;DateRef,"À prévoir à la reprise","À proposer (reprise passée)")))))</f>
        <v/>
      </c>
      <c r="X128" s="40"/>
      <c r="Y128" s="43" t="str">
        <f aca="false">IF(OR($B128="",$X128=""),"",EDATE($X128,DelaiMiCarriere))</f>
        <v/>
      </c>
      <c r="Z128" s="42" t="str">
        <f aca="false">IF(OR($B128="",$X128=""),"",IF(AND($I128&lt;&gt;"",$I128&lt;=DateRef),"",IF(AND($N128&lt;&gt;"",$N128&gt;=$X128),"Réalisé",IF($Y128&lt;DateRef,"En retard","À planifier"))))</f>
        <v/>
      </c>
      <c r="AA128" s="47" t="str">
        <f aca="false">IF(OR($B128="",$G128=""),"",IF($G128&gt;DateRef,"",DATEDIF($G128,DateRef,"y")))</f>
        <v/>
      </c>
      <c r="AB128" s="43" t="str">
        <f aca="false">IF(OR($B128="",$G128=""),"",EDATE($G128,AgeFinCarriere*12))</f>
        <v/>
      </c>
      <c r="AC128" s="42" t="str">
        <f aca="false">IF(OR($B128="",$G128="",$H128=""),"",IF(AND($I128&lt;&gt;"",$I128&lt;=DateRef),"",IF($AB128&lt;DateVigueur,"Non concerné",IF(AND($N128&lt;&gt;"",$N128&gt;=MAX(EDATE($AB128,-FenetreFinCarriere*12),DateVigueur),$N128&lt;=$AB128),"Réalisé",IF(DateRef&gt;$AB128,"Non réalisé",IF(AND($Q128&lt;&gt;"",$Q128&gt;=EDATE($AB128,-FenetreFinCarriere*12),$Q128&lt;=$AB128),"Planifié dans la fenêtre",IF(AND(MAX($P128,DateRef)&gt;=EDATE($AB128,-FenetreFinCarriere*12),MAX($P128,DateRef)&lt;=$AB128),"Prochain EPP dans la fenêtre",IF(MAX($P128,DateRef)&gt;$AB128,"À programmer avant 60 ans",""))))))))</f>
        <v/>
      </c>
      <c r="AD128" s="40"/>
      <c r="AE128" s="43" t="str">
        <f aca="false">IF(OR($B128="",$H128="",AND($I128&lt;&gt;"",$I128&lt;=DateRef)),"",MAX($H128,$AD128,IF($A128="",0,SUMPRODUCT(MAX((Journal!$A$6:$A$1005=$A128)*((Journal!$D$6:$D$1005=TypeEDL)+(Journal!$D$6:$D$1005=TypeBilan6))*Journal!$C$6:$C$1005)))))</f>
        <v/>
      </c>
      <c r="AF128" s="43" t="str">
        <f aca="false">IF($AE128="","",IF(AND(ReglesTransitoires="Oui",EDATE($AE128,AnciennePeriodiciteEDL*12)&lt;DateVigueur),EDATE($AE128,AnciennePeriodiciteEDL*12),EDATE($AE128,PeriodiciteEDL*12)))</f>
        <v/>
      </c>
      <c r="AG128" s="42" t="str">
        <f aca="false">IF($AF128="","",IF(AND($I128&lt;&gt;"",$I128&lt;=DateRef),"",IF($AF128&lt;DateRef,"En retard",IF($AF128-DateRef&lt;=SeuilAlerteEDL,"À prévoir","À jour"))))</f>
        <v/>
      </c>
      <c r="AH128" s="39"/>
      <c r="AI128" s="39"/>
      <c r="AJ128" s="42" t="str">
        <f aca="false">IF(OR($B128="",$H128=""),"",IF(AND($I128&lt;&gt;"",$I128&lt;=DateRef),"",IF(Effectif&lt;SeuilEffectif,"Non concerné (&lt; "&amp;SeuilEffectif&amp;" salariés)",IF($AH128="Oui","Pas de risque",IF(AND(OR($AI128="Non",$S128="En retard"),$AH128="Non"),"Risque abondement",IF(OR($AI128="Non",$S128="En retard"),"À vérifier (formation ?)",IF($AI128="Oui","Pas de risque","À compléter")))))))</f>
        <v/>
      </c>
      <c r="AK128" s="39"/>
    </row>
    <row r="129" customFormat="false" ht="15" hidden="false" customHeight="false" outlineLevel="0" collapsed="false">
      <c r="A129" s="39"/>
      <c r="B129" s="39"/>
      <c r="C129" s="39"/>
      <c r="D129" s="39"/>
      <c r="E129" s="39"/>
      <c r="F129" s="39"/>
      <c r="G129" s="40"/>
      <c r="H129" s="40"/>
      <c r="I129" s="40"/>
      <c r="J129" s="41" t="str">
        <f aca="false">IF(OR($B129="",$H129=""),"",IF($H129&gt;DateRef,0,YEARFRAC($H129,DateRef,1)))</f>
        <v/>
      </c>
      <c r="K129" s="42" t="str">
        <f aca="false">IF(OR($B129="",$H129=""),"",IF(EDATE($H129,12)&lt;=DateRef,"Plus d'un an","Moins d'un an"))</f>
        <v/>
      </c>
      <c r="L129" s="40"/>
      <c r="M129" s="43" t="str">
        <f aca="false">IF(OR($B129="",$A129=""),"",IF(SUMPRODUCT(MAX((Journal!$A$6:$A$1005=$A129)*Journal!$C$6:$C$1005))=0,"",SUMPRODUCT(MAX((Journal!$A$6:$A$1005=$A129)*Journal!$C$6:$C$1005))))</f>
        <v/>
      </c>
      <c r="N129" s="43" t="str">
        <f aca="false">IF($B129="","",IF(MAX($L129,$M129)=0,"",MAX($L129,$M129)))</f>
        <v/>
      </c>
      <c r="O129" s="44" t="str">
        <f aca="false">IF(OR($B129="",$H129=""),"",IF($N129="",IF(EDATE($H129,DelaiPremierEPP)&gt;DateRef,"1er EPP (1re année)","Aucun entretien renseigné"),IF(AND(ReglesTransitoires="Oui",EDATE($N129,AnciennePeriodiciteEP*12)&lt;DateVigueur),"Retard antérieur à la réforme","Périodicité "&amp;PeriodiciteEPP&amp;" ans")))</f>
        <v/>
      </c>
      <c r="P129" s="43" t="str">
        <f aca="false">IF(OR($B129="",$H129=""),"",IF($N129="",EDATE($H129,DelaiPremierEPP),IF(AND(ReglesTransitoires="Oui",EDATE($N129,AnciennePeriodiciteEP*12)&lt;DateVigueur),EDATE($N129,AnciennePeriodiciteEP*12),EDATE($N129,PeriodiciteEPP*12))))</f>
        <v/>
      </c>
      <c r="Q129" s="40"/>
      <c r="R129" s="45" t="str">
        <f aca="false">IF(OR($P129="",AND($I129&lt;&gt;"",$I129&lt;=DateRef)),"",$P129-DateRef)</f>
        <v/>
      </c>
      <c r="S129" s="42" t="str">
        <f aca="false">IF($B129="","",IF(AND($I129&lt;&gt;"",$I129&lt;=DateRef),"Sorti",IF($H129="","À compléter",IF(AND($Q129&lt;&gt;"",$Q129&gt;=DateRef,$Q129&lt;=$P129),"Planifié",IF($R129&lt;0,"En retard",IF($R129&lt;=SeuilAlerteEPP,"À planifier","À jour"))))))</f>
        <v/>
      </c>
      <c r="T129" s="46" t="str">
        <f aca="false">IF(OR($B129="",$S129="Sorti"),"",MID(IF($H129=""," | Date d'embauche manquante","")&amp;IF(AND($K129="Plus d'un an",$N129="")," | Précédent entretien à renseigner (ancienneté &gt; 1 an)","")&amp;IF($O129="Retard antérieur à la réforme"," | Ancien délai de 2 ans expiré avant la réforme","")&amp;IF(AND($N129&lt;&gt;"",$H129&lt;&gt;"",$N129&lt;$H129)," | Entretien antérieur à l'embauche ?","")&amp;IF(AND($N129&lt;&gt;"",$N129&gt;DateRef)," | Entretien daté dans le futur ?","")&amp;IF(AND($Q129&lt;&gt;"",$P129&lt;&gt;"",$Q129&gt;$P129)," | Date prévue après l'échéance","")&amp;IF(AND($Q129&lt;&gt;"",$Q129&lt;DateRef,OR($N129="",$N129&lt;$Q129))," | Entretien prévu passé : le consigner au Journal","")&amp;IF(AND($G129&lt;&gt;"",$X129="",YEAR(DateRef)-YEAR($G129)&gt;=AgeMiCarriere-1,YEAR(DateRef)-YEAR($G129)&lt;=AgeMiCarriere+1)," | Visite de mi-carrière à vérifier",""),4,1000))</f>
        <v/>
      </c>
      <c r="U129" s="39"/>
      <c r="V129" s="40"/>
      <c r="W129" s="42" t="str">
        <f aca="false">IF(OR($B129="",$V129=""),"",IF(AND($I129&lt;&gt;"",$I129&lt;=DateRef),"",IF(AND($N129&lt;&gt;"",$N129&gt;=$V129),"Réalisé",IF(AND($N129&lt;&gt;"",$N129&gt;=EDATE($V129,-FenetreRetour)),"Dispensé (EPP récent)",IF($V129&gt;DateRef,"À prévoir à la reprise","À proposer (reprise passée)")))))</f>
        <v/>
      </c>
      <c r="X129" s="40"/>
      <c r="Y129" s="43" t="str">
        <f aca="false">IF(OR($B129="",$X129=""),"",EDATE($X129,DelaiMiCarriere))</f>
        <v/>
      </c>
      <c r="Z129" s="42" t="str">
        <f aca="false">IF(OR($B129="",$X129=""),"",IF(AND($I129&lt;&gt;"",$I129&lt;=DateRef),"",IF(AND($N129&lt;&gt;"",$N129&gt;=$X129),"Réalisé",IF($Y129&lt;DateRef,"En retard","À planifier"))))</f>
        <v/>
      </c>
      <c r="AA129" s="47" t="str">
        <f aca="false">IF(OR($B129="",$G129=""),"",IF($G129&gt;DateRef,"",DATEDIF($G129,DateRef,"y")))</f>
        <v/>
      </c>
      <c r="AB129" s="43" t="str">
        <f aca="false">IF(OR($B129="",$G129=""),"",EDATE($G129,AgeFinCarriere*12))</f>
        <v/>
      </c>
      <c r="AC129" s="42" t="str">
        <f aca="false">IF(OR($B129="",$G129="",$H129=""),"",IF(AND($I129&lt;&gt;"",$I129&lt;=DateRef),"",IF($AB129&lt;DateVigueur,"Non concerné",IF(AND($N129&lt;&gt;"",$N129&gt;=MAX(EDATE($AB129,-FenetreFinCarriere*12),DateVigueur),$N129&lt;=$AB129),"Réalisé",IF(DateRef&gt;$AB129,"Non réalisé",IF(AND($Q129&lt;&gt;"",$Q129&gt;=EDATE($AB129,-FenetreFinCarriere*12),$Q129&lt;=$AB129),"Planifié dans la fenêtre",IF(AND(MAX($P129,DateRef)&gt;=EDATE($AB129,-FenetreFinCarriere*12),MAX($P129,DateRef)&lt;=$AB129),"Prochain EPP dans la fenêtre",IF(MAX($P129,DateRef)&gt;$AB129,"À programmer avant 60 ans",""))))))))</f>
        <v/>
      </c>
      <c r="AD129" s="40"/>
      <c r="AE129" s="43" t="str">
        <f aca="false">IF(OR($B129="",$H129="",AND($I129&lt;&gt;"",$I129&lt;=DateRef)),"",MAX($H129,$AD129,IF($A129="",0,SUMPRODUCT(MAX((Journal!$A$6:$A$1005=$A129)*((Journal!$D$6:$D$1005=TypeEDL)+(Journal!$D$6:$D$1005=TypeBilan6))*Journal!$C$6:$C$1005)))))</f>
        <v/>
      </c>
      <c r="AF129" s="43" t="str">
        <f aca="false">IF($AE129="","",IF(AND(ReglesTransitoires="Oui",EDATE($AE129,AnciennePeriodiciteEDL*12)&lt;DateVigueur),EDATE($AE129,AnciennePeriodiciteEDL*12),EDATE($AE129,PeriodiciteEDL*12)))</f>
        <v/>
      </c>
      <c r="AG129" s="42" t="str">
        <f aca="false">IF($AF129="","",IF(AND($I129&lt;&gt;"",$I129&lt;=DateRef),"",IF($AF129&lt;DateRef,"En retard",IF($AF129-DateRef&lt;=SeuilAlerteEDL,"À prévoir","À jour"))))</f>
        <v/>
      </c>
      <c r="AH129" s="39"/>
      <c r="AI129" s="39"/>
      <c r="AJ129" s="42" t="str">
        <f aca="false">IF(OR($B129="",$H129=""),"",IF(AND($I129&lt;&gt;"",$I129&lt;=DateRef),"",IF(Effectif&lt;SeuilEffectif,"Non concerné (&lt; "&amp;SeuilEffectif&amp;" salariés)",IF($AH129="Oui","Pas de risque",IF(AND(OR($AI129="Non",$S129="En retard"),$AH129="Non"),"Risque abondement",IF(OR($AI129="Non",$S129="En retard"),"À vérifier (formation ?)",IF($AI129="Oui","Pas de risque","À compléter")))))))</f>
        <v/>
      </c>
      <c r="AK129" s="39"/>
    </row>
    <row r="130" customFormat="false" ht="15" hidden="false" customHeight="false" outlineLevel="0" collapsed="false">
      <c r="A130" s="39"/>
      <c r="B130" s="39"/>
      <c r="C130" s="39"/>
      <c r="D130" s="39"/>
      <c r="E130" s="39"/>
      <c r="F130" s="39"/>
      <c r="G130" s="40"/>
      <c r="H130" s="40"/>
      <c r="I130" s="40"/>
      <c r="J130" s="41" t="str">
        <f aca="false">IF(OR($B130="",$H130=""),"",IF($H130&gt;DateRef,0,YEARFRAC($H130,DateRef,1)))</f>
        <v/>
      </c>
      <c r="K130" s="42" t="str">
        <f aca="false">IF(OR($B130="",$H130=""),"",IF(EDATE($H130,12)&lt;=DateRef,"Plus d'un an","Moins d'un an"))</f>
        <v/>
      </c>
      <c r="L130" s="40"/>
      <c r="M130" s="43" t="str">
        <f aca="false">IF(OR($B130="",$A130=""),"",IF(SUMPRODUCT(MAX((Journal!$A$6:$A$1005=$A130)*Journal!$C$6:$C$1005))=0,"",SUMPRODUCT(MAX((Journal!$A$6:$A$1005=$A130)*Journal!$C$6:$C$1005))))</f>
        <v/>
      </c>
      <c r="N130" s="43" t="str">
        <f aca="false">IF($B130="","",IF(MAX($L130,$M130)=0,"",MAX($L130,$M130)))</f>
        <v/>
      </c>
      <c r="O130" s="44" t="str">
        <f aca="false">IF(OR($B130="",$H130=""),"",IF($N130="",IF(EDATE($H130,DelaiPremierEPP)&gt;DateRef,"1er EPP (1re année)","Aucun entretien renseigné"),IF(AND(ReglesTransitoires="Oui",EDATE($N130,AnciennePeriodiciteEP*12)&lt;DateVigueur),"Retard antérieur à la réforme","Périodicité "&amp;PeriodiciteEPP&amp;" ans")))</f>
        <v/>
      </c>
      <c r="P130" s="43" t="str">
        <f aca="false">IF(OR($B130="",$H130=""),"",IF($N130="",EDATE($H130,DelaiPremierEPP),IF(AND(ReglesTransitoires="Oui",EDATE($N130,AnciennePeriodiciteEP*12)&lt;DateVigueur),EDATE($N130,AnciennePeriodiciteEP*12),EDATE($N130,PeriodiciteEPP*12))))</f>
        <v/>
      </c>
      <c r="Q130" s="40"/>
      <c r="R130" s="45" t="str">
        <f aca="false">IF(OR($P130="",AND($I130&lt;&gt;"",$I130&lt;=DateRef)),"",$P130-DateRef)</f>
        <v/>
      </c>
      <c r="S130" s="42" t="str">
        <f aca="false">IF($B130="","",IF(AND($I130&lt;&gt;"",$I130&lt;=DateRef),"Sorti",IF($H130="","À compléter",IF(AND($Q130&lt;&gt;"",$Q130&gt;=DateRef,$Q130&lt;=$P130),"Planifié",IF($R130&lt;0,"En retard",IF($R130&lt;=SeuilAlerteEPP,"À planifier","À jour"))))))</f>
        <v/>
      </c>
      <c r="T130" s="46" t="str">
        <f aca="false">IF(OR($B130="",$S130="Sorti"),"",MID(IF($H130=""," | Date d'embauche manquante","")&amp;IF(AND($K130="Plus d'un an",$N130="")," | Précédent entretien à renseigner (ancienneté &gt; 1 an)","")&amp;IF($O130="Retard antérieur à la réforme"," | Ancien délai de 2 ans expiré avant la réforme","")&amp;IF(AND($N130&lt;&gt;"",$H130&lt;&gt;"",$N130&lt;$H130)," | Entretien antérieur à l'embauche ?","")&amp;IF(AND($N130&lt;&gt;"",$N130&gt;DateRef)," | Entretien daté dans le futur ?","")&amp;IF(AND($Q130&lt;&gt;"",$P130&lt;&gt;"",$Q130&gt;$P130)," | Date prévue après l'échéance","")&amp;IF(AND($Q130&lt;&gt;"",$Q130&lt;DateRef,OR($N130="",$N130&lt;$Q130))," | Entretien prévu passé : le consigner au Journal","")&amp;IF(AND($G130&lt;&gt;"",$X130="",YEAR(DateRef)-YEAR($G130)&gt;=AgeMiCarriere-1,YEAR(DateRef)-YEAR($G130)&lt;=AgeMiCarriere+1)," | Visite de mi-carrière à vérifier",""),4,1000))</f>
        <v/>
      </c>
      <c r="U130" s="39"/>
      <c r="V130" s="40"/>
      <c r="W130" s="42" t="str">
        <f aca="false">IF(OR($B130="",$V130=""),"",IF(AND($I130&lt;&gt;"",$I130&lt;=DateRef),"",IF(AND($N130&lt;&gt;"",$N130&gt;=$V130),"Réalisé",IF(AND($N130&lt;&gt;"",$N130&gt;=EDATE($V130,-FenetreRetour)),"Dispensé (EPP récent)",IF($V130&gt;DateRef,"À prévoir à la reprise","À proposer (reprise passée)")))))</f>
        <v/>
      </c>
      <c r="X130" s="40"/>
      <c r="Y130" s="43" t="str">
        <f aca="false">IF(OR($B130="",$X130=""),"",EDATE($X130,DelaiMiCarriere))</f>
        <v/>
      </c>
      <c r="Z130" s="42" t="str">
        <f aca="false">IF(OR($B130="",$X130=""),"",IF(AND($I130&lt;&gt;"",$I130&lt;=DateRef),"",IF(AND($N130&lt;&gt;"",$N130&gt;=$X130),"Réalisé",IF($Y130&lt;DateRef,"En retard","À planifier"))))</f>
        <v/>
      </c>
      <c r="AA130" s="47" t="str">
        <f aca="false">IF(OR($B130="",$G130=""),"",IF($G130&gt;DateRef,"",DATEDIF($G130,DateRef,"y")))</f>
        <v/>
      </c>
      <c r="AB130" s="43" t="str">
        <f aca="false">IF(OR($B130="",$G130=""),"",EDATE($G130,AgeFinCarriere*12))</f>
        <v/>
      </c>
      <c r="AC130" s="42" t="str">
        <f aca="false">IF(OR($B130="",$G130="",$H130=""),"",IF(AND($I130&lt;&gt;"",$I130&lt;=DateRef),"",IF($AB130&lt;DateVigueur,"Non concerné",IF(AND($N130&lt;&gt;"",$N130&gt;=MAX(EDATE($AB130,-FenetreFinCarriere*12),DateVigueur),$N130&lt;=$AB130),"Réalisé",IF(DateRef&gt;$AB130,"Non réalisé",IF(AND($Q130&lt;&gt;"",$Q130&gt;=EDATE($AB130,-FenetreFinCarriere*12),$Q130&lt;=$AB130),"Planifié dans la fenêtre",IF(AND(MAX($P130,DateRef)&gt;=EDATE($AB130,-FenetreFinCarriere*12),MAX($P130,DateRef)&lt;=$AB130),"Prochain EPP dans la fenêtre",IF(MAX($P130,DateRef)&gt;$AB130,"À programmer avant 60 ans",""))))))))</f>
        <v/>
      </c>
      <c r="AD130" s="40"/>
      <c r="AE130" s="43" t="str">
        <f aca="false">IF(OR($B130="",$H130="",AND($I130&lt;&gt;"",$I130&lt;=DateRef)),"",MAX($H130,$AD130,IF($A130="",0,SUMPRODUCT(MAX((Journal!$A$6:$A$1005=$A130)*((Journal!$D$6:$D$1005=TypeEDL)+(Journal!$D$6:$D$1005=TypeBilan6))*Journal!$C$6:$C$1005)))))</f>
        <v/>
      </c>
      <c r="AF130" s="43" t="str">
        <f aca="false">IF($AE130="","",IF(AND(ReglesTransitoires="Oui",EDATE($AE130,AnciennePeriodiciteEDL*12)&lt;DateVigueur),EDATE($AE130,AnciennePeriodiciteEDL*12),EDATE($AE130,PeriodiciteEDL*12)))</f>
        <v/>
      </c>
      <c r="AG130" s="42" t="str">
        <f aca="false">IF($AF130="","",IF(AND($I130&lt;&gt;"",$I130&lt;=DateRef),"",IF($AF130&lt;DateRef,"En retard",IF($AF130-DateRef&lt;=SeuilAlerteEDL,"À prévoir","À jour"))))</f>
        <v/>
      </c>
      <c r="AH130" s="39"/>
      <c r="AI130" s="39"/>
      <c r="AJ130" s="42" t="str">
        <f aca="false">IF(OR($B130="",$H130=""),"",IF(AND($I130&lt;&gt;"",$I130&lt;=DateRef),"",IF(Effectif&lt;SeuilEffectif,"Non concerné (&lt; "&amp;SeuilEffectif&amp;" salariés)",IF($AH130="Oui","Pas de risque",IF(AND(OR($AI130="Non",$S130="En retard"),$AH130="Non"),"Risque abondement",IF(OR($AI130="Non",$S130="En retard"),"À vérifier (formation ?)",IF($AI130="Oui","Pas de risque","À compléter")))))))</f>
        <v/>
      </c>
      <c r="AK130" s="39"/>
    </row>
    <row r="131" customFormat="false" ht="15" hidden="false" customHeight="false" outlineLevel="0" collapsed="false">
      <c r="A131" s="39"/>
      <c r="B131" s="39"/>
      <c r="C131" s="39"/>
      <c r="D131" s="39"/>
      <c r="E131" s="39"/>
      <c r="F131" s="39"/>
      <c r="G131" s="40"/>
      <c r="H131" s="40"/>
      <c r="I131" s="40"/>
      <c r="J131" s="41" t="str">
        <f aca="false">IF(OR($B131="",$H131=""),"",IF($H131&gt;DateRef,0,YEARFRAC($H131,DateRef,1)))</f>
        <v/>
      </c>
      <c r="K131" s="42" t="str">
        <f aca="false">IF(OR($B131="",$H131=""),"",IF(EDATE($H131,12)&lt;=DateRef,"Plus d'un an","Moins d'un an"))</f>
        <v/>
      </c>
      <c r="L131" s="40"/>
      <c r="M131" s="43" t="str">
        <f aca="false">IF(OR($B131="",$A131=""),"",IF(SUMPRODUCT(MAX((Journal!$A$6:$A$1005=$A131)*Journal!$C$6:$C$1005))=0,"",SUMPRODUCT(MAX((Journal!$A$6:$A$1005=$A131)*Journal!$C$6:$C$1005))))</f>
        <v/>
      </c>
      <c r="N131" s="43" t="str">
        <f aca="false">IF($B131="","",IF(MAX($L131,$M131)=0,"",MAX($L131,$M131)))</f>
        <v/>
      </c>
      <c r="O131" s="44" t="str">
        <f aca="false">IF(OR($B131="",$H131=""),"",IF($N131="",IF(EDATE($H131,DelaiPremierEPP)&gt;DateRef,"1er EPP (1re année)","Aucun entretien renseigné"),IF(AND(ReglesTransitoires="Oui",EDATE($N131,AnciennePeriodiciteEP*12)&lt;DateVigueur),"Retard antérieur à la réforme","Périodicité "&amp;PeriodiciteEPP&amp;" ans")))</f>
        <v/>
      </c>
      <c r="P131" s="43" t="str">
        <f aca="false">IF(OR($B131="",$H131=""),"",IF($N131="",EDATE($H131,DelaiPremierEPP),IF(AND(ReglesTransitoires="Oui",EDATE($N131,AnciennePeriodiciteEP*12)&lt;DateVigueur),EDATE($N131,AnciennePeriodiciteEP*12),EDATE($N131,PeriodiciteEPP*12))))</f>
        <v/>
      </c>
      <c r="Q131" s="40"/>
      <c r="R131" s="45" t="str">
        <f aca="false">IF(OR($P131="",AND($I131&lt;&gt;"",$I131&lt;=DateRef)),"",$P131-DateRef)</f>
        <v/>
      </c>
      <c r="S131" s="42" t="str">
        <f aca="false">IF($B131="","",IF(AND($I131&lt;&gt;"",$I131&lt;=DateRef),"Sorti",IF($H131="","À compléter",IF(AND($Q131&lt;&gt;"",$Q131&gt;=DateRef,$Q131&lt;=$P131),"Planifié",IF($R131&lt;0,"En retard",IF($R131&lt;=SeuilAlerteEPP,"À planifier","À jour"))))))</f>
        <v/>
      </c>
      <c r="T131" s="46" t="str">
        <f aca="false">IF(OR($B131="",$S131="Sorti"),"",MID(IF($H131=""," | Date d'embauche manquante","")&amp;IF(AND($K131="Plus d'un an",$N131="")," | Précédent entretien à renseigner (ancienneté &gt; 1 an)","")&amp;IF($O131="Retard antérieur à la réforme"," | Ancien délai de 2 ans expiré avant la réforme","")&amp;IF(AND($N131&lt;&gt;"",$H131&lt;&gt;"",$N131&lt;$H131)," | Entretien antérieur à l'embauche ?","")&amp;IF(AND($N131&lt;&gt;"",$N131&gt;DateRef)," | Entretien daté dans le futur ?","")&amp;IF(AND($Q131&lt;&gt;"",$P131&lt;&gt;"",$Q131&gt;$P131)," | Date prévue après l'échéance","")&amp;IF(AND($Q131&lt;&gt;"",$Q131&lt;DateRef,OR($N131="",$N131&lt;$Q131))," | Entretien prévu passé : le consigner au Journal","")&amp;IF(AND($G131&lt;&gt;"",$X131="",YEAR(DateRef)-YEAR($G131)&gt;=AgeMiCarriere-1,YEAR(DateRef)-YEAR($G131)&lt;=AgeMiCarriere+1)," | Visite de mi-carrière à vérifier",""),4,1000))</f>
        <v/>
      </c>
      <c r="U131" s="39"/>
      <c r="V131" s="40"/>
      <c r="W131" s="42" t="str">
        <f aca="false">IF(OR($B131="",$V131=""),"",IF(AND($I131&lt;&gt;"",$I131&lt;=DateRef),"",IF(AND($N131&lt;&gt;"",$N131&gt;=$V131),"Réalisé",IF(AND($N131&lt;&gt;"",$N131&gt;=EDATE($V131,-FenetreRetour)),"Dispensé (EPP récent)",IF($V131&gt;DateRef,"À prévoir à la reprise","À proposer (reprise passée)")))))</f>
        <v/>
      </c>
      <c r="X131" s="40"/>
      <c r="Y131" s="43" t="str">
        <f aca="false">IF(OR($B131="",$X131=""),"",EDATE($X131,DelaiMiCarriere))</f>
        <v/>
      </c>
      <c r="Z131" s="42" t="str">
        <f aca="false">IF(OR($B131="",$X131=""),"",IF(AND($I131&lt;&gt;"",$I131&lt;=DateRef),"",IF(AND($N131&lt;&gt;"",$N131&gt;=$X131),"Réalisé",IF($Y131&lt;DateRef,"En retard","À planifier"))))</f>
        <v/>
      </c>
      <c r="AA131" s="47" t="str">
        <f aca="false">IF(OR($B131="",$G131=""),"",IF($G131&gt;DateRef,"",DATEDIF($G131,DateRef,"y")))</f>
        <v/>
      </c>
      <c r="AB131" s="43" t="str">
        <f aca="false">IF(OR($B131="",$G131=""),"",EDATE($G131,AgeFinCarriere*12))</f>
        <v/>
      </c>
      <c r="AC131" s="42" t="str">
        <f aca="false">IF(OR($B131="",$G131="",$H131=""),"",IF(AND($I131&lt;&gt;"",$I131&lt;=DateRef),"",IF($AB131&lt;DateVigueur,"Non concerné",IF(AND($N131&lt;&gt;"",$N131&gt;=MAX(EDATE($AB131,-FenetreFinCarriere*12),DateVigueur),$N131&lt;=$AB131),"Réalisé",IF(DateRef&gt;$AB131,"Non réalisé",IF(AND($Q131&lt;&gt;"",$Q131&gt;=EDATE($AB131,-FenetreFinCarriere*12),$Q131&lt;=$AB131),"Planifié dans la fenêtre",IF(AND(MAX($P131,DateRef)&gt;=EDATE($AB131,-FenetreFinCarriere*12),MAX($P131,DateRef)&lt;=$AB131),"Prochain EPP dans la fenêtre",IF(MAX($P131,DateRef)&gt;$AB131,"À programmer avant 60 ans",""))))))))</f>
        <v/>
      </c>
      <c r="AD131" s="40"/>
      <c r="AE131" s="43" t="str">
        <f aca="false">IF(OR($B131="",$H131="",AND($I131&lt;&gt;"",$I131&lt;=DateRef)),"",MAX($H131,$AD131,IF($A131="",0,SUMPRODUCT(MAX((Journal!$A$6:$A$1005=$A131)*((Journal!$D$6:$D$1005=TypeEDL)+(Journal!$D$6:$D$1005=TypeBilan6))*Journal!$C$6:$C$1005)))))</f>
        <v/>
      </c>
      <c r="AF131" s="43" t="str">
        <f aca="false">IF($AE131="","",IF(AND(ReglesTransitoires="Oui",EDATE($AE131,AnciennePeriodiciteEDL*12)&lt;DateVigueur),EDATE($AE131,AnciennePeriodiciteEDL*12),EDATE($AE131,PeriodiciteEDL*12)))</f>
        <v/>
      </c>
      <c r="AG131" s="42" t="str">
        <f aca="false">IF($AF131="","",IF(AND($I131&lt;&gt;"",$I131&lt;=DateRef),"",IF($AF131&lt;DateRef,"En retard",IF($AF131-DateRef&lt;=SeuilAlerteEDL,"À prévoir","À jour"))))</f>
        <v/>
      </c>
      <c r="AH131" s="39"/>
      <c r="AI131" s="39"/>
      <c r="AJ131" s="42" t="str">
        <f aca="false">IF(OR($B131="",$H131=""),"",IF(AND($I131&lt;&gt;"",$I131&lt;=DateRef),"",IF(Effectif&lt;SeuilEffectif,"Non concerné (&lt; "&amp;SeuilEffectif&amp;" salariés)",IF($AH131="Oui","Pas de risque",IF(AND(OR($AI131="Non",$S131="En retard"),$AH131="Non"),"Risque abondement",IF(OR($AI131="Non",$S131="En retard"),"À vérifier (formation ?)",IF($AI131="Oui","Pas de risque","À compléter")))))))</f>
        <v/>
      </c>
      <c r="AK131" s="39"/>
    </row>
    <row r="132" customFormat="false" ht="15" hidden="false" customHeight="false" outlineLevel="0" collapsed="false">
      <c r="A132" s="39"/>
      <c r="B132" s="39"/>
      <c r="C132" s="39"/>
      <c r="D132" s="39"/>
      <c r="E132" s="39"/>
      <c r="F132" s="39"/>
      <c r="G132" s="40"/>
      <c r="H132" s="40"/>
      <c r="I132" s="40"/>
      <c r="J132" s="41" t="str">
        <f aca="false">IF(OR($B132="",$H132=""),"",IF($H132&gt;DateRef,0,YEARFRAC($H132,DateRef,1)))</f>
        <v/>
      </c>
      <c r="K132" s="42" t="str">
        <f aca="false">IF(OR($B132="",$H132=""),"",IF(EDATE($H132,12)&lt;=DateRef,"Plus d'un an","Moins d'un an"))</f>
        <v/>
      </c>
      <c r="L132" s="40"/>
      <c r="M132" s="43" t="str">
        <f aca="false">IF(OR($B132="",$A132=""),"",IF(SUMPRODUCT(MAX((Journal!$A$6:$A$1005=$A132)*Journal!$C$6:$C$1005))=0,"",SUMPRODUCT(MAX((Journal!$A$6:$A$1005=$A132)*Journal!$C$6:$C$1005))))</f>
        <v/>
      </c>
      <c r="N132" s="43" t="str">
        <f aca="false">IF($B132="","",IF(MAX($L132,$M132)=0,"",MAX($L132,$M132)))</f>
        <v/>
      </c>
      <c r="O132" s="44" t="str">
        <f aca="false">IF(OR($B132="",$H132=""),"",IF($N132="",IF(EDATE($H132,DelaiPremierEPP)&gt;DateRef,"1er EPP (1re année)","Aucun entretien renseigné"),IF(AND(ReglesTransitoires="Oui",EDATE($N132,AnciennePeriodiciteEP*12)&lt;DateVigueur),"Retard antérieur à la réforme","Périodicité "&amp;PeriodiciteEPP&amp;" ans")))</f>
        <v/>
      </c>
      <c r="P132" s="43" t="str">
        <f aca="false">IF(OR($B132="",$H132=""),"",IF($N132="",EDATE($H132,DelaiPremierEPP),IF(AND(ReglesTransitoires="Oui",EDATE($N132,AnciennePeriodiciteEP*12)&lt;DateVigueur),EDATE($N132,AnciennePeriodiciteEP*12),EDATE($N132,PeriodiciteEPP*12))))</f>
        <v/>
      </c>
      <c r="Q132" s="40"/>
      <c r="R132" s="45" t="str">
        <f aca="false">IF(OR($P132="",AND($I132&lt;&gt;"",$I132&lt;=DateRef)),"",$P132-DateRef)</f>
        <v/>
      </c>
      <c r="S132" s="42" t="str">
        <f aca="false">IF($B132="","",IF(AND($I132&lt;&gt;"",$I132&lt;=DateRef),"Sorti",IF($H132="","À compléter",IF(AND($Q132&lt;&gt;"",$Q132&gt;=DateRef,$Q132&lt;=$P132),"Planifié",IF($R132&lt;0,"En retard",IF($R132&lt;=SeuilAlerteEPP,"À planifier","À jour"))))))</f>
        <v/>
      </c>
      <c r="T132" s="46" t="str">
        <f aca="false">IF(OR($B132="",$S132="Sorti"),"",MID(IF($H132=""," | Date d'embauche manquante","")&amp;IF(AND($K132="Plus d'un an",$N132="")," | Précédent entretien à renseigner (ancienneté &gt; 1 an)","")&amp;IF($O132="Retard antérieur à la réforme"," | Ancien délai de 2 ans expiré avant la réforme","")&amp;IF(AND($N132&lt;&gt;"",$H132&lt;&gt;"",$N132&lt;$H132)," | Entretien antérieur à l'embauche ?","")&amp;IF(AND($N132&lt;&gt;"",$N132&gt;DateRef)," | Entretien daté dans le futur ?","")&amp;IF(AND($Q132&lt;&gt;"",$P132&lt;&gt;"",$Q132&gt;$P132)," | Date prévue après l'échéance","")&amp;IF(AND($Q132&lt;&gt;"",$Q132&lt;DateRef,OR($N132="",$N132&lt;$Q132))," | Entretien prévu passé : le consigner au Journal","")&amp;IF(AND($G132&lt;&gt;"",$X132="",YEAR(DateRef)-YEAR($G132)&gt;=AgeMiCarriere-1,YEAR(DateRef)-YEAR($G132)&lt;=AgeMiCarriere+1)," | Visite de mi-carrière à vérifier",""),4,1000))</f>
        <v/>
      </c>
      <c r="U132" s="39"/>
      <c r="V132" s="40"/>
      <c r="W132" s="42" t="str">
        <f aca="false">IF(OR($B132="",$V132=""),"",IF(AND($I132&lt;&gt;"",$I132&lt;=DateRef),"",IF(AND($N132&lt;&gt;"",$N132&gt;=$V132),"Réalisé",IF(AND($N132&lt;&gt;"",$N132&gt;=EDATE($V132,-FenetreRetour)),"Dispensé (EPP récent)",IF($V132&gt;DateRef,"À prévoir à la reprise","À proposer (reprise passée)")))))</f>
        <v/>
      </c>
      <c r="X132" s="40"/>
      <c r="Y132" s="43" t="str">
        <f aca="false">IF(OR($B132="",$X132=""),"",EDATE($X132,DelaiMiCarriere))</f>
        <v/>
      </c>
      <c r="Z132" s="42" t="str">
        <f aca="false">IF(OR($B132="",$X132=""),"",IF(AND($I132&lt;&gt;"",$I132&lt;=DateRef),"",IF(AND($N132&lt;&gt;"",$N132&gt;=$X132),"Réalisé",IF($Y132&lt;DateRef,"En retard","À planifier"))))</f>
        <v/>
      </c>
      <c r="AA132" s="47" t="str">
        <f aca="false">IF(OR($B132="",$G132=""),"",IF($G132&gt;DateRef,"",DATEDIF($G132,DateRef,"y")))</f>
        <v/>
      </c>
      <c r="AB132" s="43" t="str">
        <f aca="false">IF(OR($B132="",$G132=""),"",EDATE($G132,AgeFinCarriere*12))</f>
        <v/>
      </c>
      <c r="AC132" s="42" t="str">
        <f aca="false">IF(OR($B132="",$G132="",$H132=""),"",IF(AND($I132&lt;&gt;"",$I132&lt;=DateRef),"",IF($AB132&lt;DateVigueur,"Non concerné",IF(AND($N132&lt;&gt;"",$N132&gt;=MAX(EDATE($AB132,-FenetreFinCarriere*12),DateVigueur),$N132&lt;=$AB132),"Réalisé",IF(DateRef&gt;$AB132,"Non réalisé",IF(AND($Q132&lt;&gt;"",$Q132&gt;=EDATE($AB132,-FenetreFinCarriere*12),$Q132&lt;=$AB132),"Planifié dans la fenêtre",IF(AND(MAX($P132,DateRef)&gt;=EDATE($AB132,-FenetreFinCarriere*12),MAX($P132,DateRef)&lt;=$AB132),"Prochain EPP dans la fenêtre",IF(MAX($P132,DateRef)&gt;$AB132,"À programmer avant 60 ans",""))))))))</f>
        <v/>
      </c>
      <c r="AD132" s="40"/>
      <c r="AE132" s="43" t="str">
        <f aca="false">IF(OR($B132="",$H132="",AND($I132&lt;&gt;"",$I132&lt;=DateRef)),"",MAX($H132,$AD132,IF($A132="",0,SUMPRODUCT(MAX((Journal!$A$6:$A$1005=$A132)*((Journal!$D$6:$D$1005=TypeEDL)+(Journal!$D$6:$D$1005=TypeBilan6))*Journal!$C$6:$C$1005)))))</f>
        <v/>
      </c>
      <c r="AF132" s="43" t="str">
        <f aca="false">IF($AE132="","",IF(AND(ReglesTransitoires="Oui",EDATE($AE132,AnciennePeriodiciteEDL*12)&lt;DateVigueur),EDATE($AE132,AnciennePeriodiciteEDL*12),EDATE($AE132,PeriodiciteEDL*12)))</f>
        <v/>
      </c>
      <c r="AG132" s="42" t="str">
        <f aca="false">IF($AF132="","",IF(AND($I132&lt;&gt;"",$I132&lt;=DateRef),"",IF($AF132&lt;DateRef,"En retard",IF($AF132-DateRef&lt;=SeuilAlerteEDL,"À prévoir","À jour"))))</f>
        <v/>
      </c>
      <c r="AH132" s="39"/>
      <c r="AI132" s="39"/>
      <c r="AJ132" s="42" t="str">
        <f aca="false">IF(OR($B132="",$H132=""),"",IF(AND($I132&lt;&gt;"",$I132&lt;=DateRef),"",IF(Effectif&lt;SeuilEffectif,"Non concerné (&lt; "&amp;SeuilEffectif&amp;" salariés)",IF($AH132="Oui","Pas de risque",IF(AND(OR($AI132="Non",$S132="En retard"),$AH132="Non"),"Risque abondement",IF(OR($AI132="Non",$S132="En retard"),"À vérifier (formation ?)",IF($AI132="Oui","Pas de risque","À compléter")))))))</f>
        <v/>
      </c>
      <c r="AK132" s="39"/>
    </row>
    <row r="133" customFormat="false" ht="15" hidden="false" customHeight="false" outlineLevel="0" collapsed="false">
      <c r="A133" s="39"/>
      <c r="B133" s="39"/>
      <c r="C133" s="39"/>
      <c r="D133" s="39"/>
      <c r="E133" s="39"/>
      <c r="F133" s="39"/>
      <c r="G133" s="40"/>
      <c r="H133" s="40"/>
      <c r="I133" s="40"/>
      <c r="J133" s="41" t="str">
        <f aca="false">IF(OR($B133="",$H133=""),"",IF($H133&gt;DateRef,0,YEARFRAC($H133,DateRef,1)))</f>
        <v/>
      </c>
      <c r="K133" s="42" t="str">
        <f aca="false">IF(OR($B133="",$H133=""),"",IF(EDATE($H133,12)&lt;=DateRef,"Plus d'un an","Moins d'un an"))</f>
        <v/>
      </c>
      <c r="L133" s="40"/>
      <c r="M133" s="43" t="str">
        <f aca="false">IF(OR($B133="",$A133=""),"",IF(SUMPRODUCT(MAX((Journal!$A$6:$A$1005=$A133)*Journal!$C$6:$C$1005))=0,"",SUMPRODUCT(MAX((Journal!$A$6:$A$1005=$A133)*Journal!$C$6:$C$1005))))</f>
        <v/>
      </c>
      <c r="N133" s="43" t="str">
        <f aca="false">IF($B133="","",IF(MAX($L133,$M133)=0,"",MAX($L133,$M133)))</f>
        <v/>
      </c>
      <c r="O133" s="44" t="str">
        <f aca="false">IF(OR($B133="",$H133=""),"",IF($N133="",IF(EDATE($H133,DelaiPremierEPP)&gt;DateRef,"1er EPP (1re année)","Aucun entretien renseigné"),IF(AND(ReglesTransitoires="Oui",EDATE($N133,AnciennePeriodiciteEP*12)&lt;DateVigueur),"Retard antérieur à la réforme","Périodicité "&amp;PeriodiciteEPP&amp;" ans")))</f>
        <v/>
      </c>
      <c r="P133" s="43" t="str">
        <f aca="false">IF(OR($B133="",$H133=""),"",IF($N133="",EDATE($H133,DelaiPremierEPP),IF(AND(ReglesTransitoires="Oui",EDATE($N133,AnciennePeriodiciteEP*12)&lt;DateVigueur),EDATE($N133,AnciennePeriodiciteEP*12),EDATE($N133,PeriodiciteEPP*12))))</f>
        <v/>
      </c>
      <c r="Q133" s="40"/>
      <c r="R133" s="45" t="str">
        <f aca="false">IF(OR($P133="",AND($I133&lt;&gt;"",$I133&lt;=DateRef)),"",$P133-DateRef)</f>
        <v/>
      </c>
      <c r="S133" s="42" t="str">
        <f aca="false">IF($B133="","",IF(AND($I133&lt;&gt;"",$I133&lt;=DateRef),"Sorti",IF($H133="","À compléter",IF(AND($Q133&lt;&gt;"",$Q133&gt;=DateRef,$Q133&lt;=$P133),"Planifié",IF($R133&lt;0,"En retard",IF($R133&lt;=SeuilAlerteEPP,"À planifier","À jour"))))))</f>
        <v/>
      </c>
      <c r="T133" s="46" t="str">
        <f aca="false">IF(OR($B133="",$S133="Sorti"),"",MID(IF($H133=""," | Date d'embauche manquante","")&amp;IF(AND($K133="Plus d'un an",$N133="")," | Précédent entretien à renseigner (ancienneté &gt; 1 an)","")&amp;IF($O133="Retard antérieur à la réforme"," | Ancien délai de 2 ans expiré avant la réforme","")&amp;IF(AND($N133&lt;&gt;"",$H133&lt;&gt;"",$N133&lt;$H133)," | Entretien antérieur à l'embauche ?","")&amp;IF(AND($N133&lt;&gt;"",$N133&gt;DateRef)," | Entretien daté dans le futur ?","")&amp;IF(AND($Q133&lt;&gt;"",$P133&lt;&gt;"",$Q133&gt;$P133)," | Date prévue après l'échéance","")&amp;IF(AND($Q133&lt;&gt;"",$Q133&lt;DateRef,OR($N133="",$N133&lt;$Q133))," | Entretien prévu passé : le consigner au Journal","")&amp;IF(AND($G133&lt;&gt;"",$X133="",YEAR(DateRef)-YEAR($G133)&gt;=AgeMiCarriere-1,YEAR(DateRef)-YEAR($G133)&lt;=AgeMiCarriere+1)," | Visite de mi-carrière à vérifier",""),4,1000))</f>
        <v/>
      </c>
      <c r="U133" s="39"/>
      <c r="V133" s="40"/>
      <c r="W133" s="42" t="str">
        <f aca="false">IF(OR($B133="",$V133=""),"",IF(AND($I133&lt;&gt;"",$I133&lt;=DateRef),"",IF(AND($N133&lt;&gt;"",$N133&gt;=$V133),"Réalisé",IF(AND($N133&lt;&gt;"",$N133&gt;=EDATE($V133,-FenetreRetour)),"Dispensé (EPP récent)",IF($V133&gt;DateRef,"À prévoir à la reprise","À proposer (reprise passée)")))))</f>
        <v/>
      </c>
      <c r="X133" s="40"/>
      <c r="Y133" s="43" t="str">
        <f aca="false">IF(OR($B133="",$X133=""),"",EDATE($X133,DelaiMiCarriere))</f>
        <v/>
      </c>
      <c r="Z133" s="42" t="str">
        <f aca="false">IF(OR($B133="",$X133=""),"",IF(AND($I133&lt;&gt;"",$I133&lt;=DateRef),"",IF(AND($N133&lt;&gt;"",$N133&gt;=$X133),"Réalisé",IF($Y133&lt;DateRef,"En retard","À planifier"))))</f>
        <v/>
      </c>
      <c r="AA133" s="47" t="str">
        <f aca="false">IF(OR($B133="",$G133=""),"",IF($G133&gt;DateRef,"",DATEDIF($G133,DateRef,"y")))</f>
        <v/>
      </c>
      <c r="AB133" s="43" t="str">
        <f aca="false">IF(OR($B133="",$G133=""),"",EDATE($G133,AgeFinCarriere*12))</f>
        <v/>
      </c>
      <c r="AC133" s="42" t="str">
        <f aca="false">IF(OR($B133="",$G133="",$H133=""),"",IF(AND($I133&lt;&gt;"",$I133&lt;=DateRef),"",IF($AB133&lt;DateVigueur,"Non concerné",IF(AND($N133&lt;&gt;"",$N133&gt;=MAX(EDATE($AB133,-FenetreFinCarriere*12),DateVigueur),$N133&lt;=$AB133),"Réalisé",IF(DateRef&gt;$AB133,"Non réalisé",IF(AND($Q133&lt;&gt;"",$Q133&gt;=EDATE($AB133,-FenetreFinCarriere*12),$Q133&lt;=$AB133),"Planifié dans la fenêtre",IF(AND(MAX($P133,DateRef)&gt;=EDATE($AB133,-FenetreFinCarriere*12),MAX($P133,DateRef)&lt;=$AB133),"Prochain EPP dans la fenêtre",IF(MAX($P133,DateRef)&gt;$AB133,"À programmer avant 60 ans",""))))))))</f>
        <v/>
      </c>
      <c r="AD133" s="40"/>
      <c r="AE133" s="43" t="str">
        <f aca="false">IF(OR($B133="",$H133="",AND($I133&lt;&gt;"",$I133&lt;=DateRef)),"",MAX($H133,$AD133,IF($A133="",0,SUMPRODUCT(MAX((Journal!$A$6:$A$1005=$A133)*((Journal!$D$6:$D$1005=TypeEDL)+(Journal!$D$6:$D$1005=TypeBilan6))*Journal!$C$6:$C$1005)))))</f>
        <v/>
      </c>
      <c r="AF133" s="43" t="str">
        <f aca="false">IF($AE133="","",IF(AND(ReglesTransitoires="Oui",EDATE($AE133,AnciennePeriodiciteEDL*12)&lt;DateVigueur),EDATE($AE133,AnciennePeriodiciteEDL*12),EDATE($AE133,PeriodiciteEDL*12)))</f>
        <v/>
      </c>
      <c r="AG133" s="42" t="str">
        <f aca="false">IF($AF133="","",IF(AND($I133&lt;&gt;"",$I133&lt;=DateRef),"",IF($AF133&lt;DateRef,"En retard",IF($AF133-DateRef&lt;=SeuilAlerteEDL,"À prévoir","À jour"))))</f>
        <v/>
      </c>
      <c r="AH133" s="39"/>
      <c r="AI133" s="39"/>
      <c r="AJ133" s="42" t="str">
        <f aca="false">IF(OR($B133="",$H133=""),"",IF(AND($I133&lt;&gt;"",$I133&lt;=DateRef),"",IF(Effectif&lt;SeuilEffectif,"Non concerné (&lt; "&amp;SeuilEffectif&amp;" salariés)",IF($AH133="Oui","Pas de risque",IF(AND(OR($AI133="Non",$S133="En retard"),$AH133="Non"),"Risque abondement",IF(OR($AI133="Non",$S133="En retard"),"À vérifier (formation ?)",IF($AI133="Oui","Pas de risque","À compléter")))))))</f>
        <v/>
      </c>
      <c r="AK133" s="39"/>
    </row>
    <row r="134" customFormat="false" ht="15" hidden="false" customHeight="false" outlineLevel="0" collapsed="false">
      <c r="A134" s="39"/>
      <c r="B134" s="39"/>
      <c r="C134" s="39"/>
      <c r="D134" s="39"/>
      <c r="E134" s="39"/>
      <c r="F134" s="39"/>
      <c r="G134" s="40"/>
      <c r="H134" s="40"/>
      <c r="I134" s="40"/>
      <c r="J134" s="41" t="str">
        <f aca="false">IF(OR($B134="",$H134=""),"",IF($H134&gt;DateRef,0,YEARFRAC($H134,DateRef,1)))</f>
        <v/>
      </c>
      <c r="K134" s="42" t="str">
        <f aca="false">IF(OR($B134="",$H134=""),"",IF(EDATE($H134,12)&lt;=DateRef,"Plus d'un an","Moins d'un an"))</f>
        <v/>
      </c>
      <c r="L134" s="40"/>
      <c r="M134" s="43" t="str">
        <f aca="false">IF(OR($B134="",$A134=""),"",IF(SUMPRODUCT(MAX((Journal!$A$6:$A$1005=$A134)*Journal!$C$6:$C$1005))=0,"",SUMPRODUCT(MAX((Journal!$A$6:$A$1005=$A134)*Journal!$C$6:$C$1005))))</f>
        <v/>
      </c>
      <c r="N134" s="43" t="str">
        <f aca="false">IF($B134="","",IF(MAX($L134,$M134)=0,"",MAX($L134,$M134)))</f>
        <v/>
      </c>
      <c r="O134" s="44" t="str">
        <f aca="false">IF(OR($B134="",$H134=""),"",IF($N134="",IF(EDATE($H134,DelaiPremierEPP)&gt;DateRef,"1er EPP (1re année)","Aucun entretien renseigné"),IF(AND(ReglesTransitoires="Oui",EDATE($N134,AnciennePeriodiciteEP*12)&lt;DateVigueur),"Retard antérieur à la réforme","Périodicité "&amp;PeriodiciteEPP&amp;" ans")))</f>
        <v/>
      </c>
      <c r="P134" s="43" t="str">
        <f aca="false">IF(OR($B134="",$H134=""),"",IF($N134="",EDATE($H134,DelaiPremierEPP),IF(AND(ReglesTransitoires="Oui",EDATE($N134,AnciennePeriodiciteEP*12)&lt;DateVigueur),EDATE($N134,AnciennePeriodiciteEP*12),EDATE($N134,PeriodiciteEPP*12))))</f>
        <v/>
      </c>
      <c r="Q134" s="40"/>
      <c r="R134" s="45" t="str">
        <f aca="false">IF(OR($P134="",AND($I134&lt;&gt;"",$I134&lt;=DateRef)),"",$P134-DateRef)</f>
        <v/>
      </c>
      <c r="S134" s="42" t="str">
        <f aca="false">IF($B134="","",IF(AND($I134&lt;&gt;"",$I134&lt;=DateRef),"Sorti",IF($H134="","À compléter",IF(AND($Q134&lt;&gt;"",$Q134&gt;=DateRef,$Q134&lt;=$P134),"Planifié",IF($R134&lt;0,"En retard",IF($R134&lt;=SeuilAlerteEPP,"À planifier","À jour"))))))</f>
        <v/>
      </c>
      <c r="T134" s="46" t="str">
        <f aca="false">IF(OR($B134="",$S134="Sorti"),"",MID(IF($H134=""," | Date d'embauche manquante","")&amp;IF(AND($K134="Plus d'un an",$N134="")," | Précédent entretien à renseigner (ancienneté &gt; 1 an)","")&amp;IF($O134="Retard antérieur à la réforme"," | Ancien délai de 2 ans expiré avant la réforme","")&amp;IF(AND($N134&lt;&gt;"",$H134&lt;&gt;"",$N134&lt;$H134)," | Entretien antérieur à l'embauche ?","")&amp;IF(AND($N134&lt;&gt;"",$N134&gt;DateRef)," | Entretien daté dans le futur ?","")&amp;IF(AND($Q134&lt;&gt;"",$P134&lt;&gt;"",$Q134&gt;$P134)," | Date prévue après l'échéance","")&amp;IF(AND($Q134&lt;&gt;"",$Q134&lt;DateRef,OR($N134="",$N134&lt;$Q134))," | Entretien prévu passé : le consigner au Journal","")&amp;IF(AND($G134&lt;&gt;"",$X134="",YEAR(DateRef)-YEAR($G134)&gt;=AgeMiCarriere-1,YEAR(DateRef)-YEAR($G134)&lt;=AgeMiCarriere+1)," | Visite de mi-carrière à vérifier",""),4,1000))</f>
        <v/>
      </c>
      <c r="U134" s="39"/>
      <c r="V134" s="40"/>
      <c r="W134" s="42" t="str">
        <f aca="false">IF(OR($B134="",$V134=""),"",IF(AND($I134&lt;&gt;"",$I134&lt;=DateRef),"",IF(AND($N134&lt;&gt;"",$N134&gt;=$V134),"Réalisé",IF(AND($N134&lt;&gt;"",$N134&gt;=EDATE($V134,-FenetreRetour)),"Dispensé (EPP récent)",IF($V134&gt;DateRef,"À prévoir à la reprise","À proposer (reprise passée)")))))</f>
        <v/>
      </c>
      <c r="X134" s="40"/>
      <c r="Y134" s="43" t="str">
        <f aca="false">IF(OR($B134="",$X134=""),"",EDATE($X134,DelaiMiCarriere))</f>
        <v/>
      </c>
      <c r="Z134" s="42" t="str">
        <f aca="false">IF(OR($B134="",$X134=""),"",IF(AND($I134&lt;&gt;"",$I134&lt;=DateRef),"",IF(AND($N134&lt;&gt;"",$N134&gt;=$X134),"Réalisé",IF($Y134&lt;DateRef,"En retard","À planifier"))))</f>
        <v/>
      </c>
      <c r="AA134" s="47" t="str">
        <f aca="false">IF(OR($B134="",$G134=""),"",IF($G134&gt;DateRef,"",DATEDIF($G134,DateRef,"y")))</f>
        <v/>
      </c>
      <c r="AB134" s="43" t="str">
        <f aca="false">IF(OR($B134="",$G134=""),"",EDATE($G134,AgeFinCarriere*12))</f>
        <v/>
      </c>
      <c r="AC134" s="42" t="str">
        <f aca="false">IF(OR($B134="",$G134="",$H134=""),"",IF(AND($I134&lt;&gt;"",$I134&lt;=DateRef),"",IF($AB134&lt;DateVigueur,"Non concerné",IF(AND($N134&lt;&gt;"",$N134&gt;=MAX(EDATE($AB134,-FenetreFinCarriere*12),DateVigueur),$N134&lt;=$AB134),"Réalisé",IF(DateRef&gt;$AB134,"Non réalisé",IF(AND($Q134&lt;&gt;"",$Q134&gt;=EDATE($AB134,-FenetreFinCarriere*12),$Q134&lt;=$AB134),"Planifié dans la fenêtre",IF(AND(MAX($P134,DateRef)&gt;=EDATE($AB134,-FenetreFinCarriere*12),MAX($P134,DateRef)&lt;=$AB134),"Prochain EPP dans la fenêtre",IF(MAX($P134,DateRef)&gt;$AB134,"À programmer avant 60 ans",""))))))))</f>
        <v/>
      </c>
      <c r="AD134" s="40"/>
      <c r="AE134" s="43" t="str">
        <f aca="false">IF(OR($B134="",$H134="",AND($I134&lt;&gt;"",$I134&lt;=DateRef)),"",MAX($H134,$AD134,IF($A134="",0,SUMPRODUCT(MAX((Journal!$A$6:$A$1005=$A134)*((Journal!$D$6:$D$1005=TypeEDL)+(Journal!$D$6:$D$1005=TypeBilan6))*Journal!$C$6:$C$1005)))))</f>
        <v/>
      </c>
      <c r="AF134" s="43" t="str">
        <f aca="false">IF($AE134="","",IF(AND(ReglesTransitoires="Oui",EDATE($AE134,AnciennePeriodiciteEDL*12)&lt;DateVigueur),EDATE($AE134,AnciennePeriodiciteEDL*12),EDATE($AE134,PeriodiciteEDL*12)))</f>
        <v/>
      </c>
      <c r="AG134" s="42" t="str">
        <f aca="false">IF($AF134="","",IF(AND($I134&lt;&gt;"",$I134&lt;=DateRef),"",IF($AF134&lt;DateRef,"En retard",IF($AF134-DateRef&lt;=SeuilAlerteEDL,"À prévoir","À jour"))))</f>
        <v/>
      </c>
      <c r="AH134" s="39"/>
      <c r="AI134" s="39"/>
      <c r="AJ134" s="42" t="str">
        <f aca="false">IF(OR($B134="",$H134=""),"",IF(AND($I134&lt;&gt;"",$I134&lt;=DateRef),"",IF(Effectif&lt;SeuilEffectif,"Non concerné (&lt; "&amp;SeuilEffectif&amp;" salariés)",IF($AH134="Oui","Pas de risque",IF(AND(OR($AI134="Non",$S134="En retard"),$AH134="Non"),"Risque abondement",IF(OR($AI134="Non",$S134="En retard"),"À vérifier (formation ?)",IF($AI134="Oui","Pas de risque","À compléter")))))))</f>
        <v/>
      </c>
      <c r="AK134" s="39"/>
    </row>
    <row r="135" customFormat="false" ht="15" hidden="false" customHeight="false" outlineLevel="0" collapsed="false">
      <c r="A135" s="39"/>
      <c r="B135" s="39"/>
      <c r="C135" s="39"/>
      <c r="D135" s="39"/>
      <c r="E135" s="39"/>
      <c r="F135" s="39"/>
      <c r="G135" s="40"/>
      <c r="H135" s="40"/>
      <c r="I135" s="40"/>
      <c r="J135" s="41" t="str">
        <f aca="false">IF(OR($B135="",$H135=""),"",IF($H135&gt;DateRef,0,YEARFRAC($H135,DateRef,1)))</f>
        <v/>
      </c>
      <c r="K135" s="42" t="str">
        <f aca="false">IF(OR($B135="",$H135=""),"",IF(EDATE($H135,12)&lt;=DateRef,"Plus d'un an","Moins d'un an"))</f>
        <v/>
      </c>
      <c r="L135" s="40"/>
      <c r="M135" s="43" t="str">
        <f aca="false">IF(OR($B135="",$A135=""),"",IF(SUMPRODUCT(MAX((Journal!$A$6:$A$1005=$A135)*Journal!$C$6:$C$1005))=0,"",SUMPRODUCT(MAX((Journal!$A$6:$A$1005=$A135)*Journal!$C$6:$C$1005))))</f>
        <v/>
      </c>
      <c r="N135" s="43" t="str">
        <f aca="false">IF($B135="","",IF(MAX($L135,$M135)=0,"",MAX($L135,$M135)))</f>
        <v/>
      </c>
      <c r="O135" s="44" t="str">
        <f aca="false">IF(OR($B135="",$H135=""),"",IF($N135="",IF(EDATE($H135,DelaiPremierEPP)&gt;DateRef,"1er EPP (1re année)","Aucun entretien renseigné"),IF(AND(ReglesTransitoires="Oui",EDATE($N135,AnciennePeriodiciteEP*12)&lt;DateVigueur),"Retard antérieur à la réforme","Périodicité "&amp;PeriodiciteEPP&amp;" ans")))</f>
        <v/>
      </c>
      <c r="P135" s="43" t="str">
        <f aca="false">IF(OR($B135="",$H135=""),"",IF($N135="",EDATE($H135,DelaiPremierEPP),IF(AND(ReglesTransitoires="Oui",EDATE($N135,AnciennePeriodiciteEP*12)&lt;DateVigueur),EDATE($N135,AnciennePeriodiciteEP*12),EDATE($N135,PeriodiciteEPP*12))))</f>
        <v/>
      </c>
      <c r="Q135" s="40"/>
      <c r="R135" s="45" t="str">
        <f aca="false">IF(OR($P135="",AND($I135&lt;&gt;"",$I135&lt;=DateRef)),"",$P135-DateRef)</f>
        <v/>
      </c>
      <c r="S135" s="42" t="str">
        <f aca="false">IF($B135="","",IF(AND($I135&lt;&gt;"",$I135&lt;=DateRef),"Sorti",IF($H135="","À compléter",IF(AND($Q135&lt;&gt;"",$Q135&gt;=DateRef,$Q135&lt;=$P135),"Planifié",IF($R135&lt;0,"En retard",IF($R135&lt;=SeuilAlerteEPP,"À planifier","À jour"))))))</f>
        <v/>
      </c>
      <c r="T135" s="46" t="str">
        <f aca="false">IF(OR($B135="",$S135="Sorti"),"",MID(IF($H135=""," | Date d'embauche manquante","")&amp;IF(AND($K135="Plus d'un an",$N135="")," | Précédent entretien à renseigner (ancienneté &gt; 1 an)","")&amp;IF($O135="Retard antérieur à la réforme"," | Ancien délai de 2 ans expiré avant la réforme","")&amp;IF(AND($N135&lt;&gt;"",$H135&lt;&gt;"",$N135&lt;$H135)," | Entretien antérieur à l'embauche ?","")&amp;IF(AND($N135&lt;&gt;"",$N135&gt;DateRef)," | Entretien daté dans le futur ?","")&amp;IF(AND($Q135&lt;&gt;"",$P135&lt;&gt;"",$Q135&gt;$P135)," | Date prévue après l'échéance","")&amp;IF(AND($Q135&lt;&gt;"",$Q135&lt;DateRef,OR($N135="",$N135&lt;$Q135))," | Entretien prévu passé : le consigner au Journal","")&amp;IF(AND($G135&lt;&gt;"",$X135="",YEAR(DateRef)-YEAR($G135)&gt;=AgeMiCarriere-1,YEAR(DateRef)-YEAR($G135)&lt;=AgeMiCarriere+1)," | Visite de mi-carrière à vérifier",""),4,1000))</f>
        <v/>
      </c>
      <c r="U135" s="39"/>
      <c r="V135" s="40"/>
      <c r="W135" s="42" t="str">
        <f aca="false">IF(OR($B135="",$V135=""),"",IF(AND($I135&lt;&gt;"",$I135&lt;=DateRef),"",IF(AND($N135&lt;&gt;"",$N135&gt;=$V135),"Réalisé",IF(AND($N135&lt;&gt;"",$N135&gt;=EDATE($V135,-FenetreRetour)),"Dispensé (EPP récent)",IF($V135&gt;DateRef,"À prévoir à la reprise","À proposer (reprise passée)")))))</f>
        <v/>
      </c>
      <c r="X135" s="40"/>
      <c r="Y135" s="43" t="str">
        <f aca="false">IF(OR($B135="",$X135=""),"",EDATE($X135,DelaiMiCarriere))</f>
        <v/>
      </c>
      <c r="Z135" s="42" t="str">
        <f aca="false">IF(OR($B135="",$X135=""),"",IF(AND($I135&lt;&gt;"",$I135&lt;=DateRef),"",IF(AND($N135&lt;&gt;"",$N135&gt;=$X135),"Réalisé",IF($Y135&lt;DateRef,"En retard","À planifier"))))</f>
        <v/>
      </c>
      <c r="AA135" s="47" t="str">
        <f aca="false">IF(OR($B135="",$G135=""),"",IF($G135&gt;DateRef,"",DATEDIF($G135,DateRef,"y")))</f>
        <v/>
      </c>
      <c r="AB135" s="43" t="str">
        <f aca="false">IF(OR($B135="",$G135=""),"",EDATE($G135,AgeFinCarriere*12))</f>
        <v/>
      </c>
      <c r="AC135" s="42" t="str">
        <f aca="false">IF(OR($B135="",$G135="",$H135=""),"",IF(AND($I135&lt;&gt;"",$I135&lt;=DateRef),"",IF($AB135&lt;DateVigueur,"Non concerné",IF(AND($N135&lt;&gt;"",$N135&gt;=MAX(EDATE($AB135,-FenetreFinCarriere*12),DateVigueur),$N135&lt;=$AB135),"Réalisé",IF(DateRef&gt;$AB135,"Non réalisé",IF(AND($Q135&lt;&gt;"",$Q135&gt;=EDATE($AB135,-FenetreFinCarriere*12),$Q135&lt;=$AB135),"Planifié dans la fenêtre",IF(AND(MAX($P135,DateRef)&gt;=EDATE($AB135,-FenetreFinCarriere*12),MAX($P135,DateRef)&lt;=$AB135),"Prochain EPP dans la fenêtre",IF(MAX($P135,DateRef)&gt;$AB135,"À programmer avant 60 ans",""))))))))</f>
        <v/>
      </c>
      <c r="AD135" s="40"/>
      <c r="AE135" s="43" t="str">
        <f aca="false">IF(OR($B135="",$H135="",AND($I135&lt;&gt;"",$I135&lt;=DateRef)),"",MAX($H135,$AD135,IF($A135="",0,SUMPRODUCT(MAX((Journal!$A$6:$A$1005=$A135)*((Journal!$D$6:$D$1005=TypeEDL)+(Journal!$D$6:$D$1005=TypeBilan6))*Journal!$C$6:$C$1005)))))</f>
        <v/>
      </c>
      <c r="AF135" s="43" t="str">
        <f aca="false">IF($AE135="","",IF(AND(ReglesTransitoires="Oui",EDATE($AE135,AnciennePeriodiciteEDL*12)&lt;DateVigueur),EDATE($AE135,AnciennePeriodiciteEDL*12),EDATE($AE135,PeriodiciteEDL*12)))</f>
        <v/>
      </c>
      <c r="AG135" s="42" t="str">
        <f aca="false">IF($AF135="","",IF(AND($I135&lt;&gt;"",$I135&lt;=DateRef),"",IF($AF135&lt;DateRef,"En retard",IF($AF135-DateRef&lt;=SeuilAlerteEDL,"À prévoir","À jour"))))</f>
        <v/>
      </c>
      <c r="AH135" s="39"/>
      <c r="AI135" s="39"/>
      <c r="AJ135" s="42" t="str">
        <f aca="false">IF(OR($B135="",$H135=""),"",IF(AND($I135&lt;&gt;"",$I135&lt;=DateRef),"",IF(Effectif&lt;SeuilEffectif,"Non concerné (&lt; "&amp;SeuilEffectif&amp;" salariés)",IF($AH135="Oui","Pas de risque",IF(AND(OR($AI135="Non",$S135="En retard"),$AH135="Non"),"Risque abondement",IF(OR($AI135="Non",$S135="En retard"),"À vérifier (formation ?)",IF($AI135="Oui","Pas de risque","À compléter")))))))</f>
        <v/>
      </c>
      <c r="AK135" s="39"/>
    </row>
    <row r="136" customFormat="false" ht="15" hidden="false" customHeight="false" outlineLevel="0" collapsed="false">
      <c r="A136" s="39"/>
      <c r="B136" s="39"/>
      <c r="C136" s="39"/>
      <c r="D136" s="39"/>
      <c r="E136" s="39"/>
      <c r="F136" s="39"/>
      <c r="G136" s="40"/>
      <c r="H136" s="40"/>
      <c r="I136" s="40"/>
      <c r="J136" s="41" t="str">
        <f aca="false">IF(OR($B136="",$H136=""),"",IF($H136&gt;DateRef,0,YEARFRAC($H136,DateRef,1)))</f>
        <v/>
      </c>
      <c r="K136" s="42" t="str">
        <f aca="false">IF(OR($B136="",$H136=""),"",IF(EDATE($H136,12)&lt;=DateRef,"Plus d'un an","Moins d'un an"))</f>
        <v/>
      </c>
      <c r="L136" s="40"/>
      <c r="M136" s="43" t="str">
        <f aca="false">IF(OR($B136="",$A136=""),"",IF(SUMPRODUCT(MAX((Journal!$A$6:$A$1005=$A136)*Journal!$C$6:$C$1005))=0,"",SUMPRODUCT(MAX((Journal!$A$6:$A$1005=$A136)*Journal!$C$6:$C$1005))))</f>
        <v/>
      </c>
      <c r="N136" s="43" t="str">
        <f aca="false">IF($B136="","",IF(MAX($L136,$M136)=0,"",MAX($L136,$M136)))</f>
        <v/>
      </c>
      <c r="O136" s="44" t="str">
        <f aca="false">IF(OR($B136="",$H136=""),"",IF($N136="",IF(EDATE($H136,DelaiPremierEPP)&gt;DateRef,"1er EPP (1re année)","Aucun entretien renseigné"),IF(AND(ReglesTransitoires="Oui",EDATE($N136,AnciennePeriodiciteEP*12)&lt;DateVigueur),"Retard antérieur à la réforme","Périodicité "&amp;PeriodiciteEPP&amp;" ans")))</f>
        <v/>
      </c>
      <c r="P136" s="43" t="str">
        <f aca="false">IF(OR($B136="",$H136=""),"",IF($N136="",EDATE($H136,DelaiPremierEPP),IF(AND(ReglesTransitoires="Oui",EDATE($N136,AnciennePeriodiciteEP*12)&lt;DateVigueur),EDATE($N136,AnciennePeriodiciteEP*12),EDATE($N136,PeriodiciteEPP*12))))</f>
        <v/>
      </c>
      <c r="Q136" s="40"/>
      <c r="R136" s="45" t="str">
        <f aca="false">IF(OR($P136="",AND($I136&lt;&gt;"",$I136&lt;=DateRef)),"",$P136-DateRef)</f>
        <v/>
      </c>
      <c r="S136" s="42" t="str">
        <f aca="false">IF($B136="","",IF(AND($I136&lt;&gt;"",$I136&lt;=DateRef),"Sorti",IF($H136="","À compléter",IF(AND($Q136&lt;&gt;"",$Q136&gt;=DateRef,$Q136&lt;=$P136),"Planifié",IF($R136&lt;0,"En retard",IF($R136&lt;=SeuilAlerteEPP,"À planifier","À jour"))))))</f>
        <v/>
      </c>
      <c r="T136" s="46" t="str">
        <f aca="false">IF(OR($B136="",$S136="Sorti"),"",MID(IF($H136=""," | Date d'embauche manquante","")&amp;IF(AND($K136="Plus d'un an",$N136="")," | Précédent entretien à renseigner (ancienneté &gt; 1 an)","")&amp;IF($O136="Retard antérieur à la réforme"," | Ancien délai de 2 ans expiré avant la réforme","")&amp;IF(AND($N136&lt;&gt;"",$H136&lt;&gt;"",$N136&lt;$H136)," | Entretien antérieur à l'embauche ?","")&amp;IF(AND($N136&lt;&gt;"",$N136&gt;DateRef)," | Entretien daté dans le futur ?","")&amp;IF(AND($Q136&lt;&gt;"",$P136&lt;&gt;"",$Q136&gt;$P136)," | Date prévue après l'échéance","")&amp;IF(AND($Q136&lt;&gt;"",$Q136&lt;DateRef,OR($N136="",$N136&lt;$Q136))," | Entretien prévu passé : le consigner au Journal","")&amp;IF(AND($G136&lt;&gt;"",$X136="",YEAR(DateRef)-YEAR($G136)&gt;=AgeMiCarriere-1,YEAR(DateRef)-YEAR($G136)&lt;=AgeMiCarriere+1)," | Visite de mi-carrière à vérifier",""),4,1000))</f>
        <v/>
      </c>
      <c r="U136" s="39"/>
      <c r="V136" s="40"/>
      <c r="W136" s="42" t="str">
        <f aca="false">IF(OR($B136="",$V136=""),"",IF(AND($I136&lt;&gt;"",$I136&lt;=DateRef),"",IF(AND($N136&lt;&gt;"",$N136&gt;=$V136),"Réalisé",IF(AND($N136&lt;&gt;"",$N136&gt;=EDATE($V136,-FenetreRetour)),"Dispensé (EPP récent)",IF($V136&gt;DateRef,"À prévoir à la reprise","À proposer (reprise passée)")))))</f>
        <v/>
      </c>
      <c r="X136" s="40"/>
      <c r="Y136" s="43" t="str">
        <f aca="false">IF(OR($B136="",$X136=""),"",EDATE($X136,DelaiMiCarriere))</f>
        <v/>
      </c>
      <c r="Z136" s="42" t="str">
        <f aca="false">IF(OR($B136="",$X136=""),"",IF(AND($I136&lt;&gt;"",$I136&lt;=DateRef),"",IF(AND($N136&lt;&gt;"",$N136&gt;=$X136),"Réalisé",IF($Y136&lt;DateRef,"En retard","À planifier"))))</f>
        <v/>
      </c>
      <c r="AA136" s="47" t="str">
        <f aca="false">IF(OR($B136="",$G136=""),"",IF($G136&gt;DateRef,"",DATEDIF($G136,DateRef,"y")))</f>
        <v/>
      </c>
      <c r="AB136" s="43" t="str">
        <f aca="false">IF(OR($B136="",$G136=""),"",EDATE($G136,AgeFinCarriere*12))</f>
        <v/>
      </c>
      <c r="AC136" s="42" t="str">
        <f aca="false">IF(OR($B136="",$G136="",$H136=""),"",IF(AND($I136&lt;&gt;"",$I136&lt;=DateRef),"",IF($AB136&lt;DateVigueur,"Non concerné",IF(AND($N136&lt;&gt;"",$N136&gt;=MAX(EDATE($AB136,-FenetreFinCarriere*12),DateVigueur),$N136&lt;=$AB136),"Réalisé",IF(DateRef&gt;$AB136,"Non réalisé",IF(AND($Q136&lt;&gt;"",$Q136&gt;=EDATE($AB136,-FenetreFinCarriere*12),$Q136&lt;=$AB136),"Planifié dans la fenêtre",IF(AND(MAX($P136,DateRef)&gt;=EDATE($AB136,-FenetreFinCarriere*12),MAX($P136,DateRef)&lt;=$AB136),"Prochain EPP dans la fenêtre",IF(MAX($P136,DateRef)&gt;$AB136,"À programmer avant 60 ans",""))))))))</f>
        <v/>
      </c>
      <c r="AD136" s="40"/>
      <c r="AE136" s="43" t="str">
        <f aca="false">IF(OR($B136="",$H136="",AND($I136&lt;&gt;"",$I136&lt;=DateRef)),"",MAX($H136,$AD136,IF($A136="",0,SUMPRODUCT(MAX((Journal!$A$6:$A$1005=$A136)*((Journal!$D$6:$D$1005=TypeEDL)+(Journal!$D$6:$D$1005=TypeBilan6))*Journal!$C$6:$C$1005)))))</f>
        <v/>
      </c>
      <c r="AF136" s="43" t="str">
        <f aca="false">IF($AE136="","",IF(AND(ReglesTransitoires="Oui",EDATE($AE136,AnciennePeriodiciteEDL*12)&lt;DateVigueur),EDATE($AE136,AnciennePeriodiciteEDL*12),EDATE($AE136,PeriodiciteEDL*12)))</f>
        <v/>
      </c>
      <c r="AG136" s="42" t="str">
        <f aca="false">IF($AF136="","",IF(AND($I136&lt;&gt;"",$I136&lt;=DateRef),"",IF($AF136&lt;DateRef,"En retard",IF($AF136-DateRef&lt;=SeuilAlerteEDL,"À prévoir","À jour"))))</f>
        <v/>
      </c>
      <c r="AH136" s="39"/>
      <c r="AI136" s="39"/>
      <c r="AJ136" s="42" t="str">
        <f aca="false">IF(OR($B136="",$H136=""),"",IF(AND($I136&lt;&gt;"",$I136&lt;=DateRef),"",IF(Effectif&lt;SeuilEffectif,"Non concerné (&lt; "&amp;SeuilEffectif&amp;" salariés)",IF($AH136="Oui","Pas de risque",IF(AND(OR($AI136="Non",$S136="En retard"),$AH136="Non"),"Risque abondement",IF(OR($AI136="Non",$S136="En retard"),"À vérifier (formation ?)",IF($AI136="Oui","Pas de risque","À compléter")))))))</f>
        <v/>
      </c>
      <c r="AK136" s="39"/>
    </row>
    <row r="137" customFormat="false" ht="15" hidden="false" customHeight="false" outlineLevel="0" collapsed="false">
      <c r="A137" s="39"/>
      <c r="B137" s="39"/>
      <c r="C137" s="39"/>
      <c r="D137" s="39"/>
      <c r="E137" s="39"/>
      <c r="F137" s="39"/>
      <c r="G137" s="40"/>
      <c r="H137" s="40"/>
      <c r="I137" s="40"/>
      <c r="J137" s="41" t="str">
        <f aca="false">IF(OR($B137="",$H137=""),"",IF($H137&gt;DateRef,0,YEARFRAC($H137,DateRef,1)))</f>
        <v/>
      </c>
      <c r="K137" s="42" t="str">
        <f aca="false">IF(OR($B137="",$H137=""),"",IF(EDATE($H137,12)&lt;=DateRef,"Plus d'un an","Moins d'un an"))</f>
        <v/>
      </c>
      <c r="L137" s="40"/>
      <c r="M137" s="43" t="str">
        <f aca="false">IF(OR($B137="",$A137=""),"",IF(SUMPRODUCT(MAX((Journal!$A$6:$A$1005=$A137)*Journal!$C$6:$C$1005))=0,"",SUMPRODUCT(MAX((Journal!$A$6:$A$1005=$A137)*Journal!$C$6:$C$1005))))</f>
        <v/>
      </c>
      <c r="N137" s="43" t="str">
        <f aca="false">IF($B137="","",IF(MAX($L137,$M137)=0,"",MAX($L137,$M137)))</f>
        <v/>
      </c>
      <c r="O137" s="44" t="str">
        <f aca="false">IF(OR($B137="",$H137=""),"",IF($N137="",IF(EDATE($H137,DelaiPremierEPP)&gt;DateRef,"1er EPP (1re année)","Aucun entretien renseigné"),IF(AND(ReglesTransitoires="Oui",EDATE($N137,AnciennePeriodiciteEP*12)&lt;DateVigueur),"Retard antérieur à la réforme","Périodicité "&amp;PeriodiciteEPP&amp;" ans")))</f>
        <v/>
      </c>
      <c r="P137" s="43" t="str">
        <f aca="false">IF(OR($B137="",$H137=""),"",IF($N137="",EDATE($H137,DelaiPremierEPP),IF(AND(ReglesTransitoires="Oui",EDATE($N137,AnciennePeriodiciteEP*12)&lt;DateVigueur),EDATE($N137,AnciennePeriodiciteEP*12),EDATE($N137,PeriodiciteEPP*12))))</f>
        <v/>
      </c>
      <c r="Q137" s="40"/>
      <c r="R137" s="45" t="str">
        <f aca="false">IF(OR($P137="",AND($I137&lt;&gt;"",$I137&lt;=DateRef)),"",$P137-DateRef)</f>
        <v/>
      </c>
      <c r="S137" s="42" t="str">
        <f aca="false">IF($B137="","",IF(AND($I137&lt;&gt;"",$I137&lt;=DateRef),"Sorti",IF($H137="","À compléter",IF(AND($Q137&lt;&gt;"",$Q137&gt;=DateRef,$Q137&lt;=$P137),"Planifié",IF($R137&lt;0,"En retard",IF($R137&lt;=SeuilAlerteEPP,"À planifier","À jour"))))))</f>
        <v/>
      </c>
      <c r="T137" s="46" t="str">
        <f aca="false">IF(OR($B137="",$S137="Sorti"),"",MID(IF($H137=""," | Date d'embauche manquante","")&amp;IF(AND($K137="Plus d'un an",$N137="")," | Précédent entretien à renseigner (ancienneté &gt; 1 an)","")&amp;IF($O137="Retard antérieur à la réforme"," | Ancien délai de 2 ans expiré avant la réforme","")&amp;IF(AND($N137&lt;&gt;"",$H137&lt;&gt;"",$N137&lt;$H137)," | Entretien antérieur à l'embauche ?","")&amp;IF(AND($N137&lt;&gt;"",$N137&gt;DateRef)," | Entretien daté dans le futur ?","")&amp;IF(AND($Q137&lt;&gt;"",$P137&lt;&gt;"",$Q137&gt;$P137)," | Date prévue après l'échéance","")&amp;IF(AND($Q137&lt;&gt;"",$Q137&lt;DateRef,OR($N137="",$N137&lt;$Q137))," | Entretien prévu passé : le consigner au Journal","")&amp;IF(AND($G137&lt;&gt;"",$X137="",YEAR(DateRef)-YEAR($G137)&gt;=AgeMiCarriere-1,YEAR(DateRef)-YEAR($G137)&lt;=AgeMiCarriere+1)," | Visite de mi-carrière à vérifier",""),4,1000))</f>
        <v/>
      </c>
      <c r="U137" s="39"/>
      <c r="V137" s="40"/>
      <c r="W137" s="42" t="str">
        <f aca="false">IF(OR($B137="",$V137=""),"",IF(AND($I137&lt;&gt;"",$I137&lt;=DateRef),"",IF(AND($N137&lt;&gt;"",$N137&gt;=$V137),"Réalisé",IF(AND($N137&lt;&gt;"",$N137&gt;=EDATE($V137,-FenetreRetour)),"Dispensé (EPP récent)",IF($V137&gt;DateRef,"À prévoir à la reprise","À proposer (reprise passée)")))))</f>
        <v/>
      </c>
      <c r="X137" s="40"/>
      <c r="Y137" s="43" t="str">
        <f aca="false">IF(OR($B137="",$X137=""),"",EDATE($X137,DelaiMiCarriere))</f>
        <v/>
      </c>
      <c r="Z137" s="42" t="str">
        <f aca="false">IF(OR($B137="",$X137=""),"",IF(AND($I137&lt;&gt;"",$I137&lt;=DateRef),"",IF(AND($N137&lt;&gt;"",$N137&gt;=$X137),"Réalisé",IF($Y137&lt;DateRef,"En retard","À planifier"))))</f>
        <v/>
      </c>
      <c r="AA137" s="47" t="str">
        <f aca="false">IF(OR($B137="",$G137=""),"",IF($G137&gt;DateRef,"",DATEDIF($G137,DateRef,"y")))</f>
        <v/>
      </c>
      <c r="AB137" s="43" t="str">
        <f aca="false">IF(OR($B137="",$G137=""),"",EDATE($G137,AgeFinCarriere*12))</f>
        <v/>
      </c>
      <c r="AC137" s="42" t="str">
        <f aca="false">IF(OR($B137="",$G137="",$H137=""),"",IF(AND($I137&lt;&gt;"",$I137&lt;=DateRef),"",IF($AB137&lt;DateVigueur,"Non concerné",IF(AND($N137&lt;&gt;"",$N137&gt;=MAX(EDATE($AB137,-FenetreFinCarriere*12),DateVigueur),$N137&lt;=$AB137),"Réalisé",IF(DateRef&gt;$AB137,"Non réalisé",IF(AND($Q137&lt;&gt;"",$Q137&gt;=EDATE($AB137,-FenetreFinCarriere*12),$Q137&lt;=$AB137),"Planifié dans la fenêtre",IF(AND(MAX($P137,DateRef)&gt;=EDATE($AB137,-FenetreFinCarriere*12),MAX($P137,DateRef)&lt;=$AB137),"Prochain EPP dans la fenêtre",IF(MAX($P137,DateRef)&gt;$AB137,"À programmer avant 60 ans",""))))))))</f>
        <v/>
      </c>
      <c r="AD137" s="40"/>
      <c r="AE137" s="43" t="str">
        <f aca="false">IF(OR($B137="",$H137="",AND($I137&lt;&gt;"",$I137&lt;=DateRef)),"",MAX($H137,$AD137,IF($A137="",0,SUMPRODUCT(MAX((Journal!$A$6:$A$1005=$A137)*((Journal!$D$6:$D$1005=TypeEDL)+(Journal!$D$6:$D$1005=TypeBilan6))*Journal!$C$6:$C$1005)))))</f>
        <v/>
      </c>
      <c r="AF137" s="43" t="str">
        <f aca="false">IF($AE137="","",IF(AND(ReglesTransitoires="Oui",EDATE($AE137,AnciennePeriodiciteEDL*12)&lt;DateVigueur),EDATE($AE137,AnciennePeriodiciteEDL*12),EDATE($AE137,PeriodiciteEDL*12)))</f>
        <v/>
      </c>
      <c r="AG137" s="42" t="str">
        <f aca="false">IF($AF137="","",IF(AND($I137&lt;&gt;"",$I137&lt;=DateRef),"",IF($AF137&lt;DateRef,"En retard",IF($AF137-DateRef&lt;=SeuilAlerteEDL,"À prévoir","À jour"))))</f>
        <v/>
      </c>
      <c r="AH137" s="39"/>
      <c r="AI137" s="39"/>
      <c r="AJ137" s="42" t="str">
        <f aca="false">IF(OR($B137="",$H137=""),"",IF(AND($I137&lt;&gt;"",$I137&lt;=DateRef),"",IF(Effectif&lt;SeuilEffectif,"Non concerné (&lt; "&amp;SeuilEffectif&amp;" salariés)",IF($AH137="Oui","Pas de risque",IF(AND(OR($AI137="Non",$S137="En retard"),$AH137="Non"),"Risque abondement",IF(OR($AI137="Non",$S137="En retard"),"À vérifier (formation ?)",IF($AI137="Oui","Pas de risque","À compléter")))))))</f>
        <v/>
      </c>
      <c r="AK137" s="39"/>
    </row>
    <row r="138" customFormat="false" ht="15" hidden="false" customHeight="false" outlineLevel="0" collapsed="false">
      <c r="A138" s="39"/>
      <c r="B138" s="39"/>
      <c r="C138" s="39"/>
      <c r="D138" s="39"/>
      <c r="E138" s="39"/>
      <c r="F138" s="39"/>
      <c r="G138" s="40"/>
      <c r="H138" s="40"/>
      <c r="I138" s="40"/>
      <c r="J138" s="41" t="str">
        <f aca="false">IF(OR($B138="",$H138=""),"",IF($H138&gt;DateRef,0,YEARFRAC($H138,DateRef,1)))</f>
        <v/>
      </c>
      <c r="K138" s="42" t="str">
        <f aca="false">IF(OR($B138="",$H138=""),"",IF(EDATE($H138,12)&lt;=DateRef,"Plus d'un an","Moins d'un an"))</f>
        <v/>
      </c>
      <c r="L138" s="40"/>
      <c r="M138" s="43" t="str">
        <f aca="false">IF(OR($B138="",$A138=""),"",IF(SUMPRODUCT(MAX((Journal!$A$6:$A$1005=$A138)*Journal!$C$6:$C$1005))=0,"",SUMPRODUCT(MAX((Journal!$A$6:$A$1005=$A138)*Journal!$C$6:$C$1005))))</f>
        <v/>
      </c>
      <c r="N138" s="43" t="str">
        <f aca="false">IF($B138="","",IF(MAX($L138,$M138)=0,"",MAX($L138,$M138)))</f>
        <v/>
      </c>
      <c r="O138" s="44" t="str">
        <f aca="false">IF(OR($B138="",$H138=""),"",IF($N138="",IF(EDATE($H138,DelaiPremierEPP)&gt;DateRef,"1er EPP (1re année)","Aucun entretien renseigné"),IF(AND(ReglesTransitoires="Oui",EDATE($N138,AnciennePeriodiciteEP*12)&lt;DateVigueur),"Retard antérieur à la réforme","Périodicité "&amp;PeriodiciteEPP&amp;" ans")))</f>
        <v/>
      </c>
      <c r="P138" s="43" t="str">
        <f aca="false">IF(OR($B138="",$H138=""),"",IF($N138="",EDATE($H138,DelaiPremierEPP),IF(AND(ReglesTransitoires="Oui",EDATE($N138,AnciennePeriodiciteEP*12)&lt;DateVigueur),EDATE($N138,AnciennePeriodiciteEP*12),EDATE($N138,PeriodiciteEPP*12))))</f>
        <v/>
      </c>
      <c r="Q138" s="40"/>
      <c r="R138" s="45" t="str">
        <f aca="false">IF(OR($P138="",AND($I138&lt;&gt;"",$I138&lt;=DateRef)),"",$P138-DateRef)</f>
        <v/>
      </c>
      <c r="S138" s="42" t="str">
        <f aca="false">IF($B138="","",IF(AND($I138&lt;&gt;"",$I138&lt;=DateRef),"Sorti",IF($H138="","À compléter",IF(AND($Q138&lt;&gt;"",$Q138&gt;=DateRef,$Q138&lt;=$P138),"Planifié",IF($R138&lt;0,"En retard",IF($R138&lt;=SeuilAlerteEPP,"À planifier","À jour"))))))</f>
        <v/>
      </c>
      <c r="T138" s="46" t="str">
        <f aca="false">IF(OR($B138="",$S138="Sorti"),"",MID(IF($H138=""," | Date d'embauche manquante","")&amp;IF(AND($K138="Plus d'un an",$N138="")," | Précédent entretien à renseigner (ancienneté &gt; 1 an)","")&amp;IF($O138="Retard antérieur à la réforme"," | Ancien délai de 2 ans expiré avant la réforme","")&amp;IF(AND($N138&lt;&gt;"",$H138&lt;&gt;"",$N138&lt;$H138)," | Entretien antérieur à l'embauche ?","")&amp;IF(AND($N138&lt;&gt;"",$N138&gt;DateRef)," | Entretien daté dans le futur ?","")&amp;IF(AND($Q138&lt;&gt;"",$P138&lt;&gt;"",$Q138&gt;$P138)," | Date prévue après l'échéance","")&amp;IF(AND($Q138&lt;&gt;"",$Q138&lt;DateRef,OR($N138="",$N138&lt;$Q138))," | Entretien prévu passé : le consigner au Journal","")&amp;IF(AND($G138&lt;&gt;"",$X138="",YEAR(DateRef)-YEAR($G138)&gt;=AgeMiCarriere-1,YEAR(DateRef)-YEAR($G138)&lt;=AgeMiCarriere+1)," | Visite de mi-carrière à vérifier",""),4,1000))</f>
        <v/>
      </c>
      <c r="U138" s="39"/>
      <c r="V138" s="40"/>
      <c r="W138" s="42" t="str">
        <f aca="false">IF(OR($B138="",$V138=""),"",IF(AND($I138&lt;&gt;"",$I138&lt;=DateRef),"",IF(AND($N138&lt;&gt;"",$N138&gt;=$V138),"Réalisé",IF(AND($N138&lt;&gt;"",$N138&gt;=EDATE($V138,-FenetreRetour)),"Dispensé (EPP récent)",IF($V138&gt;DateRef,"À prévoir à la reprise","À proposer (reprise passée)")))))</f>
        <v/>
      </c>
      <c r="X138" s="40"/>
      <c r="Y138" s="43" t="str">
        <f aca="false">IF(OR($B138="",$X138=""),"",EDATE($X138,DelaiMiCarriere))</f>
        <v/>
      </c>
      <c r="Z138" s="42" t="str">
        <f aca="false">IF(OR($B138="",$X138=""),"",IF(AND($I138&lt;&gt;"",$I138&lt;=DateRef),"",IF(AND($N138&lt;&gt;"",$N138&gt;=$X138),"Réalisé",IF($Y138&lt;DateRef,"En retard","À planifier"))))</f>
        <v/>
      </c>
      <c r="AA138" s="47" t="str">
        <f aca="false">IF(OR($B138="",$G138=""),"",IF($G138&gt;DateRef,"",DATEDIF($G138,DateRef,"y")))</f>
        <v/>
      </c>
      <c r="AB138" s="43" t="str">
        <f aca="false">IF(OR($B138="",$G138=""),"",EDATE($G138,AgeFinCarriere*12))</f>
        <v/>
      </c>
      <c r="AC138" s="42" t="str">
        <f aca="false">IF(OR($B138="",$G138="",$H138=""),"",IF(AND($I138&lt;&gt;"",$I138&lt;=DateRef),"",IF($AB138&lt;DateVigueur,"Non concerné",IF(AND($N138&lt;&gt;"",$N138&gt;=MAX(EDATE($AB138,-FenetreFinCarriere*12),DateVigueur),$N138&lt;=$AB138),"Réalisé",IF(DateRef&gt;$AB138,"Non réalisé",IF(AND($Q138&lt;&gt;"",$Q138&gt;=EDATE($AB138,-FenetreFinCarriere*12),$Q138&lt;=$AB138),"Planifié dans la fenêtre",IF(AND(MAX($P138,DateRef)&gt;=EDATE($AB138,-FenetreFinCarriere*12),MAX($P138,DateRef)&lt;=$AB138),"Prochain EPP dans la fenêtre",IF(MAX($P138,DateRef)&gt;$AB138,"À programmer avant 60 ans",""))))))))</f>
        <v/>
      </c>
      <c r="AD138" s="40"/>
      <c r="AE138" s="43" t="str">
        <f aca="false">IF(OR($B138="",$H138="",AND($I138&lt;&gt;"",$I138&lt;=DateRef)),"",MAX($H138,$AD138,IF($A138="",0,SUMPRODUCT(MAX((Journal!$A$6:$A$1005=$A138)*((Journal!$D$6:$D$1005=TypeEDL)+(Journal!$D$6:$D$1005=TypeBilan6))*Journal!$C$6:$C$1005)))))</f>
        <v/>
      </c>
      <c r="AF138" s="43" t="str">
        <f aca="false">IF($AE138="","",IF(AND(ReglesTransitoires="Oui",EDATE($AE138,AnciennePeriodiciteEDL*12)&lt;DateVigueur),EDATE($AE138,AnciennePeriodiciteEDL*12),EDATE($AE138,PeriodiciteEDL*12)))</f>
        <v/>
      </c>
      <c r="AG138" s="42" t="str">
        <f aca="false">IF($AF138="","",IF(AND($I138&lt;&gt;"",$I138&lt;=DateRef),"",IF($AF138&lt;DateRef,"En retard",IF($AF138-DateRef&lt;=SeuilAlerteEDL,"À prévoir","À jour"))))</f>
        <v/>
      </c>
      <c r="AH138" s="39"/>
      <c r="AI138" s="39"/>
      <c r="AJ138" s="42" t="str">
        <f aca="false">IF(OR($B138="",$H138=""),"",IF(AND($I138&lt;&gt;"",$I138&lt;=DateRef),"",IF(Effectif&lt;SeuilEffectif,"Non concerné (&lt; "&amp;SeuilEffectif&amp;" salariés)",IF($AH138="Oui","Pas de risque",IF(AND(OR($AI138="Non",$S138="En retard"),$AH138="Non"),"Risque abondement",IF(OR($AI138="Non",$S138="En retard"),"À vérifier (formation ?)",IF($AI138="Oui","Pas de risque","À compléter")))))))</f>
        <v/>
      </c>
      <c r="AK138" s="39"/>
    </row>
    <row r="139" customFormat="false" ht="15" hidden="false" customHeight="false" outlineLevel="0" collapsed="false">
      <c r="A139" s="39"/>
      <c r="B139" s="39"/>
      <c r="C139" s="39"/>
      <c r="D139" s="39"/>
      <c r="E139" s="39"/>
      <c r="F139" s="39"/>
      <c r="G139" s="40"/>
      <c r="H139" s="40"/>
      <c r="I139" s="40"/>
      <c r="J139" s="41" t="str">
        <f aca="false">IF(OR($B139="",$H139=""),"",IF($H139&gt;DateRef,0,YEARFRAC($H139,DateRef,1)))</f>
        <v/>
      </c>
      <c r="K139" s="42" t="str">
        <f aca="false">IF(OR($B139="",$H139=""),"",IF(EDATE($H139,12)&lt;=DateRef,"Plus d'un an","Moins d'un an"))</f>
        <v/>
      </c>
      <c r="L139" s="40"/>
      <c r="M139" s="43" t="str">
        <f aca="false">IF(OR($B139="",$A139=""),"",IF(SUMPRODUCT(MAX((Journal!$A$6:$A$1005=$A139)*Journal!$C$6:$C$1005))=0,"",SUMPRODUCT(MAX((Journal!$A$6:$A$1005=$A139)*Journal!$C$6:$C$1005))))</f>
        <v/>
      </c>
      <c r="N139" s="43" t="str">
        <f aca="false">IF($B139="","",IF(MAX($L139,$M139)=0,"",MAX($L139,$M139)))</f>
        <v/>
      </c>
      <c r="O139" s="44" t="str">
        <f aca="false">IF(OR($B139="",$H139=""),"",IF($N139="",IF(EDATE($H139,DelaiPremierEPP)&gt;DateRef,"1er EPP (1re année)","Aucun entretien renseigné"),IF(AND(ReglesTransitoires="Oui",EDATE($N139,AnciennePeriodiciteEP*12)&lt;DateVigueur),"Retard antérieur à la réforme","Périodicité "&amp;PeriodiciteEPP&amp;" ans")))</f>
        <v/>
      </c>
      <c r="P139" s="43" t="str">
        <f aca="false">IF(OR($B139="",$H139=""),"",IF($N139="",EDATE($H139,DelaiPremierEPP),IF(AND(ReglesTransitoires="Oui",EDATE($N139,AnciennePeriodiciteEP*12)&lt;DateVigueur),EDATE($N139,AnciennePeriodiciteEP*12),EDATE($N139,PeriodiciteEPP*12))))</f>
        <v/>
      </c>
      <c r="Q139" s="40"/>
      <c r="R139" s="45" t="str">
        <f aca="false">IF(OR($P139="",AND($I139&lt;&gt;"",$I139&lt;=DateRef)),"",$P139-DateRef)</f>
        <v/>
      </c>
      <c r="S139" s="42" t="str">
        <f aca="false">IF($B139="","",IF(AND($I139&lt;&gt;"",$I139&lt;=DateRef),"Sorti",IF($H139="","À compléter",IF(AND($Q139&lt;&gt;"",$Q139&gt;=DateRef,$Q139&lt;=$P139),"Planifié",IF($R139&lt;0,"En retard",IF($R139&lt;=SeuilAlerteEPP,"À planifier","À jour"))))))</f>
        <v/>
      </c>
      <c r="T139" s="46" t="str">
        <f aca="false">IF(OR($B139="",$S139="Sorti"),"",MID(IF($H139=""," | Date d'embauche manquante","")&amp;IF(AND($K139="Plus d'un an",$N139="")," | Précédent entretien à renseigner (ancienneté &gt; 1 an)","")&amp;IF($O139="Retard antérieur à la réforme"," | Ancien délai de 2 ans expiré avant la réforme","")&amp;IF(AND($N139&lt;&gt;"",$H139&lt;&gt;"",$N139&lt;$H139)," | Entretien antérieur à l'embauche ?","")&amp;IF(AND($N139&lt;&gt;"",$N139&gt;DateRef)," | Entretien daté dans le futur ?","")&amp;IF(AND($Q139&lt;&gt;"",$P139&lt;&gt;"",$Q139&gt;$P139)," | Date prévue après l'échéance","")&amp;IF(AND($Q139&lt;&gt;"",$Q139&lt;DateRef,OR($N139="",$N139&lt;$Q139))," | Entretien prévu passé : le consigner au Journal","")&amp;IF(AND($G139&lt;&gt;"",$X139="",YEAR(DateRef)-YEAR($G139)&gt;=AgeMiCarriere-1,YEAR(DateRef)-YEAR($G139)&lt;=AgeMiCarriere+1)," | Visite de mi-carrière à vérifier",""),4,1000))</f>
        <v/>
      </c>
      <c r="U139" s="39"/>
      <c r="V139" s="40"/>
      <c r="W139" s="42" t="str">
        <f aca="false">IF(OR($B139="",$V139=""),"",IF(AND($I139&lt;&gt;"",$I139&lt;=DateRef),"",IF(AND($N139&lt;&gt;"",$N139&gt;=$V139),"Réalisé",IF(AND($N139&lt;&gt;"",$N139&gt;=EDATE($V139,-FenetreRetour)),"Dispensé (EPP récent)",IF($V139&gt;DateRef,"À prévoir à la reprise","À proposer (reprise passée)")))))</f>
        <v/>
      </c>
      <c r="X139" s="40"/>
      <c r="Y139" s="43" t="str">
        <f aca="false">IF(OR($B139="",$X139=""),"",EDATE($X139,DelaiMiCarriere))</f>
        <v/>
      </c>
      <c r="Z139" s="42" t="str">
        <f aca="false">IF(OR($B139="",$X139=""),"",IF(AND($I139&lt;&gt;"",$I139&lt;=DateRef),"",IF(AND($N139&lt;&gt;"",$N139&gt;=$X139),"Réalisé",IF($Y139&lt;DateRef,"En retard","À planifier"))))</f>
        <v/>
      </c>
      <c r="AA139" s="47" t="str">
        <f aca="false">IF(OR($B139="",$G139=""),"",IF($G139&gt;DateRef,"",DATEDIF($G139,DateRef,"y")))</f>
        <v/>
      </c>
      <c r="AB139" s="43" t="str">
        <f aca="false">IF(OR($B139="",$G139=""),"",EDATE($G139,AgeFinCarriere*12))</f>
        <v/>
      </c>
      <c r="AC139" s="42" t="str">
        <f aca="false">IF(OR($B139="",$G139="",$H139=""),"",IF(AND($I139&lt;&gt;"",$I139&lt;=DateRef),"",IF($AB139&lt;DateVigueur,"Non concerné",IF(AND($N139&lt;&gt;"",$N139&gt;=MAX(EDATE($AB139,-FenetreFinCarriere*12),DateVigueur),$N139&lt;=$AB139),"Réalisé",IF(DateRef&gt;$AB139,"Non réalisé",IF(AND($Q139&lt;&gt;"",$Q139&gt;=EDATE($AB139,-FenetreFinCarriere*12),$Q139&lt;=$AB139),"Planifié dans la fenêtre",IF(AND(MAX($P139,DateRef)&gt;=EDATE($AB139,-FenetreFinCarriere*12),MAX($P139,DateRef)&lt;=$AB139),"Prochain EPP dans la fenêtre",IF(MAX($P139,DateRef)&gt;$AB139,"À programmer avant 60 ans",""))))))))</f>
        <v/>
      </c>
      <c r="AD139" s="40"/>
      <c r="AE139" s="43" t="str">
        <f aca="false">IF(OR($B139="",$H139="",AND($I139&lt;&gt;"",$I139&lt;=DateRef)),"",MAX($H139,$AD139,IF($A139="",0,SUMPRODUCT(MAX((Journal!$A$6:$A$1005=$A139)*((Journal!$D$6:$D$1005=TypeEDL)+(Journal!$D$6:$D$1005=TypeBilan6))*Journal!$C$6:$C$1005)))))</f>
        <v/>
      </c>
      <c r="AF139" s="43" t="str">
        <f aca="false">IF($AE139="","",IF(AND(ReglesTransitoires="Oui",EDATE($AE139,AnciennePeriodiciteEDL*12)&lt;DateVigueur),EDATE($AE139,AnciennePeriodiciteEDL*12),EDATE($AE139,PeriodiciteEDL*12)))</f>
        <v/>
      </c>
      <c r="AG139" s="42" t="str">
        <f aca="false">IF($AF139="","",IF(AND($I139&lt;&gt;"",$I139&lt;=DateRef),"",IF($AF139&lt;DateRef,"En retard",IF($AF139-DateRef&lt;=SeuilAlerteEDL,"À prévoir","À jour"))))</f>
        <v/>
      </c>
      <c r="AH139" s="39"/>
      <c r="AI139" s="39"/>
      <c r="AJ139" s="42" t="str">
        <f aca="false">IF(OR($B139="",$H139=""),"",IF(AND($I139&lt;&gt;"",$I139&lt;=DateRef),"",IF(Effectif&lt;SeuilEffectif,"Non concerné (&lt; "&amp;SeuilEffectif&amp;" salariés)",IF($AH139="Oui","Pas de risque",IF(AND(OR($AI139="Non",$S139="En retard"),$AH139="Non"),"Risque abondement",IF(OR($AI139="Non",$S139="En retard"),"À vérifier (formation ?)",IF($AI139="Oui","Pas de risque","À compléter")))))))</f>
        <v/>
      </c>
      <c r="AK139" s="39"/>
    </row>
    <row r="140" customFormat="false" ht="15" hidden="false" customHeight="false" outlineLevel="0" collapsed="false">
      <c r="A140" s="39"/>
      <c r="B140" s="39"/>
      <c r="C140" s="39"/>
      <c r="D140" s="39"/>
      <c r="E140" s="39"/>
      <c r="F140" s="39"/>
      <c r="G140" s="40"/>
      <c r="H140" s="40"/>
      <c r="I140" s="40"/>
      <c r="J140" s="41" t="str">
        <f aca="false">IF(OR($B140="",$H140=""),"",IF($H140&gt;DateRef,0,YEARFRAC($H140,DateRef,1)))</f>
        <v/>
      </c>
      <c r="K140" s="42" t="str">
        <f aca="false">IF(OR($B140="",$H140=""),"",IF(EDATE($H140,12)&lt;=DateRef,"Plus d'un an","Moins d'un an"))</f>
        <v/>
      </c>
      <c r="L140" s="40"/>
      <c r="M140" s="43" t="str">
        <f aca="false">IF(OR($B140="",$A140=""),"",IF(SUMPRODUCT(MAX((Journal!$A$6:$A$1005=$A140)*Journal!$C$6:$C$1005))=0,"",SUMPRODUCT(MAX((Journal!$A$6:$A$1005=$A140)*Journal!$C$6:$C$1005))))</f>
        <v/>
      </c>
      <c r="N140" s="43" t="str">
        <f aca="false">IF($B140="","",IF(MAX($L140,$M140)=0,"",MAX($L140,$M140)))</f>
        <v/>
      </c>
      <c r="O140" s="44" t="str">
        <f aca="false">IF(OR($B140="",$H140=""),"",IF($N140="",IF(EDATE($H140,DelaiPremierEPP)&gt;DateRef,"1er EPP (1re année)","Aucun entretien renseigné"),IF(AND(ReglesTransitoires="Oui",EDATE($N140,AnciennePeriodiciteEP*12)&lt;DateVigueur),"Retard antérieur à la réforme","Périodicité "&amp;PeriodiciteEPP&amp;" ans")))</f>
        <v/>
      </c>
      <c r="P140" s="43" t="str">
        <f aca="false">IF(OR($B140="",$H140=""),"",IF($N140="",EDATE($H140,DelaiPremierEPP),IF(AND(ReglesTransitoires="Oui",EDATE($N140,AnciennePeriodiciteEP*12)&lt;DateVigueur),EDATE($N140,AnciennePeriodiciteEP*12),EDATE($N140,PeriodiciteEPP*12))))</f>
        <v/>
      </c>
      <c r="Q140" s="40"/>
      <c r="R140" s="45" t="str">
        <f aca="false">IF(OR($P140="",AND($I140&lt;&gt;"",$I140&lt;=DateRef)),"",$P140-DateRef)</f>
        <v/>
      </c>
      <c r="S140" s="42" t="str">
        <f aca="false">IF($B140="","",IF(AND($I140&lt;&gt;"",$I140&lt;=DateRef),"Sorti",IF($H140="","À compléter",IF(AND($Q140&lt;&gt;"",$Q140&gt;=DateRef,$Q140&lt;=$P140),"Planifié",IF($R140&lt;0,"En retard",IF($R140&lt;=SeuilAlerteEPP,"À planifier","À jour"))))))</f>
        <v/>
      </c>
      <c r="T140" s="46" t="str">
        <f aca="false">IF(OR($B140="",$S140="Sorti"),"",MID(IF($H140=""," | Date d'embauche manquante","")&amp;IF(AND($K140="Plus d'un an",$N140="")," | Précédent entretien à renseigner (ancienneté &gt; 1 an)","")&amp;IF($O140="Retard antérieur à la réforme"," | Ancien délai de 2 ans expiré avant la réforme","")&amp;IF(AND($N140&lt;&gt;"",$H140&lt;&gt;"",$N140&lt;$H140)," | Entretien antérieur à l'embauche ?","")&amp;IF(AND($N140&lt;&gt;"",$N140&gt;DateRef)," | Entretien daté dans le futur ?","")&amp;IF(AND($Q140&lt;&gt;"",$P140&lt;&gt;"",$Q140&gt;$P140)," | Date prévue après l'échéance","")&amp;IF(AND($Q140&lt;&gt;"",$Q140&lt;DateRef,OR($N140="",$N140&lt;$Q140))," | Entretien prévu passé : le consigner au Journal","")&amp;IF(AND($G140&lt;&gt;"",$X140="",YEAR(DateRef)-YEAR($G140)&gt;=AgeMiCarriere-1,YEAR(DateRef)-YEAR($G140)&lt;=AgeMiCarriere+1)," | Visite de mi-carrière à vérifier",""),4,1000))</f>
        <v/>
      </c>
      <c r="U140" s="39"/>
      <c r="V140" s="40"/>
      <c r="W140" s="42" t="str">
        <f aca="false">IF(OR($B140="",$V140=""),"",IF(AND($I140&lt;&gt;"",$I140&lt;=DateRef),"",IF(AND($N140&lt;&gt;"",$N140&gt;=$V140),"Réalisé",IF(AND($N140&lt;&gt;"",$N140&gt;=EDATE($V140,-FenetreRetour)),"Dispensé (EPP récent)",IF($V140&gt;DateRef,"À prévoir à la reprise","À proposer (reprise passée)")))))</f>
        <v/>
      </c>
      <c r="X140" s="40"/>
      <c r="Y140" s="43" t="str">
        <f aca="false">IF(OR($B140="",$X140=""),"",EDATE($X140,DelaiMiCarriere))</f>
        <v/>
      </c>
      <c r="Z140" s="42" t="str">
        <f aca="false">IF(OR($B140="",$X140=""),"",IF(AND($I140&lt;&gt;"",$I140&lt;=DateRef),"",IF(AND($N140&lt;&gt;"",$N140&gt;=$X140),"Réalisé",IF($Y140&lt;DateRef,"En retard","À planifier"))))</f>
        <v/>
      </c>
      <c r="AA140" s="47" t="str">
        <f aca="false">IF(OR($B140="",$G140=""),"",IF($G140&gt;DateRef,"",DATEDIF($G140,DateRef,"y")))</f>
        <v/>
      </c>
      <c r="AB140" s="43" t="str">
        <f aca="false">IF(OR($B140="",$G140=""),"",EDATE($G140,AgeFinCarriere*12))</f>
        <v/>
      </c>
      <c r="AC140" s="42" t="str">
        <f aca="false">IF(OR($B140="",$G140="",$H140=""),"",IF(AND($I140&lt;&gt;"",$I140&lt;=DateRef),"",IF($AB140&lt;DateVigueur,"Non concerné",IF(AND($N140&lt;&gt;"",$N140&gt;=MAX(EDATE($AB140,-FenetreFinCarriere*12),DateVigueur),$N140&lt;=$AB140),"Réalisé",IF(DateRef&gt;$AB140,"Non réalisé",IF(AND($Q140&lt;&gt;"",$Q140&gt;=EDATE($AB140,-FenetreFinCarriere*12),$Q140&lt;=$AB140),"Planifié dans la fenêtre",IF(AND(MAX($P140,DateRef)&gt;=EDATE($AB140,-FenetreFinCarriere*12),MAX($P140,DateRef)&lt;=$AB140),"Prochain EPP dans la fenêtre",IF(MAX($P140,DateRef)&gt;$AB140,"À programmer avant 60 ans",""))))))))</f>
        <v/>
      </c>
      <c r="AD140" s="40"/>
      <c r="AE140" s="43" t="str">
        <f aca="false">IF(OR($B140="",$H140="",AND($I140&lt;&gt;"",$I140&lt;=DateRef)),"",MAX($H140,$AD140,IF($A140="",0,SUMPRODUCT(MAX((Journal!$A$6:$A$1005=$A140)*((Journal!$D$6:$D$1005=TypeEDL)+(Journal!$D$6:$D$1005=TypeBilan6))*Journal!$C$6:$C$1005)))))</f>
        <v/>
      </c>
      <c r="AF140" s="43" t="str">
        <f aca="false">IF($AE140="","",IF(AND(ReglesTransitoires="Oui",EDATE($AE140,AnciennePeriodiciteEDL*12)&lt;DateVigueur),EDATE($AE140,AnciennePeriodiciteEDL*12),EDATE($AE140,PeriodiciteEDL*12)))</f>
        <v/>
      </c>
      <c r="AG140" s="42" t="str">
        <f aca="false">IF($AF140="","",IF(AND($I140&lt;&gt;"",$I140&lt;=DateRef),"",IF($AF140&lt;DateRef,"En retard",IF($AF140-DateRef&lt;=SeuilAlerteEDL,"À prévoir","À jour"))))</f>
        <v/>
      </c>
      <c r="AH140" s="39"/>
      <c r="AI140" s="39"/>
      <c r="AJ140" s="42" t="str">
        <f aca="false">IF(OR($B140="",$H140=""),"",IF(AND($I140&lt;&gt;"",$I140&lt;=DateRef),"",IF(Effectif&lt;SeuilEffectif,"Non concerné (&lt; "&amp;SeuilEffectif&amp;" salariés)",IF($AH140="Oui","Pas de risque",IF(AND(OR($AI140="Non",$S140="En retard"),$AH140="Non"),"Risque abondement",IF(OR($AI140="Non",$S140="En retard"),"À vérifier (formation ?)",IF($AI140="Oui","Pas de risque","À compléter")))))))</f>
        <v/>
      </c>
      <c r="AK140" s="39"/>
    </row>
    <row r="141" customFormat="false" ht="15" hidden="false" customHeight="false" outlineLevel="0" collapsed="false">
      <c r="A141" s="39"/>
      <c r="B141" s="39"/>
      <c r="C141" s="39"/>
      <c r="D141" s="39"/>
      <c r="E141" s="39"/>
      <c r="F141" s="39"/>
      <c r="G141" s="40"/>
      <c r="H141" s="40"/>
      <c r="I141" s="40"/>
      <c r="J141" s="41" t="str">
        <f aca="false">IF(OR($B141="",$H141=""),"",IF($H141&gt;DateRef,0,YEARFRAC($H141,DateRef,1)))</f>
        <v/>
      </c>
      <c r="K141" s="42" t="str">
        <f aca="false">IF(OR($B141="",$H141=""),"",IF(EDATE($H141,12)&lt;=DateRef,"Plus d'un an","Moins d'un an"))</f>
        <v/>
      </c>
      <c r="L141" s="40"/>
      <c r="M141" s="43" t="str">
        <f aca="false">IF(OR($B141="",$A141=""),"",IF(SUMPRODUCT(MAX((Journal!$A$6:$A$1005=$A141)*Journal!$C$6:$C$1005))=0,"",SUMPRODUCT(MAX((Journal!$A$6:$A$1005=$A141)*Journal!$C$6:$C$1005))))</f>
        <v/>
      </c>
      <c r="N141" s="43" t="str">
        <f aca="false">IF($B141="","",IF(MAX($L141,$M141)=0,"",MAX($L141,$M141)))</f>
        <v/>
      </c>
      <c r="O141" s="44" t="str">
        <f aca="false">IF(OR($B141="",$H141=""),"",IF($N141="",IF(EDATE($H141,DelaiPremierEPP)&gt;DateRef,"1er EPP (1re année)","Aucun entretien renseigné"),IF(AND(ReglesTransitoires="Oui",EDATE($N141,AnciennePeriodiciteEP*12)&lt;DateVigueur),"Retard antérieur à la réforme","Périodicité "&amp;PeriodiciteEPP&amp;" ans")))</f>
        <v/>
      </c>
      <c r="P141" s="43" t="str">
        <f aca="false">IF(OR($B141="",$H141=""),"",IF($N141="",EDATE($H141,DelaiPremierEPP),IF(AND(ReglesTransitoires="Oui",EDATE($N141,AnciennePeriodiciteEP*12)&lt;DateVigueur),EDATE($N141,AnciennePeriodiciteEP*12),EDATE($N141,PeriodiciteEPP*12))))</f>
        <v/>
      </c>
      <c r="Q141" s="40"/>
      <c r="R141" s="45" t="str">
        <f aca="false">IF(OR($P141="",AND($I141&lt;&gt;"",$I141&lt;=DateRef)),"",$P141-DateRef)</f>
        <v/>
      </c>
      <c r="S141" s="42" t="str">
        <f aca="false">IF($B141="","",IF(AND($I141&lt;&gt;"",$I141&lt;=DateRef),"Sorti",IF($H141="","À compléter",IF(AND($Q141&lt;&gt;"",$Q141&gt;=DateRef,$Q141&lt;=$P141),"Planifié",IF($R141&lt;0,"En retard",IF($R141&lt;=SeuilAlerteEPP,"À planifier","À jour"))))))</f>
        <v/>
      </c>
      <c r="T141" s="46" t="str">
        <f aca="false">IF(OR($B141="",$S141="Sorti"),"",MID(IF($H141=""," | Date d'embauche manquante","")&amp;IF(AND($K141="Plus d'un an",$N141="")," | Précédent entretien à renseigner (ancienneté &gt; 1 an)","")&amp;IF($O141="Retard antérieur à la réforme"," | Ancien délai de 2 ans expiré avant la réforme","")&amp;IF(AND($N141&lt;&gt;"",$H141&lt;&gt;"",$N141&lt;$H141)," | Entretien antérieur à l'embauche ?","")&amp;IF(AND($N141&lt;&gt;"",$N141&gt;DateRef)," | Entretien daté dans le futur ?","")&amp;IF(AND($Q141&lt;&gt;"",$P141&lt;&gt;"",$Q141&gt;$P141)," | Date prévue après l'échéance","")&amp;IF(AND($Q141&lt;&gt;"",$Q141&lt;DateRef,OR($N141="",$N141&lt;$Q141))," | Entretien prévu passé : le consigner au Journal","")&amp;IF(AND($G141&lt;&gt;"",$X141="",YEAR(DateRef)-YEAR($G141)&gt;=AgeMiCarriere-1,YEAR(DateRef)-YEAR($G141)&lt;=AgeMiCarriere+1)," | Visite de mi-carrière à vérifier",""),4,1000))</f>
        <v/>
      </c>
      <c r="U141" s="39"/>
      <c r="V141" s="40"/>
      <c r="W141" s="42" t="str">
        <f aca="false">IF(OR($B141="",$V141=""),"",IF(AND($I141&lt;&gt;"",$I141&lt;=DateRef),"",IF(AND($N141&lt;&gt;"",$N141&gt;=$V141),"Réalisé",IF(AND($N141&lt;&gt;"",$N141&gt;=EDATE($V141,-FenetreRetour)),"Dispensé (EPP récent)",IF($V141&gt;DateRef,"À prévoir à la reprise","À proposer (reprise passée)")))))</f>
        <v/>
      </c>
      <c r="X141" s="40"/>
      <c r="Y141" s="43" t="str">
        <f aca="false">IF(OR($B141="",$X141=""),"",EDATE($X141,DelaiMiCarriere))</f>
        <v/>
      </c>
      <c r="Z141" s="42" t="str">
        <f aca="false">IF(OR($B141="",$X141=""),"",IF(AND($I141&lt;&gt;"",$I141&lt;=DateRef),"",IF(AND($N141&lt;&gt;"",$N141&gt;=$X141),"Réalisé",IF($Y141&lt;DateRef,"En retard","À planifier"))))</f>
        <v/>
      </c>
      <c r="AA141" s="47" t="str">
        <f aca="false">IF(OR($B141="",$G141=""),"",IF($G141&gt;DateRef,"",DATEDIF($G141,DateRef,"y")))</f>
        <v/>
      </c>
      <c r="AB141" s="43" t="str">
        <f aca="false">IF(OR($B141="",$G141=""),"",EDATE($G141,AgeFinCarriere*12))</f>
        <v/>
      </c>
      <c r="AC141" s="42" t="str">
        <f aca="false">IF(OR($B141="",$G141="",$H141=""),"",IF(AND($I141&lt;&gt;"",$I141&lt;=DateRef),"",IF($AB141&lt;DateVigueur,"Non concerné",IF(AND($N141&lt;&gt;"",$N141&gt;=MAX(EDATE($AB141,-FenetreFinCarriere*12),DateVigueur),$N141&lt;=$AB141),"Réalisé",IF(DateRef&gt;$AB141,"Non réalisé",IF(AND($Q141&lt;&gt;"",$Q141&gt;=EDATE($AB141,-FenetreFinCarriere*12),$Q141&lt;=$AB141),"Planifié dans la fenêtre",IF(AND(MAX($P141,DateRef)&gt;=EDATE($AB141,-FenetreFinCarriere*12),MAX($P141,DateRef)&lt;=$AB141),"Prochain EPP dans la fenêtre",IF(MAX($P141,DateRef)&gt;$AB141,"À programmer avant 60 ans",""))))))))</f>
        <v/>
      </c>
      <c r="AD141" s="40"/>
      <c r="AE141" s="43" t="str">
        <f aca="false">IF(OR($B141="",$H141="",AND($I141&lt;&gt;"",$I141&lt;=DateRef)),"",MAX($H141,$AD141,IF($A141="",0,SUMPRODUCT(MAX((Journal!$A$6:$A$1005=$A141)*((Journal!$D$6:$D$1005=TypeEDL)+(Journal!$D$6:$D$1005=TypeBilan6))*Journal!$C$6:$C$1005)))))</f>
        <v/>
      </c>
      <c r="AF141" s="43" t="str">
        <f aca="false">IF($AE141="","",IF(AND(ReglesTransitoires="Oui",EDATE($AE141,AnciennePeriodiciteEDL*12)&lt;DateVigueur),EDATE($AE141,AnciennePeriodiciteEDL*12),EDATE($AE141,PeriodiciteEDL*12)))</f>
        <v/>
      </c>
      <c r="AG141" s="42" t="str">
        <f aca="false">IF($AF141="","",IF(AND($I141&lt;&gt;"",$I141&lt;=DateRef),"",IF($AF141&lt;DateRef,"En retard",IF($AF141-DateRef&lt;=SeuilAlerteEDL,"À prévoir","À jour"))))</f>
        <v/>
      </c>
      <c r="AH141" s="39"/>
      <c r="AI141" s="39"/>
      <c r="AJ141" s="42" t="str">
        <f aca="false">IF(OR($B141="",$H141=""),"",IF(AND($I141&lt;&gt;"",$I141&lt;=DateRef),"",IF(Effectif&lt;SeuilEffectif,"Non concerné (&lt; "&amp;SeuilEffectif&amp;" salariés)",IF($AH141="Oui","Pas de risque",IF(AND(OR($AI141="Non",$S141="En retard"),$AH141="Non"),"Risque abondement",IF(OR($AI141="Non",$S141="En retard"),"À vérifier (formation ?)",IF($AI141="Oui","Pas de risque","À compléter")))))))</f>
        <v/>
      </c>
      <c r="AK141" s="39"/>
    </row>
    <row r="142" customFormat="false" ht="15" hidden="false" customHeight="false" outlineLevel="0" collapsed="false">
      <c r="A142" s="39"/>
      <c r="B142" s="39"/>
      <c r="C142" s="39"/>
      <c r="D142" s="39"/>
      <c r="E142" s="39"/>
      <c r="F142" s="39"/>
      <c r="G142" s="40"/>
      <c r="H142" s="40"/>
      <c r="I142" s="40"/>
      <c r="J142" s="41" t="str">
        <f aca="false">IF(OR($B142="",$H142=""),"",IF($H142&gt;DateRef,0,YEARFRAC($H142,DateRef,1)))</f>
        <v/>
      </c>
      <c r="K142" s="42" t="str">
        <f aca="false">IF(OR($B142="",$H142=""),"",IF(EDATE($H142,12)&lt;=DateRef,"Plus d'un an","Moins d'un an"))</f>
        <v/>
      </c>
      <c r="L142" s="40"/>
      <c r="M142" s="43" t="str">
        <f aca="false">IF(OR($B142="",$A142=""),"",IF(SUMPRODUCT(MAX((Journal!$A$6:$A$1005=$A142)*Journal!$C$6:$C$1005))=0,"",SUMPRODUCT(MAX((Journal!$A$6:$A$1005=$A142)*Journal!$C$6:$C$1005))))</f>
        <v/>
      </c>
      <c r="N142" s="43" t="str">
        <f aca="false">IF($B142="","",IF(MAX($L142,$M142)=0,"",MAX($L142,$M142)))</f>
        <v/>
      </c>
      <c r="O142" s="44" t="str">
        <f aca="false">IF(OR($B142="",$H142=""),"",IF($N142="",IF(EDATE($H142,DelaiPremierEPP)&gt;DateRef,"1er EPP (1re année)","Aucun entretien renseigné"),IF(AND(ReglesTransitoires="Oui",EDATE($N142,AnciennePeriodiciteEP*12)&lt;DateVigueur),"Retard antérieur à la réforme","Périodicité "&amp;PeriodiciteEPP&amp;" ans")))</f>
        <v/>
      </c>
      <c r="P142" s="43" t="str">
        <f aca="false">IF(OR($B142="",$H142=""),"",IF($N142="",EDATE($H142,DelaiPremierEPP),IF(AND(ReglesTransitoires="Oui",EDATE($N142,AnciennePeriodiciteEP*12)&lt;DateVigueur),EDATE($N142,AnciennePeriodiciteEP*12),EDATE($N142,PeriodiciteEPP*12))))</f>
        <v/>
      </c>
      <c r="Q142" s="40"/>
      <c r="R142" s="45" t="str">
        <f aca="false">IF(OR($P142="",AND($I142&lt;&gt;"",$I142&lt;=DateRef)),"",$P142-DateRef)</f>
        <v/>
      </c>
      <c r="S142" s="42" t="str">
        <f aca="false">IF($B142="","",IF(AND($I142&lt;&gt;"",$I142&lt;=DateRef),"Sorti",IF($H142="","À compléter",IF(AND($Q142&lt;&gt;"",$Q142&gt;=DateRef,$Q142&lt;=$P142),"Planifié",IF($R142&lt;0,"En retard",IF($R142&lt;=SeuilAlerteEPP,"À planifier","À jour"))))))</f>
        <v/>
      </c>
      <c r="T142" s="46" t="str">
        <f aca="false">IF(OR($B142="",$S142="Sorti"),"",MID(IF($H142=""," | Date d'embauche manquante","")&amp;IF(AND($K142="Plus d'un an",$N142="")," | Précédent entretien à renseigner (ancienneté &gt; 1 an)","")&amp;IF($O142="Retard antérieur à la réforme"," | Ancien délai de 2 ans expiré avant la réforme","")&amp;IF(AND($N142&lt;&gt;"",$H142&lt;&gt;"",$N142&lt;$H142)," | Entretien antérieur à l'embauche ?","")&amp;IF(AND($N142&lt;&gt;"",$N142&gt;DateRef)," | Entretien daté dans le futur ?","")&amp;IF(AND($Q142&lt;&gt;"",$P142&lt;&gt;"",$Q142&gt;$P142)," | Date prévue après l'échéance","")&amp;IF(AND($Q142&lt;&gt;"",$Q142&lt;DateRef,OR($N142="",$N142&lt;$Q142))," | Entretien prévu passé : le consigner au Journal","")&amp;IF(AND($G142&lt;&gt;"",$X142="",YEAR(DateRef)-YEAR($G142)&gt;=AgeMiCarriere-1,YEAR(DateRef)-YEAR($G142)&lt;=AgeMiCarriere+1)," | Visite de mi-carrière à vérifier",""),4,1000))</f>
        <v/>
      </c>
      <c r="U142" s="39"/>
      <c r="V142" s="40"/>
      <c r="W142" s="42" t="str">
        <f aca="false">IF(OR($B142="",$V142=""),"",IF(AND($I142&lt;&gt;"",$I142&lt;=DateRef),"",IF(AND($N142&lt;&gt;"",$N142&gt;=$V142),"Réalisé",IF(AND($N142&lt;&gt;"",$N142&gt;=EDATE($V142,-FenetreRetour)),"Dispensé (EPP récent)",IF($V142&gt;DateRef,"À prévoir à la reprise","À proposer (reprise passée)")))))</f>
        <v/>
      </c>
      <c r="X142" s="40"/>
      <c r="Y142" s="43" t="str">
        <f aca="false">IF(OR($B142="",$X142=""),"",EDATE($X142,DelaiMiCarriere))</f>
        <v/>
      </c>
      <c r="Z142" s="42" t="str">
        <f aca="false">IF(OR($B142="",$X142=""),"",IF(AND($I142&lt;&gt;"",$I142&lt;=DateRef),"",IF(AND($N142&lt;&gt;"",$N142&gt;=$X142),"Réalisé",IF($Y142&lt;DateRef,"En retard","À planifier"))))</f>
        <v/>
      </c>
      <c r="AA142" s="47" t="str">
        <f aca="false">IF(OR($B142="",$G142=""),"",IF($G142&gt;DateRef,"",DATEDIF($G142,DateRef,"y")))</f>
        <v/>
      </c>
      <c r="AB142" s="43" t="str">
        <f aca="false">IF(OR($B142="",$G142=""),"",EDATE($G142,AgeFinCarriere*12))</f>
        <v/>
      </c>
      <c r="AC142" s="42" t="str">
        <f aca="false">IF(OR($B142="",$G142="",$H142=""),"",IF(AND($I142&lt;&gt;"",$I142&lt;=DateRef),"",IF($AB142&lt;DateVigueur,"Non concerné",IF(AND($N142&lt;&gt;"",$N142&gt;=MAX(EDATE($AB142,-FenetreFinCarriere*12),DateVigueur),$N142&lt;=$AB142),"Réalisé",IF(DateRef&gt;$AB142,"Non réalisé",IF(AND($Q142&lt;&gt;"",$Q142&gt;=EDATE($AB142,-FenetreFinCarriere*12),$Q142&lt;=$AB142),"Planifié dans la fenêtre",IF(AND(MAX($P142,DateRef)&gt;=EDATE($AB142,-FenetreFinCarriere*12),MAX($P142,DateRef)&lt;=$AB142),"Prochain EPP dans la fenêtre",IF(MAX($P142,DateRef)&gt;$AB142,"À programmer avant 60 ans",""))))))))</f>
        <v/>
      </c>
      <c r="AD142" s="40"/>
      <c r="AE142" s="43" t="str">
        <f aca="false">IF(OR($B142="",$H142="",AND($I142&lt;&gt;"",$I142&lt;=DateRef)),"",MAX($H142,$AD142,IF($A142="",0,SUMPRODUCT(MAX((Journal!$A$6:$A$1005=$A142)*((Journal!$D$6:$D$1005=TypeEDL)+(Journal!$D$6:$D$1005=TypeBilan6))*Journal!$C$6:$C$1005)))))</f>
        <v/>
      </c>
      <c r="AF142" s="43" t="str">
        <f aca="false">IF($AE142="","",IF(AND(ReglesTransitoires="Oui",EDATE($AE142,AnciennePeriodiciteEDL*12)&lt;DateVigueur),EDATE($AE142,AnciennePeriodiciteEDL*12),EDATE($AE142,PeriodiciteEDL*12)))</f>
        <v/>
      </c>
      <c r="AG142" s="42" t="str">
        <f aca="false">IF($AF142="","",IF(AND($I142&lt;&gt;"",$I142&lt;=DateRef),"",IF($AF142&lt;DateRef,"En retard",IF($AF142-DateRef&lt;=SeuilAlerteEDL,"À prévoir","À jour"))))</f>
        <v/>
      </c>
      <c r="AH142" s="39"/>
      <c r="AI142" s="39"/>
      <c r="AJ142" s="42" t="str">
        <f aca="false">IF(OR($B142="",$H142=""),"",IF(AND($I142&lt;&gt;"",$I142&lt;=DateRef),"",IF(Effectif&lt;SeuilEffectif,"Non concerné (&lt; "&amp;SeuilEffectif&amp;" salariés)",IF($AH142="Oui","Pas de risque",IF(AND(OR($AI142="Non",$S142="En retard"),$AH142="Non"),"Risque abondement",IF(OR($AI142="Non",$S142="En retard"),"À vérifier (formation ?)",IF($AI142="Oui","Pas de risque","À compléter")))))))</f>
        <v/>
      </c>
      <c r="AK142" s="39"/>
    </row>
    <row r="143" customFormat="false" ht="15" hidden="false" customHeight="false" outlineLevel="0" collapsed="false">
      <c r="A143" s="39"/>
      <c r="B143" s="39"/>
      <c r="C143" s="39"/>
      <c r="D143" s="39"/>
      <c r="E143" s="39"/>
      <c r="F143" s="39"/>
      <c r="G143" s="40"/>
      <c r="H143" s="40"/>
      <c r="I143" s="40"/>
      <c r="J143" s="41" t="str">
        <f aca="false">IF(OR($B143="",$H143=""),"",IF($H143&gt;DateRef,0,YEARFRAC($H143,DateRef,1)))</f>
        <v/>
      </c>
      <c r="K143" s="42" t="str">
        <f aca="false">IF(OR($B143="",$H143=""),"",IF(EDATE($H143,12)&lt;=DateRef,"Plus d'un an","Moins d'un an"))</f>
        <v/>
      </c>
      <c r="L143" s="40"/>
      <c r="M143" s="43" t="str">
        <f aca="false">IF(OR($B143="",$A143=""),"",IF(SUMPRODUCT(MAX((Journal!$A$6:$A$1005=$A143)*Journal!$C$6:$C$1005))=0,"",SUMPRODUCT(MAX((Journal!$A$6:$A$1005=$A143)*Journal!$C$6:$C$1005))))</f>
        <v/>
      </c>
      <c r="N143" s="43" t="str">
        <f aca="false">IF($B143="","",IF(MAX($L143,$M143)=0,"",MAX($L143,$M143)))</f>
        <v/>
      </c>
      <c r="O143" s="44" t="str">
        <f aca="false">IF(OR($B143="",$H143=""),"",IF($N143="",IF(EDATE($H143,DelaiPremierEPP)&gt;DateRef,"1er EPP (1re année)","Aucun entretien renseigné"),IF(AND(ReglesTransitoires="Oui",EDATE($N143,AnciennePeriodiciteEP*12)&lt;DateVigueur),"Retard antérieur à la réforme","Périodicité "&amp;PeriodiciteEPP&amp;" ans")))</f>
        <v/>
      </c>
      <c r="P143" s="43" t="str">
        <f aca="false">IF(OR($B143="",$H143=""),"",IF($N143="",EDATE($H143,DelaiPremierEPP),IF(AND(ReglesTransitoires="Oui",EDATE($N143,AnciennePeriodiciteEP*12)&lt;DateVigueur),EDATE($N143,AnciennePeriodiciteEP*12),EDATE($N143,PeriodiciteEPP*12))))</f>
        <v/>
      </c>
      <c r="Q143" s="40"/>
      <c r="R143" s="45" t="str">
        <f aca="false">IF(OR($P143="",AND($I143&lt;&gt;"",$I143&lt;=DateRef)),"",$P143-DateRef)</f>
        <v/>
      </c>
      <c r="S143" s="42" t="str">
        <f aca="false">IF($B143="","",IF(AND($I143&lt;&gt;"",$I143&lt;=DateRef),"Sorti",IF($H143="","À compléter",IF(AND($Q143&lt;&gt;"",$Q143&gt;=DateRef,$Q143&lt;=$P143),"Planifié",IF($R143&lt;0,"En retard",IF($R143&lt;=SeuilAlerteEPP,"À planifier","À jour"))))))</f>
        <v/>
      </c>
      <c r="T143" s="46" t="str">
        <f aca="false">IF(OR($B143="",$S143="Sorti"),"",MID(IF($H143=""," | Date d'embauche manquante","")&amp;IF(AND($K143="Plus d'un an",$N143="")," | Précédent entretien à renseigner (ancienneté &gt; 1 an)","")&amp;IF($O143="Retard antérieur à la réforme"," | Ancien délai de 2 ans expiré avant la réforme","")&amp;IF(AND($N143&lt;&gt;"",$H143&lt;&gt;"",$N143&lt;$H143)," | Entretien antérieur à l'embauche ?","")&amp;IF(AND($N143&lt;&gt;"",$N143&gt;DateRef)," | Entretien daté dans le futur ?","")&amp;IF(AND($Q143&lt;&gt;"",$P143&lt;&gt;"",$Q143&gt;$P143)," | Date prévue après l'échéance","")&amp;IF(AND($Q143&lt;&gt;"",$Q143&lt;DateRef,OR($N143="",$N143&lt;$Q143))," | Entretien prévu passé : le consigner au Journal","")&amp;IF(AND($G143&lt;&gt;"",$X143="",YEAR(DateRef)-YEAR($G143)&gt;=AgeMiCarriere-1,YEAR(DateRef)-YEAR($G143)&lt;=AgeMiCarriere+1)," | Visite de mi-carrière à vérifier",""),4,1000))</f>
        <v/>
      </c>
      <c r="U143" s="39"/>
      <c r="V143" s="40"/>
      <c r="W143" s="42" t="str">
        <f aca="false">IF(OR($B143="",$V143=""),"",IF(AND($I143&lt;&gt;"",$I143&lt;=DateRef),"",IF(AND($N143&lt;&gt;"",$N143&gt;=$V143),"Réalisé",IF(AND($N143&lt;&gt;"",$N143&gt;=EDATE($V143,-FenetreRetour)),"Dispensé (EPP récent)",IF($V143&gt;DateRef,"À prévoir à la reprise","À proposer (reprise passée)")))))</f>
        <v/>
      </c>
      <c r="X143" s="40"/>
      <c r="Y143" s="43" t="str">
        <f aca="false">IF(OR($B143="",$X143=""),"",EDATE($X143,DelaiMiCarriere))</f>
        <v/>
      </c>
      <c r="Z143" s="42" t="str">
        <f aca="false">IF(OR($B143="",$X143=""),"",IF(AND($I143&lt;&gt;"",$I143&lt;=DateRef),"",IF(AND($N143&lt;&gt;"",$N143&gt;=$X143),"Réalisé",IF($Y143&lt;DateRef,"En retard","À planifier"))))</f>
        <v/>
      </c>
      <c r="AA143" s="47" t="str">
        <f aca="false">IF(OR($B143="",$G143=""),"",IF($G143&gt;DateRef,"",DATEDIF($G143,DateRef,"y")))</f>
        <v/>
      </c>
      <c r="AB143" s="43" t="str">
        <f aca="false">IF(OR($B143="",$G143=""),"",EDATE($G143,AgeFinCarriere*12))</f>
        <v/>
      </c>
      <c r="AC143" s="42" t="str">
        <f aca="false">IF(OR($B143="",$G143="",$H143=""),"",IF(AND($I143&lt;&gt;"",$I143&lt;=DateRef),"",IF($AB143&lt;DateVigueur,"Non concerné",IF(AND($N143&lt;&gt;"",$N143&gt;=MAX(EDATE($AB143,-FenetreFinCarriere*12),DateVigueur),$N143&lt;=$AB143),"Réalisé",IF(DateRef&gt;$AB143,"Non réalisé",IF(AND($Q143&lt;&gt;"",$Q143&gt;=EDATE($AB143,-FenetreFinCarriere*12),$Q143&lt;=$AB143),"Planifié dans la fenêtre",IF(AND(MAX($P143,DateRef)&gt;=EDATE($AB143,-FenetreFinCarriere*12),MAX($P143,DateRef)&lt;=$AB143),"Prochain EPP dans la fenêtre",IF(MAX($P143,DateRef)&gt;$AB143,"À programmer avant 60 ans",""))))))))</f>
        <v/>
      </c>
      <c r="AD143" s="40"/>
      <c r="AE143" s="43" t="str">
        <f aca="false">IF(OR($B143="",$H143="",AND($I143&lt;&gt;"",$I143&lt;=DateRef)),"",MAX($H143,$AD143,IF($A143="",0,SUMPRODUCT(MAX((Journal!$A$6:$A$1005=$A143)*((Journal!$D$6:$D$1005=TypeEDL)+(Journal!$D$6:$D$1005=TypeBilan6))*Journal!$C$6:$C$1005)))))</f>
        <v/>
      </c>
      <c r="AF143" s="43" t="str">
        <f aca="false">IF($AE143="","",IF(AND(ReglesTransitoires="Oui",EDATE($AE143,AnciennePeriodiciteEDL*12)&lt;DateVigueur),EDATE($AE143,AnciennePeriodiciteEDL*12),EDATE($AE143,PeriodiciteEDL*12)))</f>
        <v/>
      </c>
      <c r="AG143" s="42" t="str">
        <f aca="false">IF($AF143="","",IF(AND($I143&lt;&gt;"",$I143&lt;=DateRef),"",IF($AF143&lt;DateRef,"En retard",IF($AF143-DateRef&lt;=SeuilAlerteEDL,"À prévoir","À jour"))))</f>
        <v/>
      </c>
      <c r="AH143" s="39"/>
      <c r="AI143" s="39"/>
      <c r="AJ143" s="42" t="str">
        <f aca="false">IF(OR($B143="",$H143=""),"",IF(AND($I143&lt;&gt;"",$I143&lt;=DateRef),"",IF(Effectif&lt;SeuilEffectif,"Non concerné (&lt; "&amp;SeuilEffectif&amp;" salariés)",IF($AH143="Oui","Pas de risque",IF(AND(OR($AI143="Non",$S143="En retard"),$AH143="Non"),"Risque abondement",IF(OR($AI143="Non",$S143="En retard"),"À vérifier (formation ?)",IF($AI143="Oui","Pas de risque","À compléter")))))))</f>
        <v/>
      </c>
      <c r="AK143" s="39"/>
    </row>
    <row r="144" customFormat="false" ht="15" hidden="false" customHeight="false" outlineLevel="0" collapsed="false">
      <c r="A144" s="39"/>
      <c r="B144" s="39"/>
      <c r="C144" s="39"/>
      <c r="D144" s="39"/>
      <c r="E144" s="39"/>
      <c r="F144" s="39"/>
      <c r="G144" s="40"/>
      <c r="H144" s="40"/>
      <c r="I144" s="40"/>
      <c r="J144" s="41" t="str">
        <f aca="false">IF(OR($B144="",$H144=""),"",IF($H144&gt;DateRef,0,YEARFRAC($H144,DateRef,1)))</f>
        <v/>
      </c>
      <c r="K144" s="42" t="str">
        <f aca="false">IF(OR($B144="",$H144=""),"",IF(EDATE($H144,12)&lt;=DateRef,"Plus d'un an","Moins d'un an"))</f>
        <v/>
      </c>
      <c r="L144" s="40"/>
      <c r="M144" s="43" t="str">
        <f aca="false">IF(OR($B144="",$A144=""),"",IF(SUMPRODUCT(MAX((Journal!$A$6:$A$1005=$A144)*Journal!$C$6:$C$1005))=0,"",SUMPRODUCT(MAX((Journal!$A$6:$A$1005=$A144)*Journal!$C$6:$C$1005))))</f>
        <v/>
      </c>
      <c r="N144" s="43" t="str">
        <f aca="false">IF($B144="","",IF(MAX($L144,$M144)=0,"",MAX($L144,$M144)))</f>
        <v/>
      </c>
      <c r="O144" s="44" t="str">
        <f aca="false">IF(OR($B144="",$H144=""),"",IF($N144="",IF(EDATE($H144,DelaiPremierEPP)&gt;DateRef,"1er EPP (1re année)","Aucun entretien renseigné"),IF(AND(ReglesTransitoires="Oui",EDATE($N144,AnciennePeriodiciteEP*12)&lt;DateVigueur),"Retard antérieur à la réforme","Périodicité "&amp;PeriodiciteEPP&amp;" ans")))</f>
        <v/>
      </c>
      <c r="P144" s="43" t="str">
        <f aca="false">IF(OR($B144="",$H144=""),"",IF($N144="",EDATE($H144,DelaiPremierEPP),IF(AND(ReglesTransitoires="Oui",EDATE($N144,AnciennePeriodiciteEP*12)&lt;DateVigueur),EDATE($N144,AnciennePeriodiciteEP*12),EDATE($N144,PeriodiciteEPP*12))))</f>
        <v/>
      </c>
      <c r="Q144" s="40"/>
      <c r="R144" s="45" t="str">
        <f aca="false">IF(OR($P144="",AND($I144&lt;&gt;"",$I144&lt;=DateRef)),"",$P144-DateRef)</f>
        <v/>
      </c>
      <c r="S144" s="42" t="str">
        <f aca="false">IF($B144="","",IF(AND($I144&lt;&gt;"",$I144&lt;=DateRef),"Sorti",IF($H144="","À compléter",IF(AND($Q144&lt;&gt;"",$Q144&gt;=DateRef,$Q144&lt;=$P144),"Planifié",IF($R144&lt;0,"En retard",IF($R144&lt;=SeuilAlerteEPP,"À planifier","À jour"))))))</f>
        <v/>
      </c>
      <c r="T144" s="46" t="str">
        <f aca="false">IF(OR($B144="",$S144="Sorti"),"",MID(IF($H144=""," | Date d'embauche manquante","")&amp;IF(AND($K144="Plus d'un an",$N144="")," | Précédent entretien à renseigner (ancienneté &gt; 1 an)","")&amp;IF($O144="Retard antérieur à la réforme"," | Ancien délai de 2 ans expiré avant la réforme","")&amp;IF(AND($N144&lt;&gt;"",$H144&lt;&gt;"",$N144&lt;$H144)," | Entretien antérieur à l'embauche ?","")&amp;IF(AND($N144&lt;&gt;"",$N144&gt;DateRef)," | Entretien daté dans le futur ?","")&amp;IF(AND($Q144&lt;&gt;"",$P144&lt;&gt;"",$Q144&gt;$P144)," | Date prévue après l'échéance","")&amp;IF(AND($Q144&lt;&gt;"",$Q144&lt;DateRef,OR($N144="",$N144&lt;$Q144))," | Entretien prévu passé : le consigner au Journal","")&amp;IF(AND($G144&lt;&gt;"",$X144="",YEAR(DateRef)-YEAR($G144)&gt;=AgeMiCarriere-1,YEAR(DateRef)-YEAR($G144)&lt;=AgeMiCarriere+1)," | Visite de mi-carrière à vérifier",""),4,1000))</f>
        <v/>
      </c>
      <c r="U144" s="39"/>
      <c r="V144" s="40"/>
      <c r="W144" s="42" t="str">
        <f aca="false">IF(OR($B144="",$V144=""),"",IF(AND($I144&lt;&gt;"",$I144&lt;=DateRef),"",IF(AND($N144&lt;&gt;"",$N144&gt;=$V144),"Réalisé",IF(AND($N144&lt;&gt;"",$N144&gt;=EDATE($V144,-FenetreRetour)),"Dispensé (EPP récent)",IF($V144&gt;DateRef,"À prévoir à la reprise","À proposer (reprise passée)")))))</f>
        <v/>
      </c>
      <c r="X144" s="40"/>
      <c r="Y144" s="43" t="str">
        <f aca="false">IF(OR($B144="",$X144=""),"",EDATE($X144,DelaiMiCarriere))</f>
        <v/>
      </c>
      <c r="Z144" s="42" t="str">
        <f aca="false">IF(OR($B144="",$X144=""),"",IF(AND($I144&lt;&gt;"",$I144&lt;=DateRef),"",IF(AND($N144&lt;&gt;"",$N144&gt;=$X144),"Réalisé",IF($Y144&lt;DateRef,"En retard","À planifier"))))</f>
        <v/>
      </c>
      <c r="AA144" s="47" t="str">
        <f aca="false">IF(OR($B144="",$G144=""),"",IF($G144&gt;DateRef,"",DATEDIF($G144,DateRef,"y")))</f>
        <v/>
      </c>
      <c r="AB144" s="43" t="str">
        <f aca="false">IF(OR($B144="",$G144=""),"",EDATE($G144,AgeFinCarriere*12))</f>
        <v/>
      </c>
      <c r="AC144" s="42" t="str">
        <f aca="false">IF(OR($B144="",$G144="",$H144=""),"",IF(AND($I144&lt;&gt;"",$I144&lt;=DateRef),"",IF($AB144&lt;DateVigueur,"Non concerné",IF(AND($N144&lt;&gt;"",$N144&gt;=MAX(EDATE($AB144,-FenetreFinCarriere*12),DateVigueur),$N144&lt;=$AB144),"Réalisé",IF(DateRef&gt;$AB144,"Non réalisé",IF(AND($Q144&lt;&gt;"",$Q144&gt;=EDATE($AB144,-FenetreFinCarriere*12),$Q144&lt;=$AB144),"Planifié dans la fenêtre",IF(AND(MAX($P144,DateRef)&gt;=EDATE($AB144,-FenetreFinCarriere*12),MAX($P144,DateRef)&lt;=$AB144),"Prochain EPP dans la fenêtre",IF(MAX($P144,DateRef)&gt;$AB144,"À programmer avant 60 ans",""))))))))</f>
        <v/>
      </c>
      <c r="AD144" s="40"/>
      <c r="AE144" s="43" t="str">
        <f aca="false">IF(OR($B144="",$H144="",AND($I144&lt;&gt;"",$I144&lt;=DateRef)),"",MAX($H144,$AD144,IF($A144="",0,SUMPRODUCT(MAX((Journal!$A$6:$A$1005=$A144)*((Journal!$D$6:$D$1005=TypeEDL)+(Journal!$D$6:$D$1005=TypeBilan6))*Journal!$C$6:$C$1005)))))</f>
        <v/>
      </c>
      <c r="AF144" s="43" t="str">
        <f aca="false">IF($AE144="","",IF(AND(ReglesTransitoires="Oui",EDATE($AE144,AnciennePeriodiciteEDL*12)&lt;DateVigueur),EDATE($AE144,AnciennePeriodiciteEDL*12),EDATE($AE144,PeriodiciteEDL*12)))</f>
        <v/>
      </c>
      <c r="AG144" s="42" t="str">
        <f aca="false">IF($AF144="","",IF(AND($I144&lt;&gt;"",$I144&lt;=DateRef),"",IF($AF144&lt;DateRef,"En retard",IF($AF144-DateRef&lt;=SeuilAlerteEDL,"À prévoir","À jour"))))</f>
        <v/>
      </c>
      <c r="AH144" s="39"/>
      <c r="AI144" s="39"/>
      <c r="AJ144" s="42" t="str">
        <f aca="false">IF(OR($B144="",$H144=""),"",IF(AND($I144&lt;&gt;"",$I144&lt;=DateRef),"",IF(Effectif&lt;SeuilEffectif,"Non concerné (&lt; "&amp;SeuilEffectif&amp;" salariés)",IF($AH144="Oui","Pas de risque",IF(AND(OR($AI144="Non",$S144="En retard"),$AH144="Non"),"Risque abondement",IF(OR($AI144="Non",$S144="En retard"),"À vérifier (formation ?)",IF($AI144="Oui","Pas de risque","À compléter")))))))</f>
        <v/>
      </c>
      <c r="AK144" s="39"/>
    </row>
    <row r="145" customFormat="false" ht="15" hidden="false" customHeight="false" outlineLevel="0" collapsed="false">
      <c r="A145" s="39"/>
      <c r="B145" s="39"/>
      <c r="C145" s="39"/>
      <c r="D145" s="39"/>
      <c r="E145" s="39"/>
      <c r="F145" s="39"/>
      <c r="G145" s="40"/>
      <c r="H145" s="40"/>
      <c r="I145" s="40"/>
      <c r="J145" s="41" t="str">
        <f aca="false">IF(OR($B145="",$H145=""),"",IF($H145&gt;DateRef,0,YEARFRAC($H145,DateRef,1)))</f>
        <v/>
      </c>
      <c r="K145" s="42" t="str">
        <f aca="false">IF(OR($B145="",$H145=""),"",IF(EDATE($H145,12)&lt;=DateRef,"Plus d'un an","Moins d'un an"))</f>
        <v/>
      </c>
      <c r="L145" s="40"/>
      <c r="M145" s="43" t="str">
        <f aca="false">IF(OR($B145="",$A145=""),"",IF(SUMPRODUCT(MAX((Journal!$A$6:$A$1005=$A145)*Journal!$C$6:$C$1005))=0,"",SUMPRODUCT(MAX((Journal!$A$6:$A$1005=$A145)*Journal!$C$6:$C$1005))))</f>
        <v/>
      </c>
      <c r="N145" s="43" t="str">
        <f aca="false">IF($B145="","",IF(MAX($L145,$M145)=0,"",MAX($L145,$M145)))</f>
        <v/>
      </c>
      <c r="O145" s="44" t="str">
        <f aca="false">IF(OR($B145="",$H145=""),"",IF($N145="",IF(EDATE($H145,DelaiPremierEPP)&gt;DateRef,"1er EPP (1re année)","Aucun entretien renseigné"),IF(AND(ReglesTransitoires="Oui",EDATE($N145,AnciennePeriodiciteEP*12)&lt;DateVigueur),"Retard antérieur à la réforme","Périodicité "&amp;PeriodiciteEPP&amp;" ans")))</f>
        <v/>
      </c>
      <c r="P145" s="43" t="str">
        <f aca="false">IF(OR($B145="",$H145=""),"",IF($N145="",EDATE($H145,DelaiPremierEPP),IF(AND(ReglesTransitoires="Oui",EDATE($N145,AnciennePeriodiciteEP*12)&lt;DateVigueur),EDATE($N145,AnciennePeriodiciteEP*12),EDATE($N145,PeriodiciteEPP*12))))</f>
        <v/>
      </c>
      <c r="Q145" s="40"/>
      <c r="R145" s="45" t="str">
        <f aca="false">IF(OR($P145="",AND($I145&lt;&gt;"",$I145&lt;=DateRef)),"",$P145-DateRef)</f>
        <v/>
      </c>
      <c r="S145" s="42" t="str">
        <f aca="false">IF($B145="","",IF(AND($I145&lt;&gt;"",$I145&lt;=DateRef),"Sorti",IF($H145="","À compléter",IF(AND($Q145&lt;&gt;"",$Q145&gt;=DateRef,$Q145&lt;=$P145),"Planifié",IF($R145&lt;0,"En retard",IF($R145&lt;=SeuilAlerteEPP,"À planifier","À jour"))))))</f>
        <v/>
      </c>
      <c r="T145" s="46" t="str">
        <f aca="false">IF(OR($B145="",$S145="Sorti"),"",MID(IF($H145=""," | Date d'embauche manquante","")&amp;IF(AND($K145="Plus d'un an",$N145="")," | Précédent entretien à renseigner (ancienneté &gt; 1 an)","")&amp;IF($O145="Retard antérieur à la réforme"," | Ancien délai de 2 ans expiré avant la réforme","")&amp;IF(AND($N145&lt;&gt;"",$H145&lt;&gt;"",$N145&lt;$H145)," | Entretien antérieur à l'embauche ?","")&amp;IF(AND($N145&lt;&gt;"",$N145&gt;DateRef)," | Entretien daté dans le futur ?","")&amp;IF(AND($Q145&lt;&gt;"",$P145&lt;&gt;"",$Q145&gt;$P145)," | Date prévue après l'échéance","")&amp;IF(AND($Q145&lt;&gt;"",$Q145&lt;DateRef,OR($N145="",$N145&lt;$Q145))," | Entretien prévu passé : le consigner au Journal","")&amp;IF(AND($G145&lt;&gt;"",$X145="",YEAR(DateRef)-YEAR($G145)&gt;=AgeMiCarriere-1,YEAR(DateRef)-YEAR($G145)&lt;=AgeMiCarriere+1)," | Visite de mi-carrière à vérifier",""),4,1000))</f>
        <v/>
      </c>
      <c r="U145" s="39"/>
      <c r="V145" s="40"/>
      <c r="W145" s="42" t="str">
        <f aca="false">IF(OR($B145="",$V145=""),"",IF(AND($I145&lt;&gt;"",$I145&lt;=DateRef),"",IF(AND($N145&lt;&gt;"",$N145&gt;=$V145),"Réalisé",IF(AND($N145&lt;&gt;"",$N145&gt;=EDATE($V145,-FenetreRetour)),"Dispensé (EPP récent)",IF($V145&gt;DateRef,"À prévoir à la reprise","À proposer (reprise passée)")))))</f>
        <v/>
      </c>
      <c r="X145" s="40"/>
      <c r="Y145" s="43" t="str">
        <f aca="false">IF(OR($B145="",$X145=""),"",EDATE($X145,DelaiMiCarriere))</f>
        <v/>
      </c>
      <c r="Z145" s="42" t="str">
        <f aca="false">IF(OR($B145="",$X145=""),"",IF(AND($I145&lt;&gt;"",$I145&lt;=DateRef),"",IF(AND($N145&lt;&gt;"",$N145&gt;=$X145),"Réalisé",IF($Y145&lt;DateRef,"En retard","À planifier"))))</f>
        <v/>
      </c>
      <c r="AA145" s="47" t="str">
        <f aca="false">IF(OR($B145="",$G145=""),"",IF($G145&gt;DateRef,"",DATEDIF($G145,DateRef,"y")))</f>
        <v/>
      </c>
      <c r="AB145" s="43" t="str">
        <f aca="false">IF(OR($B145="",$G145=""),"",EDATE($G145,AgeFinCarriere*12))</f>
        <v/>
      </c>
      <c r="AC145" s="42" t="str">
        <f aca="false">IF(OR($B145="",$G145="",$H145=""),"",IF(AND($I145&lt;&gt;"",$I145&lt;=DateRef),"",IF($AB145&lt;DateVigueur,"Non concerné",IF(AND($N145&lt;&gt;"",$N145&gt;=MAX(EDATE($AB145,-FenetreFinCarriere*12),DateVigueur),$N145&lt;=$AB145),"Réalisé",IF(DateRef&gt;$AB145,"Non réalisé",IF(AND($Q145&lt;&gt;"",$Q145&gt;=EDATE($AB145,-FenetreFinCarriere*12),$Q145&lt;=$AB145),"Planifié dans la fenêtre",IF(AND(MAX($P145,DateRef)&gt;=EDATE($AB145,-FenetreFinCarriere*12),MAX($P145,DateRef)&lt;=$AB145),"Prochain EPP dans la fenêtre",IF(MAX($P145,DateRef)&gt;$AB145,"À programmer avant 60 ans",""))))))))</f>
        <v/>
      </c>
      <c r="AD145" s="40"/>
      <c r="AE145" s="43" t="str">
        <f aca="false">IF(OR($B145="",$H145="",AND($I145&lt;&gt;"",$I145&lt;=DateRef)),"",MAX($H145,$AD145,IF($A145="",0,SUMPRODUCT(MAX((Journal!$A$6:$A$1005=$A145)*((Journal!$D$6:$D$1005=TypeEDL)+(Journal!$D$6:$D$1005=TypeBilan6))*Journal!$C$6:$C$1005)))))</f>
        <v/>
      </c>
      <c r="AF145" s="43" t="str">
        <f aca="false">IF($AE145="","",IF(AND(ReglesTransitoires="Oui",EDATE($AE145,AnciennePeriodiciteEDL*12)&lt;DateVigueur),EDATE($AE145,AnciennePeriodiciteEDL*12),EDATE($AE145,PeriodiciteEDL*12)))</f>
        <v/>
      </c>
      <c r="AG145" s="42" t="str">
        <f aca="false">IF($AF145="","",IF(AND($I145&lt;&gt;"",$I145&lt;=DateRef),"",IF($AF145&lt;DateRef,"En retard",IF($AF145-DateRef&lt;=SeuilAlerteEDL,"À prévoir","À jour"))))</f>
        <v/>
      </c>
      <c r="AH145" s="39"/>
      <c r="AI145" s="39"/>
      <c r="AJ145" s="42" t="str">
        <f aca="false">IF(OR($B145="",$H145=""),"",IF(AND($I145&lt;&gt;"",$I145&lt;=DateRef),"",IF(Effectif&lt;SeuilEffectif,"Non concerné (&lt; "&amp;SeuilEffectif&amp;" salariés)",IF($AH145="Oui","Pas de risque",IF(AND(OR($AI145="Non",$S145="En retard"),$AH145="Non"),"Risque abondement",IF(OR($AI145="Non",$S145="En retard"),"À vérifier (formation ?)",IF($AI145="Oui","Pas de risque","À compléter")))))))</f>
        <v/>
      </c>
      <c r="AK145" s="39"/>
    </row>
    <row r="146" customFormat="false" ht="15" hidden="false" customHeight="false" outlineLevel="0" collapsed="false">
      <c r="A146" s="39"/>
      <c r="B146" s="39"/>
      <c r="C146" s="39"/>
      <c r="D146" s="39"/>
      <c r="E146" s="39"/>
      <c r="F146" s="39"/>
      <c r="G146" s="40"/>
      <c r="H146" s="40"/>
      <c r="I146" s="40"/>
      <c r="J146" s="41" t="str">
        <f aca="false">IF(OR($B146="",$H146=""),"",IF($H146&gt;DateRef,0,YEARFRAC($H146,DateRef,1)))</f>
        <v/>
      </c>
      <c r="K146" s="42" t="str">
        <f aca="false">IF(OR($B146="",$H146=""),"",IF(EDATE($H146,12)&lt;=DateRef,"Plus d'un an","Moins d'un an"))</f>
        <v/>
      </c>
      <c r="L146" s="40"/>
      <c r="M146" s="43" t="str">
        <f aca="false">IF(OR($B146="",$A146=""),"",IF(SUMPRODUCT(MAX((Journal!$A$6:$A$1005=$A146)*Journal!$C$6:$C$1005))=0,"",SUMPRODUCT(MAX((Journal!$A$6:$A$1005=$A146)*Journal!$C$6:$C$1005))))</f>
        <v/>
      </c>
      <c r="N146" s="43" t="str">
        <f aca="false">IF($B146="","",IF(MAX($L146,$M146)=0,"",MAX($L146,$M146)))</f>
        <v/>
      </c>
      <c r="O146" s="44" t="str">
        <f aca="false">IF(OR($B146="",$H146=""),"",IF($N146="",IF(EDATE($H146,DelaiPremierEPP)&gt;DateRef,"1er EPP (1re année)","Aucun entretien renseigné"),IF(AND(ReglesTransitoires="Oui",EDATE($N146,AnciennePeriodiciteEP*12)&lt;DateVigueur),"Retard antérieur à la réforme","Périodicité "&amp;PeriodiciteEPP&amp;" ans")))</f>
        <v/>
      </c>
      <c r="P146" s="43" t="str">
        <f aca="false">IF(OR($B146="",$H146=""),"",IF($N146="",EDATE($H146,DelaiPremierEPP),IF(AND(ReglesTransitoires="Oui",EDATE($N146,AnciennePeriodiciteEP*12)&lt;DateVigueur),EDATE($N146,AnciennePeriodiciteEP*12),EDATE($N146,PeriodiciteEPP*12))))</f>
        <v/>
      </c>
      <c r="Q146" s="40"/>
      <c r="R146" s="45" t="str">
        <f aca="false">IF(OR($P146="",AND($I146&lt;&gt;"",$I146&lt;=DateRef)),"",$P146-DateRef)</f>
        <v/>
      </c>
      <c r="S146" s="42" t="str">
        <f aca="false">IF($B146="","",IF(AND($I146&lt;&gt;"",$I146&lt;=DateRef),"Sorti",IF($H146="","À compléter",IF(AND($Q146&lt;&gt;"",$Q146&gt;=DateRef,$Q146&lt;=$P146),"Planifié",IF($R146&lt;0,"En retard",IF($R146&lt;=SeuilAlerteEPP,"À planifier","À jour"))))))</f>
        <v/>
      </c>
      <c r="T146" s="46" t="str">
        <f aca="false">IF(OR($B146="",$S146="Sorti"),"",MID(IF($H146=""," | Date d'embauche manquante","")&amp;IF(AND($K146="Plus d'un an",$N146="")," | Précédent entretien à renseigner (ancienneté &gt; 1 an)","")&amp;IF($O146="Retard antérieur à la réforme"," | Ancien délai de 2 ans expiré avant la réforme","")&amp;IF(AND($N146&lt;&gt;"",$H146&lt;&gt;"",$N146&lt;$H146)," | Entretien antérieur à l'embauche ?","")&amp;IF(AND($N146&lt;&gt;"",$N146&gt;DateRef)," | Entretien daté dans le futur ?","")&amp;IF(AND($Q146&lt;&gt;"",$P146&lt;&gt;"",$Q146&gt;$P146)," | Date prévue après l'échéance","")&amp;IF(AND($Q146&lt;&gt;"",$Q146&lt;DateRef,OR($N146="",$N146&lt;$Q146))," | Entretien prévu passé : le consigner au Journal","")&amp;IF(AND($G146&lt;&gt;"",$X146="",YEAR(DateRef)-YEAR($G146)&gt;=AgeMiCarriere-1,YEAR(DateRef)-YEAR($G146)&lt;=AgeMiCarriere+1)," | Visite de mi-carrière à vérifier",""),4,1000))</f>
        <v/>
      </c>
      <c r="U146" s="39"/>
      <c r="V146" s="40"/>
      <c r="W146" s="42" t="str">
        <f aca="false">IF(OR($B146="",$V146=""),"",IF(AND($I146&lt;&gt;"",$I146&lt;=DateRef),"",IF(AND($N146&lt;&gt;"",$N146&gt;=$V146),"Réalisé",IF(AND($N146&lt;&gt;"",$N146&gt;=EDATE($V146,-FenetreRetour)),"Dispensé (EPP récent)",IF($V146&gt;DateRef,"À prévoir à la reprise","À proposer (reprise passée)")))))</f>
        <v/>
      </c>
      <c r="X146" s="40"/>
      <c r="Y146" s="43" t="str">
        <f aca="false">IF(OR($B146="",$X146=""),"",EDATE($X146,DelaiMiCarriere))</f>
        <v/>
      </c>
      <c r="Z146" s="42" t="str">
        <f aca="false">IF(OR($B146="",$X146=""),"",IF(AND($I146&lt;&gt;"",$I146&lt;=DateRef),"",IF(AND($N146&lt;&gt;"",$N146&gt;=$X146),"Réalisé",IF($Y146&lt;DateRef,"En retard","À planifier"))))</f>
        <v/>
      </c>
      <c r="AA146" s="47" t="str">
        <f aca="false">IF(OR($B146="",$G146=""),"",IF($G146&gt;DateRef,"",DATEDIF($G146,DateRef,"y")))</f>
        <v/>
      </c>
      <c r="AB146" s="43" t="str">
        <f aca="false">IF(OR($B146="",$G146=""),"",EDATE($G146,AgeFinCarriere*12))</f>
        <v/>
      </c>
      <c r="AC146" s="42" t="str">
        <f aca="false">IF(OR($B146="",$G146="",$H146=""),"",IF(AND($I146&lt;&gt;"",$I146&lt;=DateRef),"",IF($AB146&lt;DateVigueur,"Non concerné",IF(AND($N146&lt;&gt;"",$N146&gt;=MAX(EDATE($AB146,-FenetreFinCarriere*12),DateVigueur),$N146&lt;=$AB146),"Réalisé",IF(DateRef&gt;$AB146,"Non réalisé",IF(AND($Q146&lt;&gt;"",$Q146&gt;=EDATE($AB146,-FenetreFinCarriere*12),$Q146&lt;=$AB146),"Planifié dans la fenêtre",IF(AND(MAX($P146,DateRef)&gt;=EDATE($AB146,-FenetreFinCarriere*12),MAX($P146,DateRef)&lt;=$AB146),"Prochain EPP dans la fenêtre",IF(MAX($P146,DateRef)&gt;$AB146,"À programmer avant 60 ans",""))))))))</f>
        <v/>
      </c>
      <c r="AD146" s="40"/>
      <c r="AE146" s="43" t="str">
        <f aca="false">IF(OR($B146="",$H146="",AND($I146&lt;&gt;"",$I146&lt;=DateRef)),"",MAX($H146,$AD146,IF($A146="",0,SUMPRODUCT(MAX((Journal!$A$6:$A$1005=$A146)*((Journal!$D$6:$D$1005=TypeEDL)+(Journal!$D$6:$D$1005=TypeBilan6))*Journal!$C$6:$C$1005)))))</f>
        <v/>
      </c>
      <c r="AF146" s="43" t="str">
        <f aca="false">IF($AE146="","",IF(AND(ReglesTransitoires="Oui",EDATE($AE146,AnciennePeriodiciteEDL*12)&lt;DateVigueur),EDATE($AE146,AnciennePeriodiciteEDL*12),EDATE($AE146,PeriodiciteEDL*12)))</f>
        <v/>
      </c>
      <c r="AG146" s="42" t="str">
        <f aca="false">IF($AF146="","",IF(AND($I146&lt;&gt;"",$I146&lt;=DateRef),"",IF($AF146&lt;DateRef,"En retard",IF($AF146-DateRef&lt;=SeuilAlerteEDL,"À prévoir","À jour"))))</f>
        <v/>
      </c>
      <c r="AH146" s="39"/>
      <c r="AI146" s="39"/>
      <c r="AJ146" s="42" t="str">
        <f aca="false">IF(OR($B146="",$H146=""),"",IF(AND($I146&lt;&gt;"",$I146&lt;=DateRef),"",IF(Effectif&lt;SeuilEffectif,"Non concerné (&lt; "&amp;SeuilEffectif&amp;" salariés)",IF($AH146="Oui","Pas de risque",IF(AND(OR($AI146="Non",$S146="En retard"),$AH146="Non"),"Risque abondement",IF(OR($AI146="Non",$S146="En retard"),"À vérifier (formation ?)",IF($AI146="Oui","Pas de risque","À compléter")))))))</f>
        <v/>
      </c>
      <c r="AK146" s="39"/>
    </row>
    <row r="147" customFormat="false" ht="15" hidden="false" customHeight="false" outlineLevel="0" collapsed="false">
      <c r="A147" s="39"/>
      <c r="B147" s="39"/>
      <c r="C147" s="39"/>
      <c r="D147" s="39"/>
      <c r="E147" s="39"/>
      <c r="F147" s="39"/>
      <c r="G147" s="40"/>
      <c r="H147" s="40"/>
      <c r="I147" s="40"/>
      <c r="J147" s="41" t="str">
        <f aca="false">IF(OR($B147="",$H147=""),"",IF($H147&gt;DateRef,0,YEARFRAC($H147,DateRef,1)))</f>
        <v/>
      </c>
      <c r="K147" s="42" t="str">
        <f aca="false">IF(OR($B147="",$H147=""),"",IF(EDATE($H147,12)&lt;=DateRef,"Plus d'un an","Moins d'un an"))</f>
        <v/>
      </c>
      <c r="L147" s="40"/>
      <c r="M147" s="43" t="str">
        <f aca="false">IF(OR($B147="",$A147=""),"",IF(SUMPRODUCT(MAX((Journal!$A$6:$A$1005=$A147)*Journal!$C$6:$C$1005))=0,"",SUMPRODUCT(MAX((Journal!$A$6:$A$1005=$A147)*Journal!$C$6:$C$1005))))</f>
        <v/>
      </c>
      <c r="N147" s="43" t="str">
        <f aca="false">IF($B147="","",IF(MAX($L147,$M147)=0,"",MAX($L147,$M147)))</f>
        <v/>
      </c>
      <c r="O147" s="44" t="str">
        <f aca="false">IF(OR($B147="",$H147=""),"",IF($N147="",IF(EDATE($H147,DelaiPremierEPP)&gt;DateRef,"1er EPP (1re année)","Aucun entretien renseigné"),IF(AND(ReglesTransitoires="Oui",EDATE($N147,AnciennePeriodiciteEP*12)&lt;DateVigueur),"Retard antérieur à la réforme","Périodicité "&amp;PeriodiciteEPP&amp;" ans")))</f>
        <v/>
      </c>
      <c r="P147" s="43" t="str">
        <f aca="false">IF(OR($B147="",$H147=""),"",IF($N147="",EDATE($H147,DelaiPremierEPP),IF(AND(ReglesTransitoires="Oui",EDATE($N147,AnciennePeriodiciteEP*12)&lt;DateVigueur),EDATE($N147,AnciennePeriodiciteEP*12),EDATE($N147,PeriodiciteEPP*12))))</f>
        <v/>
      </c>
      <c r="Q147" s="40"/>
      <c r="R147" s="45" t="str">
        <f aca="false">IF(OR($P147="",AND($I147&lt;&gt;"",$I147&lt;=DateRef)),"",$P147-DateRef)</f>
        <v/>
      </c>
      <c r="S147" s="42" t="str">
        <f aca="false">IF($B147="","",IF(AND($I147&lt;&gt;"",$I147&lt;=DateRef),"Sorti",IF($H147="","À compléter",IF(AND($Q147&lt;&gt;"",$Q147&gt;=DateRef,$Q147&lt;=$P147),"Planifié",IF($R147&lt;0,"En retard",IF($R147&lt;=SeuilAlerteEPP,"À planifier","À jour"))))))</f>
        <v/>
      </c>
      <c r="T147" s="46" t="str">
        <f aca="false">IF(OR($B147="",$S147="Sorti"),"",MID(IF($H147=""," | Date d'embauche manquante","")&amp;IF(AND($K147="Plus d'un an",$N147="")," | Précédent entretien à renseigner (ancienneté &gt; 1 an)","")&amp;IF($O147="Retard antérieur à la réforme"," | Ancien délai de 2 ans expiré avant la réforme","")&amp;IF(AND($N147&lt;&gt;"",$H147&lt;&gt;"",$N147&lt;$H147)," | Entretien antérieur à l'embauche ?","")&amp;IF(AND($N147&lt;&gt;"",$N147&gt;DateRef)," | Entretien daté dans le futur ?","")&amp;IF(AND($Q147&lt;&gt;"",$P147&lt;&gt;"",$Q147&gt;$P147)," | Date prévue après l'échéance","")&amp;IF(AND($Q147&lt;&gt;"",$Q147&lt;DateRef,OR($N147="",$N147&lt;$Q147))," | Entretien prévu passé : le consigner au Journal","")&amp;IF(AND($G147&lt;&gt;"",$X147="",YEAR(DateRef)-YEAR($G147)&gt;=AgeMiCarriere-1,YEAR(DateRef)-YEAR($G147)&lt;=AgeMiCarriere+1)," | Visite de mi-carrière à vérifier",""),4,1000))</f>
        <v/>
      </c>
      <c r="U147" s="39"/>
      <c r="V147" s="40"/>
      <c r="W147" s="42" t="str">
        <f aca="false">IF(OR($B147="",$V147=""),"",IF(AND($I147&lt;&gt;"",$I147&lt;=DateRef),"",IF(AND($N147&lt;&gt;"",$N147&gt;=$V147),"Réalisé",IF(AND($N147&lt;&gt;"",$N147&gt;=EDATE($V147,-FenetreRetour)),"Dispensé (EPP récent)",IF($V147&gt;DateRef,"À prévoir à la reprise","À proposer (reprise passée)")))))</f>
        <v/>
      </c>
      <c r="X147" s="40"/>
      <c r="Y147" s="43" t="str">
        <f aca="false">IF(OR($B147="",$X147=""),"",EDATE($X147,DelaiMiCarriere))</f>
        <v/>
      </c>
      <c r="Z147" s="42" t="str">
        <f aca="false">IF(OR($B147="",$X147=""),"",IF(AND($I147&lt;&gt;"",$I147&lt;=DateRef),"",IF(AND($N147&lt;&gt;"",$N147&gt;=$X147),"Réalisé",IF($Y147&lt;DateRef,"En retard","À planifier"))))</f>
        <v/>
      </c>
      <c r="AA147" s="47" t="str">
        <f aca="false">IF(OR($B147="",$G147=""),"",IF($G147&gt;DateRef,"",DATEDIF($G147,DateRef,"y")))</f>
        <v/>
      </c>
      <c r="AB147" s="43" t="str">
        <f aca="false">IF(OR($B147="",$G147=""),"",EDATE($G147,AgeFinCarriere*12))</f>
        <v/>
      </c>
      <c r="AC147" s="42" t="str">
        <f aca="false">IF(OR($B147="",$G147="",$H147=""),"",IF(AND($I147&lt;&gt;"",$I147&lt;=DateRef),"",IF($AB147&lt;DateVigueur,"Non concerné",IF(AND($N147&lt;&gt;"",$N147&gt;=MAX(EDATE($AB147,-FenetreFinCarriere*12),DateVigueur),$N147&lt;=$AB147),"Réalisé",IF(DateRef&gt;$AB147,"Non réalisé",IF(AND($Q147&lt;&gt;"",$Q147&gt;=EDATE($AB147,-FenetreFinCarriere*12),$Q147&lt;=$AB147),"Planifié dans la fenêtre",IF(AND(MAX($P147,DateRef)&gt;=EDATE($AB147,-FenetreFinCarriere*12),MAX($P147,DateRef)&lt;=$AB147),"Prochain EPP dans la fenêtre",IF(MAX($P147,DateRef)&gt;$AB147,"À programmer avant 60 ans",""))))))))</f>
        <v/>
      </c>
      <c r="AD147" s="40"/>
      <c r="AE147" s="43" t="str">
        <f aca="false">IF(OR($B147="",$H147="",AND($I147&lt;&gt;"",$I147&lt;=DateRef)),"",MAX($H147,$AD147,IF($A147="",0,SUMPRODUCT(MAX((Journal!$A$6:$A$1005=$A147)*((Journal!$D$6:$D$1005=TypeEDL)+(Journal!$D$6:$D$1005=TypeBilan6))*Journal!$C$6:$C$1005)))))</f>
        <v/>
      </c>
      <c r="AF147" s="43" t="str">
        <f aca="false">IF($AE147="","",IF(AND(ReglesTransitoires="Oui",EDATE($AE147,AnciennePeriodiciteEDL*12)&lt;DateVigueur),EDATE($AE147,AnciennePeriodiciteEDL*12),EDATE($AE147,PeriodiciteEDL*12)))</f>
        <v/>
      </c>
      <c r="AG147" s="42" t="str">
        <f aca="false">IF($AF147="","",IF(AND($I147&lt;&gt;"",$I147&lt;=DateRef),"",IF($AF147&lt;DateRef,"En retard",IF($AF147-DateRef&lt;=SeuilAlerteEDL,"À prévoir","À jour"))))</f>
        <v/>
      </c>
      <c r="AH147" s="39"/>
      <c r="AI147" s="39"/>
      <c r="AJ147" s="42" t="str">
        <f aca="false">IF(OR($B147="",$H147=""),"",IF(AND($I147&lt;&gt;"",$I147&lt;=DateRef),"",IF(Effectif&lt;SeuilEffectif,"Non concerné (&lt; "&amp;SeuilEffectif&amp;" salariés)",IF($AH147="Oui","Pas de risque",IF(AND(OR($AI147="Non",$S147="En retard"),$AH147="Non"),"Risque abondement",IF(OR($AI147="Non",$S147="En retard"),"À vérifier (formation ?)",IF($AI147="Oui","Pas de risque","À compléter")))))))</f>
        <v/>
      </c>
      <c r="AK147" s="39"/>
    </row>
    <row r="148" customFormat="false" ht="15" hidden="false" customHeight="false" outlineLevel="0" collapsed="false">
      <c r="A148" s="39"/>
      <c r="B148" s="39"/>
      <c r="C148" s="39"/>
      <c r="D148" s="39"/>
      <c r="E148" s="39"/>
      <c r="F148" s="39"/>
      <c r="G148" s="40"/>
      <c r="H148" s="40"/>
      <c r="I148" s="40"/>
      <c r="J148" s="41" t="str">
        <f aca="false">IF(OR($B148="",$H148=""),"",IF($H148&gt;DateRef,0,YEARFRAC($H148,DateRef,1)))</f>
        <v/>
      </c>
      <c r="K148" s="42" t="str">
        <f aca="false">IF(OR($B148="",$H148=""),"",IF(EDATE($H148,12)&lt;=DateRef,"Plus d'un an","Moins d'un an"))</f>
        <v/>
      </c>
      <c r="L148" s="40"/>
      <c r="M148" s="43" t="str">
        <f aca="false">IF(OR($B148="",$A148=""),"",IF(SUMPRODUCT(MAX((Journal!$A$6:$A$1005=$A148)*Journal!$C$6:$C$1005))=0,"",SUMPRODUCT(MAX((Journal!$A$6:$A$1005=$A148)*Journal!$C$6:$C$1005))))</f>
        <v/>
      </c>
      <c r="N148" s="43" t="str">
        <f aca="false">IF($B148="","",IF(MAX($L148,$M148)=0,"",MAX($L148,$M148)))</f>
        <v/>
      </c>
      <c r="O148" s="44" t="str">
        <f aca="false">IF(OR($B148="",$H148=""),"",IF($N148="",IF(EDATE($H148,DelaiPremierEPP)&gt;DateRef,"1er EPP (1re année)","Aucun entretien renseigné"),IF(AND(ReglesTransitoires="Oui",EDATE($N148,AnciennePeriodiciteEP*12)&lt;DateVigueur),"Retard antérieur à la réforme","Périodicité "&amp;PeriodiciteEPP&amp;" ans")))</f>
        <v/>
      </c>
      <c r="P148" s="43" t="str">
        <f aca="false">IF(OR($B148="",$H148=""),"",IF($N148="",EDATE($H148,DelaiPremierEPP),IF(AND(ReglesTransitoires="Oui",EDATE($N148,AnciennePeriodiciteEP*12)&lt;DateVigueur),EDATE($N148,AnciennePeriodiciteEP*12),EDATE($N148,PeriodiciteEPP*12))))</f>
        <v/>
      </c>
      <c r="Q148" s="40"/>
      <c r="R148" s="45" t="str">
        <f aca="false">IF(OR($P148="",AND($I148&lt;&gt;"",$I148&lt;=DateRef)),"",$P148-DateRef)</f>
        <v/>
      </c>
      <c r="S148" s="42" t="str">
        <f aca="false">IF($B148="","",IF(AND($I148&lt;&gt;"",$I148&lt;=DateRef),"Sorti",IF($H148="","À compléter",IF(AND($Q148&lt;&gt;"",$Q148&gt;=DateRef,$Q148&lt;=$P148),"Planifié",IF($R148&lt;0,"En retard",IF($R148&lt;=SeuilAlerteEPP,"À planifier","À jour"))))))</f>
        <v/>
      </c>
      <c r="T148" s="46" t="str">
        <f aca="false">IF(OR($B148="",$S148="Sorti"),"",MID(IF($H148=""," | Date d'embauche manquante","")&amp;IF(AND($K148="Plus d'un an",$N148="")," | Précédent entretien à renseigner (ancienneté &gt; 1 an)","")&amp;IF($O148="Retard antérieur à la réforme"," | Ancien délai de 2 ans expiré avant la réforme","")&amp;IF(AND($N148&lt;&gt;"",$H148&lt;&gt;"",$N148&lt;$H148)," | Entretien antérieur à l'embauche ?","")&amp;IF(AND($N148&lt;&gt;"",$N148&gt;DateRef)," | Entretien daté dans le futur ?","")&amp;IF(AND($Q148&lt;&gt;"",$P148&lt;&gt;"",$Q148&gt;$P148)," | Date prévue après l'échéance","")&amp;IF(AND($Q148&lt;&gt;"",$Q148&lt;DateRef,OR($N148="",$N148&lt;$Q148))," | Entretien prévu passé : le consigner au Journal","")&amp;IF(AND($G148&lt;&gt;"",$X148="",YEAR(DateRef)-YEAR($G148)&gt;=AgeMiCarriere-1,YEAR(DateRef)-YEAR($G148)&lt;=AgeMiCarriere+1)," | Visite de mi-carrière à vérifier",""),4,1000))</f>
        <v/>
      </c>
      <c r="U148" s="39"/>
      <c r="V148" s="40"/>
      <c r="W148" s="42" t="str">
        <f aca="false">IF(OR($B148="",$V148=""),"",IF(AND($I148&lt;&gt;"",$I148&lt;=DateRef),"",IF(AND($N148&lt;&gt;"",$N148&gt;=$V148),"Réalisé",IF(AND($N148&lt;&gt;"",$N148&gt;=EDATE($V148,-FenetreRetour)),"Dispensé (EPP récent)",IF($V148&gt;DateRef,"À prévoir à la reprise","À proposer (reprise passée)")))))</f>
        <v/>
      </c>
      <c r="X148" s="40"/>
      <c r="Y148" s="43" t="str">
        <f aca="false">IF(OR($B148="",$X148=""),"",EDATE($X148,DelaiMiCarriere))</f>
        <v/>
      </c>
      <c r="Z148" s="42" t="str">
        <f aca="false">IF(OR($B148="",$X148=""),"",IF(AND($I148&lt;&gt;"",$I148&lt;=DateRef),"",IF(AND($N148&lt;&gt;"",$N148&gt;=$X148),"Réalisé",IF($Y148&lt;DateRef,"En retard","À planifier"))))</f>
        <v/>
      </c>
      <c r="AA148" s="47" t="str">
        <f aca="false">IF(OR($B148="",$G148=""),"",IF($G148&gt;DateRef,"",DATEDIF($G148,DateRef,"y")))</f>
        <v/>
      </c>
      <c r="AB148" s="43" t="str">
        <f aca="false">IF(OR($B148="",$G148=""),"",EDATE($G148,AgeFinCarriere*12))</f>
        <v/>
      </c>
      <c r="AC148" s="42" t="str">
        <f aca="false">IF(OR($B148="",$G148="",$H148=""),"",IF(AND($I148&lt;&gt;"",$I148&lt;=DateRef),"",IF($AB148&lt;DateVigueur,"Non concerné",IF(AND($N148&lt;&gt;"",$N148&gt;=MAX(EDATE($AB148,-FenetreFinCarriere*12),DateVigueur),$N148&lt;=$AB148),"Réalisé",IF(DateRef&gt;$AB148,"Non réalisé",IF(AND($Q148&lt;&gt;"",$Q148&gt;=EDATE($AB148,-FenetreFinCarriere*12),$Q148&lt;=$AB148),"Planifié dans la fenêtre",IF(AND(MAX($P148,DateRef)&gt;=EDATE($AB148,-FenetreFinCarriere*12),MAX($P148,DateRef)&lt;=$AB148),"Prochain EPP dans la fenêtre",IF(MAX($P148,DateRef)&gt;$AB148,"À programmer avant 60 ans",""))))))))</f>
        <v/>
      </c>
      <c r="AD148" s="40"/>
      <c r="AE148" s="43" t="str">
        <f aca="false">IF(OR($B148="",$H148="",AND($I148&lt;&gt;"",$I148&lt;=DateRef)),"",MAX($H148,$AD148,IF($A148="",0,SUMPRODUCT(MAX((Journal!$A$6:$A$1005=$A148)*((Journal!$D$6:$D$1005=TypeEDL)+(Journal!$D$6:$D$1005=TypeBilan6))*Journal!$C$6:$C$1005)))))</f>
        <v/>
      </c>
      <c r="AF148" s="43" t="str">
        <f aca="false">IF($AE148="","",IF(AND(ReglesTransitoires="Oui",EDATE($AE148,AnciennePeriodiciteEDL*12)&lt;DateVigueur),EDATE($AE148,AnciennePeriodiciteEDL*12),EDATE($AE148,PeriodiciteEDL*12)))</f>
        <v/>
      </c>
      <c r="AG148" s="42" t="str">
        <f aca="false">IF($AF148="","",IF(AND($I148&lt;&gt;"",$I148&lt;=DateRef),"",IF($AF148&lt;DateRef,"En retard",IF($AF148-DateRef&lt;=SeuilAlerteEDL,"À prévoir","À jour"))))</f>
        <v/>
      </c>
      <c r="AH148" s="39"/>
      <c r="AI148" s="39"/>
      <c r="AJ148" s="42" t="str">
        <f aca="false">IF(OR($B148="",$H148=""),"",IF(AND($I148&lt;&gt;"",$I148&lt;=DateRef),"",IF(Effectif&lt;SeuilEffectif,"Non concerné (&lt; "&amp;SeuilEffectif&amp;" salariés)",IF($AH148="Oui","Pas de risque",IF(AND(OR($AI148="Non",$S148="En retard"),$AH148="Non"),"Risque abondement",IF(OR($AI148="Non",$S148="En retard"),"À vérifier (formation ?)",IF($AI148="Oui","Pas de risque","À compléter")))))))</f>
        <v/>
      </c>
      <c r="AK148" s="39"/>
    </row>
    <row r="149" customFormat="false" ht="15" hidden="false" customHeight="false" outlineLevel="0" collapsed="false">
      <c r="A149" s="39"/>
      <c r="B149" s="39"/>
      <c r="C149" s="39"/>
      <c r="D149" s="39"/>
      <c r="E149" s="39"/>
      <c r="F149" s="39"/>
      <c r="G149" s="40"/>
      <c r="H149" s="40"/>
      <c r="I149" s="40"/>
      <c r="J149" s="41" t="str">
        <f aca="false">IF(OR($B149="",$H149=""),"",IF($H149&gt;DateRef,0,YEARFRAC($H149,DateRef,1)))</f>
        <v/>
      </c>
      <c r="K149" s="42" t="str">
        <f aca="false">IF(OR($B149="",$H149=""),"",IF(EDATE($H149,12)&lt;=DateRef,"Plus d'un an","Moins d'un an"))</f>
        <v/>
      </c>
      <c r="L149" s="40"/>
      <c r="M149" s="43" t="str">
        <f aca="false">IF(OR($B149="",$A149=""),"",IF(SUMPRODUCT(MAX((Journal!$A$6:$A$1005=$A149)*Journal!$C$6:$C$1005))=0,"",SUMPRODUCT(MAX((Journal!$A$6:$A$1005=$A149)*Journal!$C$6:$C$1005))))</f>
        <v/>
      </c>
      <c r="N149" s="43" t="str">
        <f aca="false">IF($B149="","",IF(MAX($L149,$M149)=0,"",MAX($L149,$M149)))</f>
        <v/>
      </c>
      <c r="O149" s="44" t="str">
        <f aca="false">IF(OR($B149="",$H149=""),"",IF($N149="",IF(EDATE($H149,DelaiPremierEPP)&gt;DateRef,"1er EPP (1re année)","Aucun entretien renseigné"),IF(AND(ReglesTransitoires="Oui",EDATE($N149,AnciennePeriodiciteEP*12)&lt;DateVigueur),"Retard antérieur à la réforme","Périodicité "&amp;PeriodiciteEPP&amp;" ans")))</f>
        <v/>
      </c>
      <c r="P149" s="43" t="str">
        <f aca="false">IF(OR($B149="",$H149=""),"",IF($N149="",EDATE($H149,DelaiPremierEPP),IF(AND(ReglesTransitoires="Oui",EDATE($N149,AnciennePeriodiciteEP*12)&lt;DateVigueur),EDATE($N149,AnciennePeriodiciteEP*12),EDATE($N149,PeriodiciteEPP*12))))</f>
        <v/>
      </c>
      <c r="Q149" s="40"/>
      <c r="R149" s="45" t="str">
        <f aca="false">IF(OR($P149="",AND($I149&lt;&gt;"",$I149&lt;=DateRef)),"",$P149-DateRef)</f>
        <v/>
      </c>
      <c r="S149" s="42" t="str">
        <f aca="false">IF($B149="","",IF(AND($I149&lt;&gt;"",$I149&lt;=DateRef),"Sorti",IF($H149="","À compléter",IF(AND($Q149&lt;&gt;"",$Q149&gt;=DateRef,$Q149&lt;=$P149),"Planifié",IF($R149&lt;0,"En retard",IF($R149&lt;=SeuilAlerteEPP,"À planifier","À jour"))))))</f>
        <v/>
      </c>
      <c r="T149" s="46" t="str">
        <f aca="false">IF(OR($B149="",$S149="Sorti"),"",MID(IF($H149=""," | Date d'embauche manquante","")&amp;IF(AND($K149="Plus d'un an",$N149="")," | Précédent entretien à renseigner (ancienneté &gt; 1 an)","")&amp;IF($O149="Retard antérieur à la réforme"," | Ancien délai de 2 ans expiré avant la réforme","")&amp;IF(AND($N149&lt;&gt;"",$H149&lt;&gt;"",$N149&lt;$H149)," | Entretien antérieur à l'embauche ?","")&amp;IF(AND($N149&lt;&gt;"",$N149&gt;DateRef)," | Entretien daté dans le futur ?","")&amp;IF(AND($Q149&lt;&gt;"",$P149&lt;&gt;"",$Q149&gt;$P149)," | Date prévue après l'échéance","")&amp;IF(AND($Q149&lt;&gt;"",$Q149&lt;DateRef,OR($N149="",$N149&lt;$Q149))," | Entretien prévu passé : le consigner au Journal","")&amp;IF(AND($G149&lt;&gt;"",$X149="",YEAR(DateRef)-YEAR($G149)&gt;=AgeMiCarriere-1,YEAR(DateRef)-YEAR($G149)&lt;=AgeMiCarriere+1)," | Visite de mi-carrière à vérifier",""),4,1000))</f>
        <v/>
      </c>
      <c r="U149" s="39"/>
      <c r="V149" s="40"/>
      <c r="W149" s="42" t="str">
        <f aca="false">IF(OR($B149="",$V149=""),"",IF(AND($I149&lt;&gt;"",$I149&lt;=DateRef),"",IF(AND($N149&lt;&gt;"",$N149&gt;=$V149),"Réalisé",IF(AND($N149&lt;&gt;"",$N149&gt;=EDATE($V149,-FenetreRetour)),"Dispensé (EPP récent)",IF($V149&gt;DateRef,"À prévoir à la reprise","À proposer (reprise passée)")))))</f>
        <v/>
      </c>
      <c r="X149" s="40"/>
      <c r="Y149" s="43" t="str">
        <f aca="false">IF(OR($B149="",$X149=""),"",EDATE($X149,DelaiMiCarriere))</f>
        <v/>
      </c>
      <c r="Z149" s="42" t="str">
        <f aca="false">IF(OR($B149="",$X149=""),"",IF(AND($I149&lt;&gt;"",$I149&lt;=DateRef),"",IF(AND($N149&lt;&gt;"",$N149&gt;=$X149),"Réalisé",IF($Y149&lt;DateRef,"En retard","À planifier"))))</f>
        <v/>
      </c>
      <c r="AA149" s="47" t="str">
        <f aca="false">IF(OR($B149="",$G149=""),"",IF($G149&gt;DateRef,"",DATEDIF($G149,DateRef,"y")))</f>
        <v/>
      </c>
      <c r="AB149" s="43" t="str">
        <f aca="false">IF(OR($B149="",$G149=""),"",EDATE($G149,AgeFinCarriere*12))</f>
        <v/>
      </c>
      <c r="AC149" s="42" t="str">
        <f aca="false">IF(OR($B149="",$G149="",$H149=""),"",IF(AND($I149&lt;&gt;"",$I149&lt;=DateRef),"",IF($AB149&lt;DateVigueur,"Non concerné",IF(AND($N149&lt;&gt;"",$N149&gt;=MAX(EDATE($AB149,-FenetreFinCarriere*12),DateVigueur),$N149&lt;=$AB149),"Réalisé",IF(DateRef&gt;$AB149,"Non réalisé",IF(AND($Q149&lt;&gt;"",$Q149&gt;=EDATE($AB149,-FenetreFinCarriere*12),$Q149&lt;=$AB149),"Planifié dans la fenêtre",IF(AND(MAX($P149,DateRef)&gt;=EDATE($AB149,-FenetreFinCarriere*12),MAX($P149,DateRef)&lt;=$AB149),"Prochain EPP dans la fenêtre",IF(MAX($P149,DateRef)&gt;$AB149,"À programmer avant 60 ans",""))))))))</f>
        <v/>
      </c>
      <c r="AD149" s="40"/>
      <c r="AE149" s="43" t="str">
        <f aca="false">IF(OR($B149="",$H149="",AND($I149&lt;&gt;"",$I149&lt;=DateRef)),"",MAX($H149,$AD149,IF($A149="",0,SUMPRODUCT(MAX((Journal!$A$6:$A$1005=$A149)*((Journal!$D$6:$D$1005=TypeEDL)+(Journal!$D$6:$D$1005=TypeBilan6))*Journal!$C$6:$C$1005)))))</f>
        <v/>
      </c>
      <c r="AF149" s="43" t="str">
        <f aca="false">IF($AE149="","",IF(AND(ReglesTransitoires="Oui",EDATE($AE149,AnciennePeriodiciteEDL*12)&lt;DateVigueur),EDATE($AE149,AnciennePeriodiciteEDL*12),EDATE($AE149,PeriodiciteEDL*12)))</f>
        <v/>
      </c>
      <c r="AG149" s="42" t="str">
        <f aca="false">IF($AF149="","",IF(AND($I149&lt;&gt;"",$I149&lt;=DateRef),"",IF($AF149&lt;DateRef,"En retard",IF($AF149-DateRef&lt;=SeuilAlerteEDL,"À prévoir","À jour"))))</f>
        <v/>
      </c>
      <c r="AH149" s="39"/>
      <c r="AI149" s="39"/>
      <c r="AJ149" s="42" t="str">
        <f aca="false">IF(OR($B149="",$H149=""),"",IF(AND($I149&lt;&gt;"",$I149&lt;=DateRef),"",IF(Effectif&lt;SeuilEffectif,"Non concerné (&lt; "&amp;SeuilEffectif&amp;" salariés)",IF($AH149="Oui","Pas de risque",IF(AND(OR($AI149="Non",$S149="En retard"),$AH149="Non"),"Risque abondement",IF(OR($AI149="Non",$S149="En retard"),"À vérifier (formation ?)",IF($AI149="Oui","Pas de risque","À compléter")))))))</f>
        <v/>
      </c>
      <c r="AK149" s="39"/>
    </row>
    <row r="150" customFormat="false" ht="15" hidden="false" customHeight="false" outlineLevel="0" collapsed="false">
      <c r="A150" s="39"/>
      <c r="B150" s="39"/>
      <c r="C150" s="39"/>
      <c r="D150" s="39"/>
      <c r="E150" s="39"/>
      <c r="F150" s="39"/>
      <c r="G150" s="40"/>
      <c r="H150" s="40"/>
      <c r="I150" s="40"/>
      <c r="J150" s="41" t="str">
        <f aca="false">IF(OR($B150="",$H150=""),"",IF($H150&gt;DateRef,0,YEARFRAC($H150,DateRef,1)))</f>
        <v/>
      </c>
      <c r="K150" s="42" t="str">
        <f aca="false">IF(OR($B150="",$H150=""),"",IF(EDATE($H150,12)&lt;=DateRef,"Plus d'un an","Moins d'un an"))</f>
        <v/>
      </c>
      <c r="L150" s="40"/>
      <c r="M150" s="43" t="str">
        <f aca="false">IF(OR($B150="",$A150=""),"",IF(SUMPRODUCT(MAX((Journal!$A$6:$A$1005=$A150)*Journal!$C$6:$C$1005))=0,"",SUMPRODUCT(MAX((Journal!$A$6:$A$1005=$A150)*Journal!$C$6:$C$1005))))</f>
        <v/>
      </c>
      <c r="N150" s="43" t="str">
        <f aca="false">IF($B150="","",IF(MAX($L150,$M150)=0,"",MAX($L150,$M150)))</f>
        <v/>
      </c>
      <c r="O150" s="44" t="str">
        <f aca="false">IF(OR($B150="",$H150=""),"",IF($N150="",IF(EDATE($H150,DelaiPremierEPP)&gt;DateRef,"1er EPP (1re année)","Aucun entretien renseigné"),IF(AND(ReglesTransitoires="Oui",EDATE($N150,AnciennePeriodiciteEP*12)&lt;DateVigueur),"Retard antérieur à la réforme","Périodicité "&amp;PeriodiciteEPP&amp;" ans")))</f>
        <v/>
      </c>
      <c r="P150" s="43" t="str">
        <f aca="false">IF(OR($B150="",$H150=""),"",IF($N150="",EDATE($H150,DelaiPremierEPP),IF(AND(ReglesTransitoires="Oui",EDATE($N150,AnciennePeriodiciteEP*12)&lt;DateVigueur),EDATE($N150,AnciennePeriodiciteEP*12),EDATE($N150,PeriodiciteEPP*12))))</f>
        <v/>
      </c>
      <c r="Q150" s="40"/>
      <c r="R150" s="45" t="str">
        <f aca="false">IF(OR($P150="",AND($I150&lt;&gt;"",$I150&lt;=DateRef)),"",$P150-DateRef)</f>
        <v/>
      </c>
      <c r="S150" s="42" t="str">
        <f aca="false">IF($B150="","",IF(AND($I150&lt;&gt;"",$I150&lt;=DateRef),"Sorti",IF($H150="","À compléter",IF(AND($Q150&lt;&gt;"",$Q150&gt;=DateRef,$Q150&lt;=$P150),"Planifié",IF($R150&lt;0,"En retard",IF($R150&lt;=SeuilAlerteEPP,"À planifier","À jour"))))))</f>
        <v/>
      </c>
      <c r="T150" s="46" t="str">
        <f aca="false">IF(OR($B150="",$S150="Sorti"),"",MID(IF($H150=""," | Date d'embauche manquante","")&amp;IF(AND($K150="Plus d'un an",$N150="")," | Précédent entretien à renseigner (ancienneté &gt; 1 an)","")&amp;IF($O150="Retard antérieur à la réforme"," | Ancien délai de 2 ans expiré avant la réforme","")&amp;IF(AND($N150&lt;&gt;"",$H150&lt;&gt;"",$N150&lt;$H150)," | Entretien antérieur à l'embauche ?","")&amp;IF(AND($N150&lt;&gt;"",$N150&gt;DateRef)," | Entretien daté dans le futur ?","")&amp;IF(AND($Q150&lt;&gt;"",$P150&lt;&gt;"",$Q150&gt;$P150)," | Date prévue après l'échéance","")&amp;IF(AND($Q150&lt;&gt;"",$Q150&lt;DateRef,OR($N150="",$N150&lt;$Q150))," | Entretien prévu passé : le consigner au Journal","")&amp;IF(AND($G150&lt;&gt;"",$X150="",YEAR(DateRef)-YEAR($G150)&gt;=AgeMiCarriere-1,YEAR(DateRef)-YEAR($G150)&lt;=AgeMiCarriere+1)," | Visite de mi-carrière à vérifier",""),4,1000))</f>
        <v/>
      </c>
      <c r="U150" s="39"/>
      <c r="V150" s="40"/>
      <c r="W150" s="42" t="str">
        <f aca="false">IF(OR($B150="",$V150=""),"",IF(AND($I150&lt;&gt;"",$I150&lt;=DateRef),"",IF(AND($N150&lt;&gt;"",$N150&gt;=$V150),"Réalisé",IF(AND($N150&lt;&gt;"",$N150&gt;=EDATE($V150,-FenetreRetour)),"Dispensé (EPP récent)",IF($V150&gt;DateRef,"À prévoir à la reprise","À proposer (reprise passée)")))))</f>
        <v/>
      </c>
      <c r="X150" s="40"/>
      <c r="Y150" s="43" t="str">
        <f aca="false">IF(OR($B150="",$X150=""),"",EDATE($X150,DelaiMiCarriere))</f>
        <v/>
      </c>
      <c r="Z150" s="42" t="str">
        <f aca="false">IF(OR($B150="",$X150=""),"",IF(AND($I150&lt;&gt;"",$I150&lt;=DateRef),"",IF(AND($N150&lt;&gt;"",$N150&gt;=$X150),"Réalisé",IF($Y150&lt;DateRef,"En retard","À planifier"))))</f>
        <v/>
      </c>
      <c r="AA150" s="47" t="str">
        <f aca="false">IF(OR($B150="",$G150=""),"",IF($G150&gt;DateRef,"",DATEDIF($G150,DateRef,"y")))</f>
        <v/>
      </c>
      <c r="AB150" s="43" t="str">
        <f aca="false">IF(OR($B150="",$G150=""),"",EDATE($G150,AgeFinCarriere*12))</f>
        <v/>
      </c>
      <c r="AC150" s="42" t="str">
        <f aca="false">IF(OR($B150="",$G150="",$H150=""),"",IF(AND($I150&lt;&gt;"",$I150&lt;=DateRef),"",IF($AB150&lt;DateVigueur,"Non concerné",IF(AND($N150&lt;&gt;"",$N150&gt;=MAX(EDATE($AB150,-FenetreFinCarriere*12),DateVigueur),$N150&lt;=$AB150),"Réalisé",IF(DateRef&gt;$AB150,"Non réalisé",IF(AND($Q150&lt;&gt;"",$Q150&gt;=EDATE($AB150,-FenetreFinCarriere*12),$Q150&lt;=$AB150),"Planifié dans la fenêtre",IF(AND(MAX($P150,DateRef)&gt;=EDATE($AB150,-FenetreFinCarriere*12),MAX($P150,DateRef)&lt;=$AB150),"Prochain EPP dans la fenêtre",IF(MAX($P150,DateRef)&gt;$AB150,"À programmer avant 60 ans",""))))))))</f>
        <v/>
      </c>
      <c r="AD150" s="40"/>
      <c r="AE150" s="43" t="str">
        <f aca="false">IF(OR($B150="",$H150="",AND($I150&lt;&gt;"",$I150&lt;=DateRef)),"",MAX($H150,$AD150,IF($A150="",0,SUMPRODUCT(MAX((Journal!$A$6:$A$1005=$A150)*((Journal!$D$6:$D$1005=TypeEDL)+(Journal!$D$6:$D$1005=TypeBilan6))*Journal!$C$6:$C$1005)))))</f>
        <v/>
      </c>
      <c r="AF150" s="43" t="str">
        <f aca="false">IF($AE150="","",IF(AND(ReglesTransitoires="Oui",EDATE($AE150,AnciennePeriodiciteEDL*12)&lt;DateVigueur),EDATE($AE150,AnciennePeriodiciteEDL*12),EDATE($AE150,PeriodiciteEDL*12)))</f>
        <v/>
      </c>
      <c r="AG150" s="42" t="str">
        <f aca="false">IF($AF150="","",IF(AND($I150&lt;&gt;"",$I150&lt;=DateRef),"",IF($AF150&lt;DateRef,"En retard",IF($AF150-DateRef&lt;=SeuilAlerteEDL,"À prévoir","À jour"))))</f>
        <v/>
      </c>
      <c r="AH150" s="39"/>
      <c r="AI150" s="39"/>
      <c r="AJ150" s="42" t="str">
        <f aca="false">IF(OR($B150="",$H150=""),"",IF(AND($I150&lt;&gt;"",$I150&lt;=DateRef),"",IF(Effectif&lt;SeuilEffectif,"Non concerné (&lt; "&amp;SeuilEffectif&amp;" salariés)",IF($AH150="Oui","Pas de risque",IF(AND(OR($AI150="Non",$S150="En retard"),$AH150="Non"),"Risque abondement",IF(OR($AI150="Non",$S150="En retard"),"À vérifier (formation ?)",IF($AI150="Oui","Pas de risque","À compléter")))))))</f>
        <v/>
      </c>
      <c r="AK150" s="39"/>
    </row>
    <row r="151" customFormat="false" ht="15" hidden="false" customHeight="false" outlineLevel="0" collapsed="false">
      <c r="A151" s="39"/>
      <c r="B151" s="39"/>
      <c r="C151" s="39"/>
      <c r="D151" s="39"/>
      <c r="E151" s="39"/>
      <c r="F151" s="39"/>
      <c r="G151" s="40"/>
      <c r="H151" s="40"/>
      <c r="I151" s="40"/>
      <c r="J151" s="41" t="str">
        <f aca="false">IF(OR($B151="",$H151=""),"",IF($H151&gt;DateRef,0,YEARFRAC($H151,DateRef,1)))</f>
        <v/>
      </c>
      <c r="K151" s="42" t="str">
        <f aca="false">IF(OR($B151="",$H151=""),"",IF(EDATE($H151,12)&lt;=DateRef,"Plus d'un an","Moins d'un an"))</f>
        <v/>
      </c>
      <c r="L151" s="40"/>
      <c r="M151" s="43" t="str">
        <f aca="false">IF(OR($B151="",$A151=""),"",IF(SUMPRODUCT(MAX((Journal!$A$6:$A$1005=$A151)*Journal!$C$6:$C$1005))=0,"",SUMPRODUCT(MAX((Journal!$A$6:$A$1005=$A151)*Journal!$C$6:$C$1005))))</f>
        <v/>
      </c>
      <c r="N151" s="43" t="str">
        <f aca="false">IF($B151="","",IF(MAX($L151,$M151)=0,"",MAX($L151,$M151)))</f>
        <v/>
      </c>
      <c r="O151" s="44" t="str">
        <f aca="false">IF(OR($B151="",$H151=""),"",IF($N151="",IF(EDATE($H151,DelaiPremierEPP)&gt;DateRef,"1er EPP (1re année)","Aucun entretien renseigné"),IF(AND(ReglesTransitoires="Oui",EDATE($N151,AnciennePeriodiciteEP*12)&lt;DateVigueur),"Retard antérieur à la réforme","Périodicité "&amp;PeriodiciteEPP&amp;" ans")))</f>
        <v/>
      </c>
      <c r="P151" s="43" t="str">
        <f aca="false">IF(OR($B151="",$H151=""),"",IF($N151="",EDATE($H151,DelaiPremierEPP),IF(AND(ReglesTransitoires="Oui",EDATE($N151,AnciennePeriodiciteEP*12)&lt;DateVigueur),EDATE($N151,AnciennePeriodiciteEP*12),EDATE($N151,PeriodiciteEPP*12))))</f>
        <v/>
      </c>
      <c r="Q151" s="40"/>
      <c r="R151" s="45" t="str">
        <f aca="false">IF(OR($P151="",AND($I151&lt;&gt;"",$I151&lt;=DateRef)),"",$P151-DateRef)</f>
        <v/>
      </c>
      <c r="S151" s="42" t="str">
        <f aca="false">IF($B151="","",IF(AND($I151&lt;&gt;"",$I151&lt;=DateRef),"Sorti",IF($H151="","À compléter",IF(AND($Q151&lt;&gt;"",$Q151&gt;=DateRef,$Q151&lt;=$P151),"Planifié",IF($R151&lt;0,"En retard",IF($R151&lt;=SeuilAlerteEPP,"À planifier","À jour"))))))</f>
        <v/>
      </c>
      <c r="T151" s="46" t="str">
        <f aca="false">IF(OR($B151="",$S151="Sorti"),"",MID(IF($H151=""," | Date d'embauche manquante","")&amp;IF(AND($K151="Plus d'un an",$N151="")," | Précédent entretien à renseigner (ancienneté &gt; 1 an)","")&amp;IF($O151="Retard antérieur à la réforme"," | Ancien délai de 2 ans expiré avant la réforme","")&amp;IF(AND($N151&lt;&gt;"",$H151&lt;&gt;"",$N151&lt;$H151)," | Entretien antérieur à l'embauche ?","")&amp;IF(AND($N151&lt;&gt;"",$N151&gt;DateRef)," | Entretien daté dans le futur ?","")&amp;IF(AND($Q151&lt;&gt;"",$P151&lt;&gt;"",$Q151&gt;$P151)," | Date prévue après l'échéance","")&amp;IF(AND($Q151&lt;&gt;"",$Q151&lt;DateRef,OR($N151="",$N151&lt;$Q151))," | Entretien prévu passé : le consigner au Journal","")&amp;IF(AND($G151&lt;&gt;"",$X151="",YEAR(DateRef)-YEAR($G151)&gt;=AgeMiCarriere-1,YEAR(DateRef)-YEAR($G151)&lt;=AgeMiCarriere+1)," | Visite de mi-carrière à vérifier",""),4,1000))</f>
        <v/>
      </c>
      <c r="U151" s="39"/>
      <c r="V151" s="40"/>
      <c r="W151" s="42" t="str">
        <f aca="false">IF(OR($B151="",$V151=""),"",IF(AND($I151&lt;&gt;"",$I151&lt;=DateRef),"",IF(AND($N151&lt;&gt;"",$N151&gt;=$V151),"Réalisé",IF(AND($N151&lt;&gt;"",$N151&gt;=EDATE($V151,-FenetreRetour)),"Dispensé (EPP récent)",IF($V151&gt;DateRef,"À prévoir à la reprise","À proposer (reprise passée)")))))</f>
        <v/>
      </c>
      <c r="X151" s="40"/>
      <c r="Y151" s="43" t="str">
        <f aca="false">IF(OR($B151="",$X151=""),"",EDATE($X151,DelaiMiCarriere))</f>
        <v/>
      </c>
      <c r="Z151" s="42" t="str">
        <f aca="false">IF(OR($B151="",$X151=""),"",IF(AND($I151&lt;&gt;"",$I151&lt;=DateRef),"",IF(AND($N151&lt;&gt;"",$N151&gt;=$X151),"Réalisé",IF($Y151&lt;DateRef,"En retard","À planifier"))))</f>
        <v/>
      </c>
      <c r="AA151" s="47" t="str">
        <f aca="false">IF(OR($B151="",$G151=""),"",IF($G151&gt;DateRef,"",DATEDIF($G151,DateRef,"y")))</f>
        <v/>
      </c>
      <c r="AB151" s="43" t="str">
        <f aca="false">IF(OR($B151="",$G151=""),"",EDATE($G151,AgeFinCarriere*12))</f>
        <v/>
      </c>
      <c r="AC151" s="42" t="str">
        <f aca="false">IF(OR($B151="",$G151="",$H151=""),"",IF(AND($I151&lt;&gt;"",$I151&lt;=DateRef),"",IF($AB151&lt;DateVigueur,"Non concerné",IF(AND($N151&lt;&gt;"",$N151&gt;=MAX(EDATE($AB151,-FenetreFinCarriere*12),DateVigueur),$N151&lt;=$AB151),"Réalisé",IF(DateRef&gt;$AB151,"Non réalisé",IF(AND($Q151&lt;&gt;"",$Q151&gt;=EDATE($AB151,-FenetreFinCarriere*12),$Q151&lt;=$AB151),"Planifié dans la fenêtre",IF(AND(MAX($P151,DateRef)&gt;=EDATE($AB151,-FenetreFinCarriere*12),MAX($P151,DateRef)&lt;=$AB151),"Prochain EPP dans la fenêtre",IF(MAX($P151,DateRef)&gt;$AB151,"À programmer avant 60 ans",""))))))))</f>
        <v/>
      </c>
      <c r="AD151" s="40"/>
      <c r="AE151" s="43" t="str">
        <f aca="false">IF(OR($B151="",$H151="",AND($I151&lt;&gt;"",$I151&lt;=DateRef)),"",MAX($H151,$AD151,IF($A151="",0,SUMPRODUCT(MAX((Journal!$A$6:$A$1005=$A151)*((Journal!$D$6:$D$1005=TypeEDL)+(Journal!$D$6:$D$1005=TypeBilan6))*Journal!$C$6:$C$1005)))))</f>
        <v/>
      </c>
      <c r="AF151" s="43" t="str">
        <f aca="false">IF($AE151="","",IF(AND(ReglesTransitoires="Oui",EDATE($AE151,AnciennePeriodiciteEDL*12)&lt;DateVigueur),EDATE($AE151,AnciennePeriodiciteEDL*12),EDATE($AE151,PeriodiciteEDL*12)))</f>
        <v/>
      </c>
      <c r="AG151" s="42" t="str">
        <f aca="false">IF($AF151="","",IF(AND($I151&lt;&gt;"",$I151&lt;=DateRef),"",IF($AF151&lt;DateRef,"En retard",IF($AF151-DateRef&lt;=SeuilAlerteEDL,"À prévoir","À jour"))))</f>
        <v/>
      </c>
      <c r="AH151" s="39"/>
      <c r="AI151" s="39"/>
      <c r="AJ151" s="42" t="str">
        <f aca="false">IF(OR($B151="",$H151=""),"",IF(AND($I151&lt;&gt;"",$I151&lt;=DateRef),"",IF(Effectif&lt;SeuilEffectif,"Non concerné (&lt; "&amp;SeuilEffectif&amp;" salariés)",IF($AH151="Oui","Pas de risque",IF(AND(OR($AI151="Non",$S151="En retard"),$AH151="Non"),"Risque abondement",IF(OR($AI151="Non",$S151="En retard"),"À vérifier (formation ?)",IF($AI151="Oui","Pas de risque","À compléter")))))))</f>
        <v/>
      </c>
      <c r="AK151" s="39"/>
    </row>
    <row r="152" customFormat="false" ht="15" hidden="false" customHeight="false" outlineLevel="0" collapsed="false">
      <c r="A152" s="39"/>
      <c r="B152" s="39"/>
      <c r="C152" s="39"/>
      <c r="D152" s="39"/>
      <c r="E152" s="39"/>
      <c r="F152" s="39"/>
      <c r="G152" s="40"/>
      <c r="H152" s="40"/>
      <c r="I152" s="40"/>
      <c r="J152" s="41" t="str">
        <f aca="false">IF(OR($B152="",$H152=""),"",IF($H152&gt;DateRef,0,YEARFRAC($H152,DateRef,1)))</f>
        <v/>
      </c>
      <c r="K152" s="42" t="str">
        <f aca="false">IF(OR($B152="",$H152=""),"",IF(EDATE($H152,12)&lt;=DateRef,"Plus d'un an","Moins d'un an"))</f>
        <v/>
      </c>
      <c r="L152" s="40"/>
      <c r="M152" s="43" t="str">
        <f aca="false">IF(OR($B152="",$A152=""),"",IF(SUMPRODUCT(MAX((Journal!$A$6:$A$1005=$A152)*Journal!$C$6:$C$1005))=0,"",SUMPRODUCT(MAX((Journal!$A$6:$A$1005=$A152)*Journal!$C$6:$C$1005))))</f>
        <v/>
      </c>
      <c r="N152" s="43" t="str">
        <f aca="false">IF($B152="","",IF(MAX($L152,$M152)=0,"",MAX($L152,$M152)))</f>
        <v/>
      </c>
      <c r="O152" s="44" t="str">
        <f aca="false">IF(OR($B152="",$H152=""),"",IF($N152="",IF(EDATE($H152,DelaiPremierEPP)&gt;DateRef,"1er EPP (1re année)","Aucun entretien renseigné"),IF(AND(ReglesTransitoires="Oui",EDATE($N152,AnciennePeriodiciteEP*12)&lt;DateVigueur),"Retard antérieur à la réforme","Périodicité "&amp;PeriodiciteEPP&amp;" ans")))</f>
        <v/>
      </c>
      <c r="P152" s="43" t="str">
        <f aca="false">IF(OR($B152="",$H152=""),"",IF($N152="",EDATE($H152,DelaiPremierEPP),IF(AND(ReglesTransitoires="Oui",EDATE($N152,AnciennePeriodiciteEP*12)&lt;DateVigueur),EDATE($N152,AnciennePeriodiciteEP*12),EDATE($N152,PeriodiciteEPP*12))))</f>
        <v/>
      </c>
      <c r="Q152" s="40"/>
      <c r="R152" s="45" t="str">
        <f aca="false">IF(OR($P152="",AND($I152&lt;&gt;"",$I152&lt;=DateRef)),"",$P152-DateRef)</f>
        <v/>
      </c>
      <c r="S152" s="42" t="str">
        <f aca="false">IF($B152="","",IF(AND($I152&lt;&gt;"",$I152&lt;=DateRef),"Sorti",IF($H152="","À compléter",IF(AND($Q152&lt;&gt;"",$Q152&gt;=DateRef,$Q152&lt;=$P152),"Planifié",IF($R152&lt;0,"En retard",IF($R152&lt;=SeuilAlerteEPP,"À planifier","À jour"))))))</f>
        <v/>
      </c>
      <c r="T152" s="46" t="str">
        <f aca="false">IF(OR($B152="",$S152="Sorti"),"",MID(IF($H152=""," | Date d'embauche manquante","")&amp;IF(AND($K152="Plus d'un an",$N152="")," | Précédent entretien à renseigner (ancienneté &gt; 1 an)","")&amp;IF($O152="Retard antérieur à la réforme"," | Ancien délai de 2 ans expiré avant la réforme","")&amp;IF(AND($N152&lt;&gt;"",$H152&lt;&gt;"",$N152&lt;$H152)," | Entretien antérieur à l'embauche ?","")&amp;IF(AND($N152&lt;&gt;"",$N152&gt;DateRef)," | Entretien daté dans le futur ?","")&amp;IF(AND($Q152&lt;&gt;"",$P152&lt;&gt;"",$Q152&gt;$P152)," | Date prévue après l'échéance","")&amp;IF(AND($Q152&lt;&gt;"",$Q152&lt;DateRef,OR($N152="",$N152&lt;$Q152))," | Entretien prévu passé : le consigner au Journal","")&amp;IF(AND($G152&lt;&gt;"",$X152="",YEAR(DateRef)-YEAR($G152)&gt;=AgeMiCarriere-1,YEAR(DateRef)-YEAR($G152)&lt;=AgeMiCarriere+1)," | Visite de mi-carrière à vérifier",""),4,1000))</f>
        <v/>
      </c>
      <c r="U152" s="39"/>
      <c r="V152" s="40"/>
      <c r="W152" s="42" t="str">
        <f aca="false">IF(OR($B152="",$V152=""),"",IF(AND($I152&lt;&gt;"",$I152&lt;=DateRef),"",IF(AND($N152&lt;&gt;"",$N152&gt;=$V152),"Réalisé",IF(AND($N152&lt;&gt;"",$N152&gt;=EDATE($V152,-FenetreRetour)),"Dispensé (EPP récent)",IF($V152&gt;DateRef,"À prévoir à la reprise","À proposer (reprise passée)")))))</f>
        <v/>
      </c>
      <c r="X152" s="40"/>
      <c r="Y152" s="43" t="str">
        <f aca="false">IF(OR($B152="",$X152=""),"",EDATE($X152,DelaiMiCarriere))</f>
        <v/>
      </c>
      <c r="Z152" s="42" t="str">
        <f aca="false">IF(OR($B152="",$X152=""),"",IF(AND($I152&lt;&gt;"",$I152&lt;=DateRef),"",IF(AND($N152&lt;&gt;"",$N152&gt;=$X152),"Réalisé",IF($Y152&lt;DateRef,"En retard","À planifier"))))</f>
        <v/>
      </c>
      <c r="AA152" s="47" t="str">
        <f aca="false">IF(OR($B152="",$G152=""),"",IF($G152&gt;DateRef,"",DATEDIF($G152,DateRef,"y")))</f>
        <v/>
      </c>
      <c r="AB152" s="43" t="str">
        <f aca="false">IF(OR($B152="",$G152=""),"",EDATE($G152,AgeFinCarriere*12))</f>
        <v/>
      </c>
      <c r="AC152" s="42" t="str">
        <f aca="false">IF(OR($B152="",$G152="",$H152=""),"",IF(AND($I152&lt;&gt;"",$I152&lt;=DateRef),"",IF($AB152&lt;DateVigueur,"Non concerné",IF(AND($N152&lt;&gt;"",$N152&gt;=MAX(EDATE($AB152,-FenetreFinCarriere*12),DateVigueur),$N152&lt;=$AB152),"Réalisé",IF(DateRef&gt;$AB152,"Non réalisé",IF(AND($Q152&lt;&gt;"",$Q152&gt;=EDATE($AB152,-FenetreFinCarriere*12),$Q152&lt;=$AB152),"Planifié dans la fenêtre",IF(AND(MAX($P152,DateRef)&gt;=EDATE($AB152,-FenetreFinCarriere*12),MAX($P152,DateRef)&lt;=$AB152),"Prochain EPP dans la fenêtre",IF(MAX($P152,DateRef)&gt;$AB152,"À programmer avant 60 ans",""))))))))</f>
        <v/>
      </c>
      <c r="AD152" s="40"/>
      <c r="AE152" s="43" t="str">
        <f aca="false">IF(OR($B152="",$H152="",AND($I152&lt;&gt;"",$I152&lt;=DateRef)),"",MAX($H152,$AD152,IF($A152="",0,SUMPRODUCT(MAX((Journal!$A$6:$A$1005=$A152)*((Journal!$D$6:$D$1005=TypeEDL)+(Journal!$D$6:$D$1005=TypeBilan6))*Journal!$C$6:$C$1005)))))</f>
        <v/>
      </c>
      <c r="AF152" s="43" t="str">
        <f aca="false">IF($AE152="","",IF(AND(ReglesTransitoires="Oui",EDATE($AE152,AnciennePeriodiciteEDL*12)&lt;DateVigueur),EDATE($AE152,AnciennePeriodiciteEDL*12),EDATE($AE152,PeriodiciteEDL*12)))</f>
        <v/>
      </c>
      <c r="AG152" s="42" t="str">
        <f aca="false">IF($AF152="","",IF(AND($I152&lt;&gt;"",$I152&lt;=DateRef),"",IF($AF152&lt;DateRef,"En retard",IF($AF152-DateRef&lt;=SeuilAlerteEDL,"À prévoir","À jour"))))</f>
        <v/>
      </c>
      <c r="AH152" s="39"/>
      <c r="AI152" s="39"/>
      <c r="AJ152" s="42" t="str">
        <f aca="false">IF(OR($B152="",$H152=""),"",IF(AND($I152&lt;&gt;"",$I152&lt;=DateRef),"",IF(Effectif&lt;SeuilEffectif,"Non concerné (&lt; "&amp;SeuilEffectif&amp;" salariés)",IF($AH152="Oui","Pas de risque",IF(AND(OR($AI152="Non",$S152="En retard"),$AH152="Non"),"Risque abondement",IF(OR($AI152="Non",$S152="En retard"),"À vérifier (formation ?)",IF($AI152="Oui","Pas de risque","À compléter")))))))</f>
        <v/>
      </c>
      <c r="AK152" s="39"/>
    </row>
    <row r="153" customFormat="false" ht="15" hidden="false" customHeight="false" outlineLevel="0" collapsed="false">
      <c r="A153" s="39"/>
      <c r="B153" s="39"/>
      <c r="C153" s="39"/>
      <c r="D153" s="39"/>
      <c r="E153" s="39"/>
      <c r="F153" s="39"/>
      <c r="G153" s="40"/>
      <c r="H153" s="40"/>
      <c r="I153" s="40"/>
      <c r="J153" s="41" t="str">
        <f aca="false">IF(OR($B153="",$H153=""),"",IF($H153&gt;DateRef,0,YEARFRAC($H153,DateRef,1)))</f>
        <v/>
      </c>
      <c r="K153" s="42" t="str">
        <f aca="false">IF(OR($B153="",$H153=""),"",IF(EDATE($H153,12)&lt;=DateRef,"Plus d'un an","Moins d'un an"))</f>
        <v/>
      </c>
      <c r="L153" s="40"/>
      <c r="M153" s="43" t="str">
        <f aca="false">IF(OR($B153="",$A153=""),"",IF(SUMPRODUCT(MAX((Journal!$A$6:$A$1005=$A153)*Journal!$C$6:$C$1005))=0,"",SUMPRODUCT(MAX((Journal!$A$6:$A$1005=$A153)*Journal!$C$6:$C$1005))))</f>
        <v/>
      </c>
      <c r="N153" s="43" t="str">
        <f aca="false">IF($B153="","",IF(MAX($L153,$M153)=0,"",MAX($L153,$M153)))</f>
        <v/>
      </c>
      <c r="O153" s="44" t="str">
        <f aca="false">IF(OR($B153="",$H153=""),"",IF($N153="",IF(EDATE($H153,DelaiPremierEPP)&gt;DateRef,"1er EPP (1re année)","Aucun entretien renseigné"),IF(AND(ReglesTransitoires="Oui",EDATE($N153,AnciennePeriodiciteEP*12)&lt;DateVigueur),"Retard antérieur à la réforme","Périodicité "&amp;PeriodiciteEPP&amp;" ans")))</f>
        <v/>
      </c>
      <c r="P153" s="43" t="str">
        <f aca="false">IF(OR($B153="",$H153=""),"",IF($N153="",EDATE($H153,DelaiPremierEPP),IF(AND(ReglesTransitoires="Oui",EDATE($N153,AnciennePeriodiciteEP*12)&lt;DateVigueur),EDATE($N153,AnciennePeriodiciteEP*12),EDATE($N153,PeriodiciteEPP*12))))</f>
        <v/>
      </c>
      <c r="Q153" s="40"/>
      <c r="R153" s="45" t="str">
        <f aca="false">IF(OR($P153="",AND($I153&lt;&gt;"",$I153&lt;=DateRef)),"",$P153-DateRef)</f>
        <v/>
      </c>
      <c r="S153" s="42" t="str">
        <f aca="false">IF($B153="","",IF(AND($I153&lt;&gt;"",$I153&lt;=DateRef),"Sorti",IF($H153="","À compléter",IF(AND($Q153&lt;&gt;"",$Q153&gt;=DateRef,$Q153&lt;=$P153),"Planifié",IF($R153&lt;0,"En retard",IF($R153&lt;=SeuilAlerteEPP,"À planifier","À jour"))))))</f>
        <v/>
      </c>
      <c r="T153" s="46" t="str">
        <f aca="false">IF(OR($B153="",$S153="Sorti"),"",MID(IF($H153=""," | Date d'embauche manquante","")&amp;IF(AND($K153="Plus d'un an",$N153="")," | Précédent entretien à renseigner (ancienneté &gt; 1 an)","")&amp;IF($O153="Retard antérieur à la réforme"," | Ancien délai de 2 ans expiré avant la réforme","")&amp;IF(AND($N153&lt;&gt;"",$H153&lt;&gt;"",$N153&lt;$H153)," | Entretien antérieur à l'embauche ?","")&amp;IF(AND($N153&lt;&gt;"",$N153&gt;DateRef)," | Entretien daté dans le futur ?","")&amp;IF(AND($Q153&lt;&gt;"",$P153&lt;&gt;"",$Q153&gt;$P153)," | Date prévue après l'échéance","")&amp;IF(AND($Q153&lt;&gt;"",$Q153&lt;DateRef,OR($N153="",$N153&lt;$Q153))," | Entretien prévu passé : le consigner au Journal","")&amp;IF(AND($G153&lt;&gt;"",$X153="",YEAR(DateRef)-YEAR($G153)&gt;=AgeMiCarriere-1,YEAR(DateRef)-YEAR($G153)&lt;=AgeMiCarriere+1)," | Visite de mi-carrière à vérifier",""),4,1000))</f>
        <v/>
      </c>
      <c r="U153" s="39"/>
      <c r="V153" s="40"/>
      <c r="W153" s="42" t="str">
        <f aca="false">IF(OR($B153="",$V153=""),"",IF(AND($I153&lt;&gt;"",$I153&lt;=DateRef),"",IF(AND($N153&lt;&gt;"",$N153&gt;=$V153),"Réalisé",IF(AND($N153&lt;&gt;"",$N153&gt;=EDATE($V153,-FenetreRetour)),"Dispensé (EPP récent)",IF($V153&gt;DateRef,"À prévoir à la reprise","À proposer (reprise passée)")))))</f>
        <v/>
      </c>
      <c r="X153" s="40"/>
      <c r="Y153" s="43" t="str">
        <f aca="false">IF(OR($B153="",$X153=""),"",EDATE($X153,DelaiMiCarriere))</f>
        <v/>
      </c>
      <c r="Z153" s="42" t="str">
        <f aca="false">IF(OR($B153="",$X153=""),"",IF(AND($I153&lt;&gt;"",$I153&lt;=DateRef),"",IF(AND($N153&lt;&gt;"",$N153&gt;=$X153),"Réalisé",IF($Y153&lt;DateRef,"En retard","À planifier"))))</f>
        <v/>
      </c>
      <c r="AA153" s="47" t="str">
        <f aca="false">IF(OR($B153="",$G153=""),"",IF($G153&gt;DateRef,"",DATEDIF($G153,DateRef,"y")))</f>
        <v/>
      </c>
      <c r="AB153" s="43" t="str">
        <f aca="false">IF(OR($B153="",$G153=""),"",EDATE($G153,AgeFinCarriere*12))</f>
        <v/>
      </c>
      <c r="AC153" s="42" t="str">
        <f aca="false">IF(OR($B153="",$G153="",$H153=""),"",IF(AND($I153&lt;&gt;"",$I153&lt;=DateRef),"",IF($AB153&lt;DateVigueur,"Non concerné",IF(AND($N153&lt;&gt;"",$N153&gt;=MAX(EDATE($AB153,-FenetreFinCarriere*12),DateVigueur),$N153&lt;=$AB153),"Réalisé",IF(DateRef&gt;$AB153,"Non réalisé",IF(AND($Q153&lt;&gt;"",$Q153&gt;=EDATE($AB153,-FenetreFinCarriere*12),$Q153&lt;=$AB153),"Planifié dans la fenêtre",IF(AND(MAX($P153,DateRef)&gt;=EDATE($AB153,-FenetreFinCarriere*12),MAX($P153,DateRef)&lt;=$AB153),"Prochain EPP dans la fenêtre",IF(MAX($P153,DateRef)&gt;$AB153,"À programmer avant 60 ans",""))))))))</f>
        <v/>
      </c>
      <c r="AD153" s="40"/>
      <c r="AE153" s="43" t="str">
        <f aca="false">IF(OR($B153="",$H153="",AND($I153&lt;&gt;"",$I153&lt;=DateRef)),"",MAX($H153,$AD153,IF($A153="",0,SUMPRODUCT(MAX((Journal!$A$6:$A$1005=$A153)*((Journal!$D$6:$D$1005=TypeEDL)+(Journal!$D$6:$D$1005=TypeBilan6))*Journal!$C$6:$C$1005)))))</f>
        <v/>
      </c>
      <c r="AF153" s="43" t="str">
        <f aca="false">IF($AE153="","",IF(AND(ReglesTransitoires="Oui",EDATE($AE153,AnciennePeriodiciteEDL*12)&lt;DateVigueur),EDATE($AE153,AnciennePeriodiciteEDL*12),EDATE($AE153,PeriodiciteEDL*12)))</f>
        <v/>
      </c>
      <c r="AG153" s="42" t="str">
        <f aca="false">IF($AF153="","",IF(AND($I153&lt;&gt;"",$I153&lt;=DateRef),"",IF($AF153&lt;DateRef,"En retard",IF($AF153-DateRef&lt;=SeuilAlerteEDL,"À prévoir","À jour"))))</f>
        <v/>
      </c>
      <c r="AH153" s="39"/>
      <c r="AI153" s="39"/>
      <c r="AJ153" s="42" t="str">
        <f aca="false">IF(OR($B153="",$H153=""),"",IF(AND($I153&lt;&gt;"",$I153&lt;=DateRef),"",IF(Effectif&lt;SeuilEffectif,"Non concerné (&lt; "&amp;SeuilEffectif&amp;" salariés)",IF($AH153="Oui","Pas de risque",IF(AND(OR($AI153="Non",$S153="En retard"),$AH153="Non"),"Risque abondement",IF(OR($AI153="Non",$S153="En retard"),"À vérifier (formation ?)",IF($AI153="Oui","Pas de risque","À compléter")))))))</f>
        <v/>
      </c>
      <c r="AK153" s="39"/>
    </row>
    <row r="154" customFormat="false" ht="15" hidden="false" customHeight="false" outlineLevel="0" collapsed="false">
      <c r="A154" s="39"/>
      <c r="B154" s="39"/>
      <c r="C154" s="39"/>
      <c r="D154" s="39"/>
      <c r="E154" s="39"/>
      <c r="F154" s="39"/>
      <c r="G154" s="40"/>
      <c r="H154" s="40"/>
      <c r="I154" s="40"/>
      <c r="J154" s="41" t="str">
        <f aca="false">IF(OR($B154="",$H154=""),"",IF($H154&gt;DateRef,0,YEARFRAC($H154,DateRef,1)))</f>
        <v/>
      </c>
      <c r="K154" s="42" t="str">
        <f aca="false">IF(OR($B154="",$H154=""),"",IF(EDATE($H154,12)&lt;=DateRef,"Plus d'un an","Moins d'un an"))</f>
        <v/>
      </c>
      <c r="L154" s="40"/>
      <c r="M154" s="43" t="str">
        <f aca="false">IF(OR($B154="",$A154=""),"",IF(SUMPRODUCT(MAX((Journal!$A$6:$A$1005=$A154)*Journal!$C$6:$C$1005))=0,"",SUMPRODUCT(MAX((Journal!$A$6:$A$1005=$A154)*Journal!$C$6:$C$1005))))</f>
        <v/>
      </c>
      <c r="N154" s="43" t="str">
        <f aca="false">IF($B154="","",IF(MAX($L154,$M154)=0,"",MAX($L154,$M154)))</f>
        <v/>
      </c>
      <c r="O154" s="44" t="str">
        <f aca="false">IF(OR($B154="",$H154=""),"",IF($N154="",IF(EDATE($H154,DelaiPremierEPP)&gt;DateRef,"1er EPP (1re année)","Aucun entretien renseigné"),IF(AND(ReglesTransitoires="Oui",EDATE($N154,AnciennePeriodiciteEP*12)&lt;DateVigueur),"Retard antérieur à la réforme","Périodicité "&amp;PeriodiciteEPP&amp;" ans")))</f>
        <v/>
      </c>
      <c r="P154" s="43" t="str">
        <f aca="false">IF(OR($B154="",$H154=""),"",IF($N154="",EDATE($H154,DelaiPremierEPP),IF(AND(ReglesTransitoires="Oui",EDATE($N154,AnciennePeriodiciteEP*12)&lt;DateVigueur),EDATE($N154,AnciennePeriodiciteEP*12),EDATE($N154,PeriodiciteEPP*12))))</f>
        <v/>
      </c>
      <c r="Q154" s="40"/>
      <c r="R154" s="45" t="str">
        <f aca="false">IF(OR($P154="",AND($I154&lt;&gt;"",$I154&lt;=DateRef)),"",$P154-DateRef)</f>
        <v/>
      </c>
      <c r="S154" s="42" t="str">
        <f aca="false">IF($B154="","",IF(AND($I154&lt;&gt;"",$I154&lt;=DateRef),"Sorti",IF($H154="","À compléter",IF(AND($Q154&lt;&gt;"",$Q154&gt;=DateRef,$Q154&lt;=$P154),"Planifié",IF($R154&lt;0,"En retard",IF($R154&lt;=SeuilAlerteEPP,"À planifier","À jour"))))))</f>
        <v/>
      </c>
      <c r="T154" s="46" t="str">
        <f aca="false">IF(OR($B154="",$S154="Sorti"),"",MID(IF($H154=""," | Date d'embauche manquante","")&amp;IF(AND($K154="Plus d'un an",$N154="")," | Précédent entretien à renseigner (ancienneté &gt; 1 an)","")&amp;IF($O154="Retard antérieur à la réforme"," | Ancien délai de 2 ans expiré avant la réforme","")&amp;IF(AND($N154&lt;&gt;"",$H154&lt;&gt;"",$N154&lt;$H154)," | Entretien antérieur à l'embauche ?","")&amp;IF(AND($N154&lt;&gt;"",$N154&gt;DateRef)," | Entretien daté dans le futur ?","")&amp;IF(AND($Q154&lt;&gt;"",$P154&lt;&gt;"",$Q154&gt;$P154)," | Date prévue après l'échéance","")&amp;IF(AND($Q154&lt;&gt;"",$Q154&lt;DateRef,OR($N154="",$N154&lt;$Q154))," | Entretien prévu passé : le consigner au Journal","")&amp;IF(AND($G154&lt;&gt;"",$X154="",YEAR(DateRef)-YEAR($G154)&gt;=AgeMiCarriere-1,YEAR(DateRef)-YEAR($G154)&lt;=AgeMiCarriere+1)," | Visite de mi-carrière à vérifier",""),4,1000))</f>
        <v/>
      </c>
      <c r="U154" s="39"/>
      <c r="V154" s="40"/>
      <c r="W154" s="42" t="str">
        <f aca="false">IF(OR($B154="",$V154=""),"",IF(AND($I154&lt;&gt;"",$I154&lt;=DateRef),"",IF(AND($N154&lt;&gt;"",$N154&gt;=$V154),"Réalisé",IF(AND($N154&lt;&gt;"",$N154&gt;=EDATE($V154,-FenetreRetour)),"Dispensé (EPP récent)",IF($V154&gt;DateRef,"À prévoir à la reprise","À proposer (reprise passée)")))))</f>
        <v/>
      </c>
      <c r="X154" s="40"/>
      <c r="Y154" s="43" t="str">
        <f aca="false">IF(OR($B154="",$X154=""),"",EDATE($X154,DelaiMiCarriere))</f>
        <v/>
      </c>
      <c r="Z154" s="42" t="str">
        <f aca="false">IF(OR($B154="",$X154=""),"",IF(AND($I154&lt;&gt;"",$I154&lt;=DateRef),"",IF(AND($N154&lt;&gt;"",$N154&gt;=$X154),"Réalisé",IF($Y154&lt;DateRef,"En retard","À planifier"))))</f>
        <v/>
      </c>
      <c r="AA154" s="47" t="str">
        <f aca="false">IF(OR($B154="",$G154=""),"",IF($G154&gt;DateRef,"",DATEDIF($G154,DateRef,"y")))</f>
        <v/>
      </c>
      <c r="AB154" s="43" t="str">
        <f aca="false">IF(OR($B154="",$G154=""),"",EDATE($G154,AgeFinCarriere*12))</f>
        <v/>
      </c>
      <c r="AC154" s="42" t="str">
        <f aca="false">IF(OR($B154="",$G154="",$H154=""),"",IF(AND($I154&lt;&gt;"",$I154&lt;=DateRef),"",IF($AB154&lt;DateVigueur,"Non concerné",IF(AND($N154&lt;&gt;"",$N154&gt;=MAX(EDATE($AB154,-FenetreFinCarriere*12),DateVigueur),$N154&lt;=$AB154),"Réalisé",IF(DateRef&gt;$AB154,"Non réalisé",IF(AND($Q154&lt;&gt;"",$Q154&gt;=EDATE($AB154,-FenetreFinCarriere*12),$Q154&lt;=$AB154),"Planifié dans la fenêtre",IF(AND(MAX($P154,DateRef)&gt;=EDATE($AB154,-FenetreFinCarriere*12),MAX($P154,DateRef)&lt;=$AB154),"Prochain EPP dans la fenêtre",IF(MAX($P154,DateRef)&gt;$AB154,"À programmer avant 60 ans",""))))))))</f>
        <v/>
      </c>
      <c r="AD154" s="40"/>
      <c r="AE154" s="43" t="str">
        <f aca="false">IF(OR($B154="",$H154="",AND($I154&lt;&gt;"",$I154&lt;=DateRef)),"",MAX($H154,$AD154,IF($A154="",0,SUMPRODUCT(MAX((Journal!$A$6:$A$1005=$A154)*((Journal!$D$6:$D$1005=TypeEDL)+(Journal!$D$6:$D$1005=TypeBilan6))*Journal!$C$6:$C$1005)))))</f>
        <v/>
      </c>
      <c r="AF154" s="43" t="str">
        <f aca="false">IF($AE154="","",IF(AND(ReglesTransitoires="Oui",EDATE($AE154,AnciennePeriodiciteEDL*12)&lt;DateVigueur),EDATE($AE154,AnciennePeriodiciteEDL*12),EDATE($AE154,PeriodiciteEDL*12)))</f>
        <v/>
      </c>
      <c r="AG154" s="42" t="str">
        <f aca="false">IF($AF154="","",IF(AND($I154&lt;&gt;"",$I154&lt;=DateRef),"",IF($AF154&lt;DateRef,"En retard",IF($AF154-DateRef&lt;=SeuilAlerteEDL,"À prévoir","À jour"))))</f>
        <v/>
      </c>
      <c r="AH154" s="39"/>
      <c r="AI154" s="39"/>
      <c r="AJ154" s="42" t="str">
        <f aca="false">IF(OR($B154="",$H154=""),"",IF(AND($I154&lt;&gt;"",$I154&lt;=DateRef),"",IF(Effectif&lt;SeuilEffectif,"Non concerné (&lt; "&amp;SeuilEffectif&amp;" salariés)",IF($AH154="Oui","Pas de risque",IF(AND(OR($AI154="Non",$S154="En retard"),$AH154="Non"),"Risque abondement",IF(OR($AI154="Non",$S154="En retard"),"À vérifier (formation ?)",IF($AI154="Oui","Pas de risque","À compléter")))))))</f>
        <v/>
      </c>
      <c r="AK154" s="39"/>
    </row>
    <row r="155" customFormat="false" ht="15" hidden="false" customHeight="false" outlineLevel="0" collapsed="false">
      <c r="A155" s="39"/>
      <c r="B155" s="39"/>
      <c r="C155" s="39"/>
      <c r="D155" s="39"/>
      <c r="E155" s="39"/>
      <c r="F155" s="39"/>
      <c r="G155" s="40"/>
      <c r="H155" s="40"/>
      <c r="I155" s="40"/>
      <c r="J155" s="41" t="str">
        <f aca="false">IF(OR($B155="",$H155=""),"",IF($H155&gt;DateRef,0,YEARFRAC($H155,DateRef,1)))</f>
        <v/>
      </c>
      <c r="K155" s="42" t="str">
        <f aca="false">IF(OR($B155="",$H155=""),"",IF(EDATE($H155,12)&lt;=DateRef,"Plus d'un an","Moins d'un an"))</f>
        <v/>
      </c>
      <c r="L155" s="40"/>
      <c r="M155" s="43" t="str">
        <f aca="false">IF(OR($B155="",$A155=""),"",IF(SUMPRODUCT(MAX((Journal!$A$6:$A$1005=$A155)*Journal!$C$6:$C$1005))=0,"",SUMPRODUCT(MAX((Journal!$A$6:$A$1005=$A155)*Journal!$C$6:$C$1005))))</f>
        <v/>
      </c>
      <c r="N155" s="43" t="str">
        <f aca="false">IF($B155="","",IF(MAX($L155,$M155)=0,"",MAX($L155,$M155)))</f>
        <v/>
      </c>
      <c r="O155" s="44" t="str">
        <f aca="false">IF(OR($B155="",$H155=""),"",IF($N155="",IF(EDATE($H155,DelaiPremierEPP)&gt;DateRef,"1er EPP (1re année)","Aucun entretien renseigné"),IF(AND(ReglesTransitoires="Oui",EDATE($N155,AnciennePeriodiciteEP*12)&lt;DateVigueur),"Retard antérieur à la réforme","Périodicité "&amp;PeriodiciteEPP&amp;" ans")))</f>
        <v/>
      </c>
      <c r="P155" s="43" t="str">
        <f aca="false">IF(OR($B155="",$H155=""),"",IF($N155="",EDATE($H155,DelaiPremierEPP),IF(AND(ReglesTransitoires="Oui",EDATE($N155,AnciennePeriodiciteEP*12)&lt;DateVigueur),EDATE($N155,AnciennePeriodiciteEP*12),EDATE($N155,PeriodiciteEPP*12))))</f>
        <v/>
      </c>
      <c r="Q155" s="40"/>
      <c r="R155" s="45" t="str">
        <f aca="false">IF(OR($P155="",AND($I155&lt;&gt;"",$I155&lt;=DateRef)),"",$P155-DateRef)</f>
        <v/>
      </c>
      <c r="S155" s="42" t="str">
        <f aca="false">IF($B155="","",IF(AND($I155&lt;&gt;"",$I155&lt;=DateRef),"Sorti",IF($H155="","À compléter",IF(AND($Q155&lt;&gt;"",$Q155&gt;=DateRef,$Q155&lt;=$P155),"Planifié",IF($R155&lt;0,"En retard",IF($R155&lt;=SeuilAlerteEPP,"À planifier","À jour"))))))</f>
        <v/>
      </c>
      <c r="T155" s="46" t="str">
        <f aca="false">IF(OR($B155="",$S155="Sorti"),"",MID(IF($H155=""," | Date d'embauche manquante","")&amp;IF(AND($K155="Plus d'un an",$N155="")," | Précédent entretien à renseigner (ancienneté &gt; 1 an)","")&amp;IF($O155="Retard antérieur à la réforme"," | Ancien délai de 2 ans expiré avant la réforme","")&amp;IF(AND($N155&lt;&gt;"",$H155&lt;&gt;"",$N155&lt;$H155)," | Entretien antérieur à l'embauche ?","")&amp;IF(AND($N155&lt;&gt;"",$N155&gt;DateRef)," | Entretien daté dans le futur ?","")&amp;IF(AND($Q155&lt;&gt;"",$P155&lt;&gt;"",$Q155&gt;$P155)," | Date prévue après l'échéance","")&amp;IF(AND($Q155&lt;&gt;"",$Q155&lt;DateRef,OR($N155="",$N155&lt;$Q155))," | Entretien prévu passé : le consigner au Journal","")&amp;IF(AND($G155&lt;&gt;"",$X155="",YEAR(DateRef)-YEAR($G155)&gt;=AgeMiCarriere-1,YEAR(DateRef)-YEAR($G155)&lt;=AgeMiCarriere+1)," | Visite de mi-carrière à vérifier",""),4,1000))</f>
        <v/>
      </c>
      <c r="U155" s="39"/>
      <c r="V155" s="40"/>
      <c r="W155" s="42" t="str">
        <f aca="false">IF(OR($B155="",$V155=""),"",IF(AND($I155&lt;&gt;"",$I155&lt;=DateRef),"",IF(AND($N155&lt;&gt;"",$N155&gt;=$V155),"Réalisé",IF(AND($N155&lt;&gt;"",$N155&gt;=EDATE($V155,-FenetreRetour)),"Dispensé (EPP récent)",IF($V155&gt;DateRef,"À prévoir à la reprise","À proposer (reprise passée)")))))</f>
        <v/>
      </c>
      <c r="X155" s="40"/>
      <c r="Y155" s="43" t="str">
        <f aca="false">IF(OR($B155="",$X155=""),"",EDATE($X155,DelaiMiCarriere))</f>
        <v/>
      </c>
      <c r="Z155" s="42" t="str">
        <f aca="false">IF(OR($B155="",$X155=""),"",IF(AND($I155&lt;&gt;"",$I155&lt;=DateRef),"",IF(AND($N155&lt;&gt;"",$N155&gt;=$X155),"Réalisé",IF($Y155&lt;DateRef,"En retard","À planifier"))))</f>
        <v/>
      </c>
      <c r="AA155" s="47" t="str">
        <f aca="false">IF(OR($B155="",$G155=""),"",IF($G155&gt;DateRef,"",DATEDIF($G155,DateRef,"y")))</f>
        <v/>
      </c>
      <c r="AB155" s="43" t="str">
        <f aca="false">IF(OR($B155="",$G155=""),"",EDATE($G155,AgeFinCarriere*12))</f>
        <v/>
      </c>
      <c r="AC155" s="42" t="str">
        <f aca="false">IF(OR($B155="",$G155="",$H155=""),"",IF(AND($I155&lt;&gt;"",$I155&lt;=DateRef),"",IF($AB155&lt;DateVigueur,"Non concerné",IF(AND($N155&lt;&gt;"",$N155&gt;=MAX(EDATE($AB155,-FenetreFinCarriere*12),DateVigueur),$N155&lt;=$AB155),"Réalisé",IF(DateRef&gt;$AB155,"Non réalisé",IF(AND($Q155&lt;&gt;"",$Q155&gt;=EDATE($AB155,-FenetreFinCarriere*12),$Q155&lt;=$AB155),"Planifié dans la fenêtre",IF(AND(MAX($P155,DateRef)&gt;=EDATE($AB155,-FenetreFinCarriere*12),MAX($P155,DateRef)&lt;=$AB155),"Prochain EPP dans la fenêtre",IF(MAX($P155,DateRef)&gt;$AB155,"À programmer avant 60 ans",""))))))))</f>
        <v/>
      </c>
      <c r="AD155" s="40"/>
      <c r="AE155" s="43" t="str">
        <f aca="false">IF(OR($B155="",$H155="",AND($I155&lt;&gt;"",$I155&lt;=DateRef)),"",MAX($H155,$AD155,IF($A155="",0,SUMPRODUCT(MAX((Journal!$A$6:$A$1005=$A155)*((Journal!$D$6:$D$1005=TypeEDL)+(Journal!$D$6:$D$1005=TypeBilan6))*Journal!$C$6:$C$1005)))))</f>
        <v/>
      </c>
      <c r="AF155" s="43" t="str">
        <f aca="false">IF($AE155="","",IF(AND(ReglesTransitoires="Oui",EDATE($AE155,AnciennePeriodiciteEDL*12)&lt;DateVigueur),EDATE($AE155,AnciennePeriodiciteEDL*12),EDATE($AE155,PeriodiciteEDL*12)))</f>
        <v/>
      </c>
      <c r="AG155" s="42" t="str">
        <f aca="false">IF($AF155="","",IF(AND($I155&lt;&gt;"",$I155&lt;=DateRef),"",IF($AF155&lt;DateRef,"En retard",IF($AF155-DateRef&lt;=SeuilAlerteEDL,"À prévoir","À jour"))))</f>
        <v/>
      </c>
      <c r="AH155" s="39"/>
      <c r="AI155" s="39"/>
      <c r="AJ155" s="42" t="str">
        <f aca="false">IF(OR($B155="",$H155=""),"",IF(AND($I155&lt;&gt;"",$I155&lt;=DateRef),"",IF(Effectif&lt;SeuilEffectif,"Non concerné (&lt; "&amp;SeuilEffectif&amp;" salariés)",IF($AH155="Oui","Pas de risque",IF(AND(OR($AI155="Non",$S155="En retard"),$AH155="Non"),"Risque abondement",IF(OR($AI155="Non",$S155="En retard"),"À vérifier (formation ?)",IF($AI155="Oui","Pas de risque","À compléter")))))))</f>
        <v/>
      </c>
      <c r="AK155" s="39"/>
    </row>
    <row r="156" customFormat="false" ht="15" hidden="false" customHeight="false" outlineLevel="0" collapsed="false">
      <c r="A156" s="39"/>
      <c r="B156" s="39"/>
      <c r="C156" s="39"/>
      <c r="D156" s="39"/>
      <c r="E156" s="39"/>
      <c r="F156" s="39"/>
      <c r="G156" s="40"/>
      <c r="H156" s="40"/>
      <c r="I156" s="40"/>
      <c r="J156" s="41" t="str">
        <f aca="false">IF(OR($B156="",$H156=""),"",IF($H156&gt;DateRef,0,YEARFRAC($H156,DateRef,1)))</f>
        <v/>
      </c>
      <c r="K156" s="42" t="str">
        <f aca="false">IF(OR($B156="",$H156=""),"",IF(EDATE($H156,12)&lt;=DateRef,"Plus d'un an","Moins d'un an"))</f>
        <v/>
      </c>
      <c r="L156" s="40"/>
      <c r="M156" s="43" t="str">
        <f aca="false">IF(OR($B156="",$A156=""),"",IF(SUMPRODUCT(MAX((Journal!$A$6:$A$1005=$A156)*Journal!$C$6:$C$1005))=0,"",SUMPRODUCT(MAX((Journal!$A$6:$A$1005=$A156)*Journal!$C$6:$C$1005))))</f>
        <v/>
      </c>
      <c r="N156" s="43" t="str">
        <f aca="false">IF($B156="","",IF(MAX($L156,$M156)=0,"",MAX($L156,$M156)))</f>
        <v/>
      </c>
      <c r="O156" s="44" t="str">
        <f aca="false">IF(OR($B156="",$H156=""),"",IF($N156="",IF(EDATE($H156,DelaiPremierEPP)&gt;DateRef,"1er EPP (1re année)","Aucun entretien renseigné"),IF(AND(ReglesTransitoires="Oui",EDATE($N156,AnciennePeriodiciteEP*12)&lt;DateVigueur),"Retard antérieur à la réforme","Périodicité "&amp;PeriodiciteEPP&amp;" ans")))</f>
        <v/>
      </c>
      <c r="P156" s="43" t="str">
        <f aca="false">IF(OR($B156="",$H156=""),"",IF($N156="",EDATE($H156,DelaiPremierEPP),IF(AND(ReglesTransitoires="Oui",EDATE($N156,AnciennePeriodiciteEP*12)&lt;DateVigueur),EDATE($N156,AnciennePeriodiciteEP*12),EDATE($N156,PeriodiciteEPP*12))))</f>
        <v/>
      </c>
      <c r="Q156" s="40"/>
      <c r="R156" s="45" t="str">
        <f aca="false">IF(OR($P156="",AND($I156&lt;&gt;"",$I156&lt;=DateRef)),"",$P156-DateRef)</f>
        <v/>
      </c>
      <c r="S156" s="42" t="str">
        <f aca="false">IF($B156="","",IF(AND($I156&lt;&gt;"",$I156&lt;=DateRef),"Sorti",IF($H156="","À compléter",IF(AND($Q156&lt;&gt;"",$Q156&gt;=DateRef,$Q156&lt;=$P156),"Planifié",IF($R156&lt;0,"En retard",IF($R156&lt;=SeuilAlerteEPP,"À planifier","À jour"))))))</f>
        <v/>
      </c>
      <c r="T156" s="46" t="str">
        <f aca="false">IF(OR($B156="",$S156="Sorti"),"",MID(IF($H156=""," | Date d'embauche manquante","")&amp;IF(AND($K156="Plus d'un an",$N156="")," | Précédent entretien à renseigner (ancienneté &gt; 1 an)","")&amp;IF($O156="Retard antérieur à la réforme"," | Ancien délai de 2 ans expiré avant la réforme","")&amp;IF(AND($N156&lt;&gt;"",$H156&lt;&gt;"",$N156&lt;$H156)," | Entretien antérieur à l'embauche ?","")&amp;IF(AND($N156&lt;&gt;"",$N156&gt;DateRef)," | Entretien daté dans le futur ?","")&amp;IF(AND($Q156&lt;&gt;"",$P156&lt;&gt;"",$Q156&gt;$P156)," | Date prévue après l'échéance","")&amp;IF(AND($Q156&lt;&gt;"",$Q156&lt;DateRef,OR($N156="",$N156&lt;$Q156))," | Entretien prévu passé : le consigner au Journal","")&amp;IF(AND($G156&lt;&gt;"",$X156="",YEAR(DateRef)-YEAR($G156)&gt;=AgeMiCarriere-1,YEAR(DateRef)-YEAR($G156)&lt;=AgeMiCarriere+1)," | Visite de mi-carrière à vérifier",""),4,1000))</f>
        <v/>
      </c>
      <c r="U156" s="39"/>
      <c r="V156" s="40"/>
      <c r="W156" s="42" t="str">
        <f aca="false">IF(OR($B156="",$V156=""),"",IF(AND($I156&lt;&gt;"",$I156&lt;=DateRef),"",IF(AND($N156&lt;&gt;"",$N156&gt;=$V156),"Réalisé",IF(AND($N156&lt;&gt;"",$N156&gt;=EDATE($V156,-FenetreRetour)),"Dispensé (EPP récent)",IF($V156&gt;DateRef,"À prévoir à la reprise","À proposer (reprise passée)")))))</f>
        <v/>
      </c>
      <c r="X156" s="40"/>
      <c r="Y156" s="43" t="str">
        <f aca="false">IF(OR($B156="",$X156=""),"",EDATE($X156,DelaiMiCarriere))</f>
        <v/>
      </c>
      <c r="Z156" s="42" t="str">
        <f aca="false">IF(OR($B156="",$X156=""),"",IF(AND($I156&lt;&gt;"",$I156&lt;=DateRef),"",IF(AND($N156&lt;&gt;"",$N156&gt;=$X156),"Réalisé",IF($Y156&lt;DateRef,"En retard","À planifier"))))</f>
        <v/>
      </c>
      <c r="AA156" s="47" t="str">
        <f aca="false">IF(OR($B156="",$G156=""),"",IF($G156&gt;DateRef,"",DATEDIF($G156,DateRef,"y")))</f>
        <v/>
      </c>
      <c r="AB156" s="43" t="str">
        <f aca="false">IF(OR($B156="",$G156=""),"",EDATE($G156,AgeFinCarriere*12))</f>
        <v/>
      </c>
      <c r="AC156" s="42" t="str">
        <f aca="false">IF(OR($B156="",$G156="",$H156=""),"",IF(AND($I156&lt;&gt;"",$I156&lt;=DateRef),"",IF($AB156&lt;DateVigueur,"Non concerné",IF(AND($N156&lt;&gt;"",$N156&gt;=MAX(EDATE($AB156,-FenetreFinCarriere*12),DateVigueur),$N156&lt;=$AB156),"Réalisé",IF(DateRef&gt;$AB156,"Non réalisé",IF(AND($Q156&lt;&gt;"",$Q156&gt;=EDATE($AB156,-FenetreFinCarriere*12),$Q156&lt;=$AB156),"Planifié dans la fenêtre",IF(AND(MAX($P156,DateRef)&gt;=EDATE($AB156,-FenetreFinCarriere*12),MAX($P156,DateRef)&lt;=$AB156),"Prochain EPP dans la fenêtre",IF(MAX($P156,DateRef)&gt;$AB156,"À programmer avant 60 ans",""))))))))</f>
        <v/>
      </c>
      <c r="AD156" s="40"/>
      <c r="AE156" s="43" t="str">
        <f aca="false">IF(OR($B156="",$H156="",AND($I156&lt;&gt;"",$I156&lt;=DateRef)),"",MAX($H156,$AD156,IF($A156="",0,SUMPRODUCT(MAX((Journal!$A$6:$A$1005=$A156)*((Journal!$D$6:$D$1005=TypeEDL)+(Journal!$D$6:$D$1005=TypeBilan6))*Journal!$C$6:$C$1005)))))</f>
        <v/>
      </c>
      <c r="AF156" s="43" t="str">
        <f aca="false">IF($AE156="","",IF(AND(ReglesTransitoires="Oui",EDATE($AE156,AnciennePeriodiciteEDL*12)&lt;DateVigueur),EDATE($AE156,AnciennePeriodiciteEDL*12),EDATE($AE156,PeriodiciteEDL*12)))</f>
        <v/>
      </c>
      <c r="AG156" s="42" t="str">
        <f aca="false">IF($AF156="","",IF(AND($I156&lt;&gt;"",$I156&lt;=DateRef),"",IF($AF156&lt;DateRef,"En retard",IF($AF156-DateRef&lt;=SeuilAlerteEDL,"À prévoir","À jour"))))</f>
        <v/>
      </c>
      <c r="AH156" s="39"/>
      <c r="AI156" s="39"/>
      <c r="AJ156" s="42" t="str">
        <f aca="false">IF(OR($B156="",$H156=""),"",IF(AND($I156&lt;&gt;"",$I156&lt;=DateRef),"",IF(Effectif&lt;SeuilEffectif,"Non concerné (&lt; "&amp;SeuilEffectif&amp;" salariés)",IF($AH156="Oui","Pas de risque",IF(AND(OR($AI156="Non",$S156="En retard"),$AH156="Non"),"Risque abondement",IF(OR($AI156="Non",$S156="En retard"),"À vérifier (formation ?)",IF($AI156="Oui","Pas de risque","À compléter")))))))</f>
        <v/>
      </c>
      <c r="AK156" s="39"/>
    </row>
    <row r="157" customFormat="false" ht="15" hidden="false" customHeight="false" outlineLevel="0" collapsed="false">
      <c r="A157" s="39"/>
      <c r="B157" s="39"/>
      <c r="C157" s="39"/>
      <c r="D157" s="39"/>
      <c r="E157" s="39"/>
      <c r="F157" s="39"/>
      <c r="G157" s="40"/>
      <c r="H157" s="40"/>
      <c r="I157" s="40"/>
      <c r="J157" s="41" t="str">
        <f aca="false">IF(OR($B157="",$H157=""),"",IF($H157&gt;DateRef,0,YEARFRAC($H157,DateRef,1)))</f>
        <v/>
      </c>
      <c r="K157" s="42" t="str">
        <f aca="false">IF(OR($B157="",$H157=""),"",IF(EDATE($H157,12)&lt;=DateRef,"Plus d'un an","Moins d'un an"))</f>
        <v/>
      </c>
      <c r="L157" s="40"/>
      <c r="M157" s="43" t="str">
        <f aca="false">IF(OR($B157="",$A157=""),"",IF(SUMPRODUCT(MAX((Journal!$A$6:$A$1005=$A157)*Journal!$C$6:$C$1005))=0,"",SUMPRODUCT(MAX((Journal!$A$6:$A$1005=$A157)*Journal!$C$6:$C$1005))))</f>
        <v/>
      </c>
      <c r="N157" s="43" t="str">
        <f aca="false">IF($B157="","",IF(MAX($L157,$M157)=0,"",MAX($L157,$M157)))</f>
        <v/>
      </c>
      <c r="O157" s="44" t="str">
        <f aca="false">IF(OR($B157="",$H157=""),"",IF($N157="",IF(EDATE($H157,DelaiPremierEPP)&gt;DateRef,"1er EPP (1re année)","Aucun entretien renseigné"),IF(AND(ReglesTransitoires="Oui",EDATE($N157,AnciennePeriodiciteEP*12)&lt;DateVigueur),"Retard antérieur à la réforme","Périodicité "&amp;PeriodiciteEPP&amp;" ans")))</f>
        <v/>
      </c>
      <c r="P157" s="43" t="str">
        <f aca="false">IF(OR($B157="",$H157=""),"",IF($N157="",EDATE($H157,DelaiPremierEPP),IF(AND(ReglesTransitoires="Oui",EDATE($N157,AnciennePeriodiciteEP*12)&lt;DateVigueur),EDATE($N157,AnciennePeriodiciteEP*12),EDATE($N157,PeriodiciteEPP*12))))</f>
        <v/>
      </c>
      <c r="Q157" s="40"/>
      <c r="R157" s="45" t="str">
        <f aca="false">IF(OR($P157="",AND($I157&lt;&gt;"",$I157&lt;=DateRef)),"",$P157-DateRef)</f>
        <v/>
      </c>
      <c r="S157" s="42" t="str">
        <f aca="false">IF($B157="","",IF(AND($I157&lt;&gt;"",$I157&lt;=DateRef),"Sorti",IF($H157="","À compléter",IF(AND($Q157&lt;&gt;"",$Q157&gt;=DateRef,$Q157&lt;=$P157),"Planifié",IF($R157&lt;0,"En retard",IF($R157&lt;=SeuilAlerteEPP,"À planifier","À jour"))))))</f>
        <v/>
      </c>
      <c r="T157" s="46" t="str">
        <f aca="false">IF(OR($B157="",$S157="Sorti"),"",MID(IF($H157=""," | Date d'embauche manquante","")&amp;IF(AND($K157="Plus d'un an",$N157="")," | Précédent entretien à renseigner (ancienneté &gt; 1 an)","")&amp;IF($O157="Retard antérieur à la réforme"," | Ancien délai de 2 ans expiré avant la réforme","")&amp;IF(AND($N157&lt;&gt;"",$H157&lt;&gt;"",$N157&lt;$H157)," | Entretien antérieur à l'embauche ?","")&amp;IF(AND($N157&lt;&gt;"",$N157&gt;DateRef)," | Entretien daté dans le futur ?","")&amp;IF(AND($Q157&lt;&gt;"",$P157&lt;&gt;"",$Q157&gt;$P157)," | Date prévue après l'échéance","")&amp;IF(AND($Q157&lt;&gt;"",$Q157&lt;DateRef,OR($N157="",$N157&lt;$Q157))," | Entretien prévu passé : le consigner au Journal","")&amp;IF(AND($G157&lt;&gt;"",$X157="",YEAR(DateRef)-YEAR($G157)&gt;=AgeMiCarriere-1,YEAR(DateRef)-YEAR($G157)&lt;=AgeMiCarriere+1)," | Visite de mi-carrière à vérifier",""),4,1000))</f>
        <v/>
      </c>
      <c r="U157" s="39"/>
      <c r="V157" s="40"/>
      <c r="W157" s="42" t="str">
        <f aca="false">IF(OR($B157="",$V157=""),"",IF(AND($I157&lt;&gt;"",$I157&lt;=DateRef),"",IF(AND($N157&lt;&gt;"",$N157&gt;=$V157),"Réalisé",IF(AND($N157&lt;&gt;"",$N157&gt;=EDATE($V157,-FenetreRetour)),"Dispensé (EPP récent)",IF($V157&gt;DateRef,"À prévoir à la reprise","À proposer (reprise passée)")))))</f>
        <v/>
      </c>
      <c r="X157" s="40"/>
      <c r="Y157" s="43" t="str">
        <f aca="false">IF(OR($B157="",$X157=""),"",EDATE($X157,DelaiMiCarriere))</f>
        <v/>
      </c>
      <c r="Z157" s="42" t="str">
        <f aca="false">IF(OR($B157="",$X157=""),"",IF(AND($I157&lt;&gt;"",$I157&lt;=DateRef),"",IF(AND($N157&lt;&gt;"",$N157&gt;=$X157),"Réalisé",IF($Y157&lt;DateRef,"En retard","À planifier"))))</f>
        <v/>
      </c>
      <c r="AA157" s="47" t="str">
        <f aca="false">IF(OR($B157="",$G157=""),"",IF($G157&gt;DateRef,"",DATEDIF($G157,DateRef,"y")))</f>
        <v/>
      </c>
      <c r="AB157" s="43" t="str">
        <f aca="false">IF(OR($B157="",$G157=""),"",EDATE($G157,AgeFinCarriere*12))</f>
        <v/>
      </c>
      <c r="AC157" s="42" t="str">
        <f aca="false">IF(OR($B157="",$G157="",$H157=""),"",IF(AND($I157&lt;&gt;"",$I157&lt;=DateRef),"",IF($AB157&lt;DateVigueur,"Non concerné",IF(AND($N157&lt;&gt;"",$N157&gt;=MAX(EDATE($AB157,-FenetreFinCarriere*12),DateVigueur),$N157&lt;=$AB157),"Réalisé",IF(DateRef&gt;$AB157,"Non réalisé",IF(AND($Q157&lt;&gt;"",$Q157&gt;=EDATE($AB157,-FenetreFinCarriere*12),$Q157&lt;=$AB157),"Planifié dans la fenêtre",IF(AND(MAX($P157,DateRef)&gt;=EDATE($AB157,-FenetreFinCarriere*12),MAX($P157,DateRef)&lt;=$AB157),"Prochain EPP dans la fenêtre",IF(MAX($P157,DateRef)&gt;$AB157,"À programmer avant 60 ans",""))))))))</f>
        <v/>
      </c>
      <c r="AD157" s="40"/>
      <c r="AE157" s="43" t="str">
        <f aca="false">IF(OR($B157="",$H157="",AND($I157&lt;&gt;"",$I157&lt;=DateRef)),"",MAX($H157,$AD157,IF($A157="",0,SUMPRODUCT(MAX((Journal!$A$6:$A$1005=$A157)*((Journal!$D$6:$D$1005=TypeEDL)+(Journal!$D$6:$D$1005=TypeBilan6))*Journal!$C$6:$C$1005)))))</f>
        <v/>
      </c>
      <c r="AF157" s="43" t="str">
        <f aca="false">IF($AE157="","",IF(AND(ReglesTransitoires="Oui",EDATE($AE157,AnciennePeriodiciteEDL*12)&lt;DateVigueur),EDATE($AE157,AnciennePeriodiciteEDL*12),EDATE($AE157,PeriodiciteEDL*12)))</f>
        <v/>
      </c>
      <c r="AG157" s="42" t="str">
        <f aca="false">IF($AF157="","",IF(AND($I157&lt;&gt;"",$I157&lt;=DateRef),"",IF($AF157&lt;DateRef,"En retard",IF($AF157-DateRef&lt;=SeuilAlerteEDL,"À prévoir","À jour"))))</f>
        <v/>
      </c>
      <c r="AH157" s="39"/>
      <c r="AI157" s="39"/>
      <c r="AJ157" s="42" t="str">
        <f aca="false">IF(OR($B157="",$H157=""),"",IF(AND($I157&lt;&gt;"",$I157&lt;=DateRef),"",IF(Effectif&lt;SeuilEffectif,"Non concerné (&lt; "&amp;SeuilEffectif&amp;" salariés)",IF($AH157="Oui","Pas de risque",IF(AND(OR($AI157="Non",$S157="En retard"),$AH157="Non"),"Risque abondement",IF(OR($AI157="Non",$S157="En retard"),"À vérifier (formation ?)",IF($AI157="Oui","Pas de risque","À compléter")))))))</f>
        <v/>
      </c>
      <c r="AK157" s="39"/>
    </row>
    <row r="158" customFormat="false" ht="15" hidden="false" customHeight="false" outlineLevel="0" collapsed="false">
      <c r="A158" s="39"/>
      <c r="B158" s="39"/>
      <c r="C158" s="39"/>
      <c r="D158" s="39"/>
      <c r="E158" s="39"/>
      <c r="F158" s="39"/>
      <c r="G158" s="40"/>
      <c r="H158" s="40"/>
      <c r="I158" s="40"/>
      <c r="J158" s="41" t="str">
        <f aca="false">IF(OR($B158="",$H158=""),"",IF($H158&gt;DateRef,0,YEARFRAC($H158,DateRef,1)))</f>
        <v/>
      </c>
      <c r="K158" s="42" t="str">
        <f aca="false">IF(OR($B158="",$H158=""),"",IF(EDATE($H158,12)&lt;=DateRef,"Plus d'un an","Moins d'un an"))</f>
        <v/>
      </c>
      <c r="L158" s="40"/>
      <c r="M158" s="43" t="str">
        <f aca="false">IF(OR($B158="",$A158=""),"",IF(SUMPRODUCT(MAX((Journal!$A$6:$A$1005=$A158)*Journal!$C$6:$C$1005))=0,"",SUMPRODUCT(MAX((Journal!$A$6:$A$1005=$A158)*Journal!$C$6:$C$1005))))</f>
        <v/>
      </c>
      <c r="N158" s="43" t="str">
        <f aca="false">IF($B158="","",IF(MAX($L158,$M158)=0,"",MAX($L158,$M158)))</f>
        <v/>
      </c>
      <c r="O158" s="44" t="str">
        <f aca="false">IF(OR($B158="",$H158=""),"",IF($N158="",IF(EDATE($H158,DelaiPremierEPP)&gt;DateRef,"1er EPP (1re année)","Aucun entretien renseigné"),IF(AND(ReglesTransitoires="Oui",EDATE($N158,AnciennePeriodiciteEP*12)&lt;DateVigueur),"Retard antérieur à la réforme","Périodicité "&amp;PeriodiciteEPP&amp;" ans")))</f>
        <v/>
      </c>
      <c r="P158" s="43" t="str">
        <f aca="false">IF(OR($B158="",$H158=""),"",IF($N158="",EDATE($H158,DelaiPremierEPP),IF(AND(ReglesTransitoires="Oui",EDATE($N158,AnciennePeriodiciteEP*12)&lt;DateVigueur),EDATE($N158,AnciennePeriodiciteEP*12),EDATE($N158,PeriodiciteEPP*12))))</f>
        <v/>
      </c>
      <c r="Q158" s="40"/>
      <c r="R158" s="45" t="str">
        <f aca="false">IF(OR($P158="",AND($I158&lt;&gt;"",$I158&lt;=DateRef)),"",$P158-DateRef)</f>
        <v/>
      </c>
      <c r="S158" s="42" t="str">
        <f aca="false">IF($B158="","",IF(AND($I158&lt;&gt;"",$I158&lt;=DateRef),"Sorti",IF($H158="","À compléter",IF(AND($Q158&lt;&gt;"",$Q158&gt;=DateRef,$Q158&lt;=$P158),"Planifié",IF($R158&lt;0,"En retard",IF($R158&lt;=SeuilAlerteEPP,"À planifier","À jour"))))))</f>
        <v/>
      </c>
      <c r="T158" s="46" t="str">
        <f aca="false">IF(OR($B158="",$S158="Sorti"),"",MID(IF($H158=""," | Date d'embauche manquante","")&amp;IF(AND($K158="Plus d'un an",$N158="")," | Précédent entretien à renseigner (ancienneté &gt; 1 an)","")&amp;IF($O158="Retard antérieur à la réforme"," | Ancien délai de 2 ans expiré avant la réforme","")&amp;IF(AND($N158&lt;&gt;"",$H158&lt;&gt;"",$N158&lt;$H158)," | Entretien antérieur à l'embauche ?","")&amp;IF(AND($N158&lt;&gt;"",$N158&gt;DateRef)," | Entretien daté dans le futur ?","")&amp;IF(AND($Q158&lt;&gt;"",$P158&lt;&gt;"",$Q158&gt;$P158)," | Date prévue après l'échéance","")&amp;IF(AND($Q158&lt;&gt;"",$Q158&lt;DateRef,OR($N158="",$N158&lt;$Q158))," | Entretien prévu passé : le consigner au Journal","")&amp;IF(AND($G158&lt;&gt;"",$X158="",YEAR(DateRef)-YEAR($G158)&gt;=AgeMiCarriere-1,YEAR(DateRef)-YEAR($G158)&lt;=AgeMiCarriere+1)," | Visite de mi-carrière à vérifier",""),4,1000))</f>
        <v/>
      </c>
      <c r="U158" s="39"/>
      <c r="V158" s="40"/>
      <c r="W158" s="42" t="str">
        <f aca="false">IF(OR($B158="",$V158=""),"",IF(AND($I158&lt;&gt;"",$I158&lt;=DateRef),"",IF(AND($N158&lt;&gt;"",$N158&gt;=$V158),"Réalisé",IF(AND($N158&lt;&gt;"",$N158&gt;=EDATE($V158,-FenetreRetour)),"Dispensé (EPP récent)",IF($V158&gt;DateRef,"À prévoir à la reprise","À proposer (reprise passée)")))))</f>
        <v/>
      </c>
      <c r="X158" s="40"/>
      <c r="Y158" s="43" t="str">
        <f aca="false">IF(OR($B158="",$X158=""),"",EDATE($X158,DelaiMiCarriere))</f>
        <v/>
      </c>
      <c r="Z158" s="42" t="str">
        <f aca="false">IF(OR($B158="",$X158=""),"",IF(AND($I158&lt;&gt;"",$I158&lt;=DateRef),"",IF(AND($N158&lt;&gt;"",$N158&gt;=$X158),"Réalisé",IF($Y158&lt;DateRef,"En retard","À planifier"))))</f>
        <v/>
      </c>
      <c r="AA158" s="47" t="str">
        <f aca="false">IF(OR($B158="",$G158=""),"",IF($G158&gt;DateRef,"",DATEDIF($G158,DateRef,"y")))</f>
        <v/>
      </c>
      <c r="AB158" s="43" t="str">
        <f aca="false">IF(OR($B158="",$G158=""),"",EDATE($G158,AgeFinCarriere*12))</f>
        <v/>
      </c>
      <c r="AC158" s="42" t="str">
        <f aca="false">IF(OR($B158="",$G158="",$H158=""),"",IF(AND($I158&lt;&gt;"",$I158&lt;=DateRef),"",IF($AB158&lt;DateVigueur,"Non concerné",IF(AND($N158&lt;&gt;"",$N158&gt;=MAX(EDATE($AB158,-FenetreFinCarriere*12),DateVigueur),$N158&lt;=$AB158),"Réalisé",IF(DateRef&gt;$AB158,"Non réalisé",IF(AND($Q158&lt;&gt;"",$Q158&gt;=EDATE($AB158,-FenetreFinCarriere*12),$Q158&lt;=$AB158),"Planifié dans la fenêtre",IF(AND(MAX($P158,DateRef)&gt;=EDATE($AB158,-FenetreFinCarriere*12),MAX($P158,DateRef)&lt;=$AB158),"Prochain EPP dans la fenêtre",IF(MAX($P158,DateRef)&gt;$AB158,"À programmer avant 60 ans",""))))))))</f>
        <v/>
      </c>
      <c r="AD158" s="40"/>
      <c r="AE158" s="43" t="str">
        <f aca="false">IF(OR($B158="",$H158="",AND($I158&lt;&gt;"",$I158&lt;=DateRef)),"",MAX($H158,$AD158,IF($A158="",0,SUMPRODUCT(MAX((Journal!$A$6:$A$1005=$A158)*((Journal!$D$6:$D$1005=TypeEDL)+(Journal!$D$6:$D$1005=TypeBilan6))*Journal!$C$6:$C$1005)))))</f>
        <v/>
      </c>
      <c r="AF158" s="43" t="str">
        <f aca="false">IF($AE158="","",IF(AND(ReglesTransitoires="Oui",EDATE($AE158,AnciennePeriodiciteEDL*12)&lt;DateVigueur),EDATE($AE158,AnciennePeriodiciteEDL*12),EDATE($AE158,PeriodiciteEDL*12)))</f>
        <v/>
      </c>
      <c r="AG158" s="42" t="str">
        <f aca="false">IF($AF158="","",IF(AND($I158&lt;&gt;"",$I158&lt;=DateRef),"",IF($AF158&lt;DateRef,"En retard",IF($AF158-DateRef&lt;=SeuilAlerteEDL,"À prévoir","À jour"))))</f>
        <v/>
      </c>
      <c r="AH158" s="39"/>
      <c r="AI158" s="39"/>
      <c r="AJ158" s="42" t="str">
        <f aca="false">IF(OR($B158="",$H158=""),"",IF(AND($I158&lt;&gt;"",$I158&lt;=DateRef),"",IF(Effectif&lt;SeuilEffectif,"Non concerné (&lt; "&amp;SeuilEffectif&amp;" salariés)",IF($AH158="Oui","Pas de risque",IF(AND(OR($AI158="Non",$S158="En retard"),$AH158="Non"),"Risque abondement",IF(OR($AI158="Non",$S158="En retard"),"À vérifier (formation ?)",IF($AI158="Oui","Pas de risque","À compléter")))))))</f>
        <v/>
      </c>
      <c r="AK158" s="39"/>
    </row>
    <row r="159" customFormat="false" ht="15" hidden="false" customHeight="false" outlineLevel="0" collapsed="false">
      <c r="A159" s="39"/>
      <c r="B159" s="39"/>
      <c r="C159" s="39"/>
      <c r="D159" s="39"/>
      <c r="E159" s="39"/>
      <c r="F159" s="39"/>
      <c r="G159" s="40"/>
      <c r="H159" s="40"/>
      <c r="I159" s="40"/>
      <c r="J159" s="41" t="str">
        <f aca="false">IF(OR($B159="",$H159=""),"",IF($H159&gt;DateRef,0,YEARFRAC($H159,DateRef,1)))</f>
        <v/>
      </c>
      <c r="K159" s="42" t="str">
        <f aca="false">IF(OR($B159="",$H159=""),"",IF(EDATE($H159,12)&lt;=DateRef,"Plus d'un an","Moins d'un an"))</f>
        <v/>
      </c>
      <c r="L159" s="40"/>
      <c r="M159" s="43" t="str">
        <f aca="false">IF(OR($B159="",$A159=""),"",IF(SUMPRODUCT(MAX((Journal!$A$6:$A$1005=$A159)*Journal!$C$6:$C$1005))=0,"",SUMPRODUCT(MAX((Journal!$A$6:$A$1005=$A159)*Journal!$C$6:$C$1005))))</f>
        <v/>
      </c>
      <c r="N159" s="43" t="str">
        <f aca="false">IF($B159="","",IF(MAX($L159,$M159)=0,"",MAX($L159,$M159)))</f>
        <v/>
      </c>
      <c r="O159" s="44" t="str">
        <f aca="false">IF(OR($B159="",$H159=""),"",IF($N159="",IF(EDATE($H159,DelaiPremierEPP)&gt;DateRef,"1er EPP (1re année)","Aucun entretien renseigné"),IF(AND(ReglesTransitoires="Oui",EDATE($N159,AnciennePeriodiciteEP*12)&lt;DateVigueur),"Retard antérieur à la réforme","Périodicité "&amp;PeriodiciteEPP&amp;" ans")))</f>
        <v/>
      </c>
      <c r="P159" s="43" t="str">
        <f aca="false">IF(OR($B159="",$H159=""),"",IF($N159="",EDATE($H159,DelaiPremierEPP),IF(AND(ReglesTransitoires="Oui",EDATE($N159,AnciennePeriodiciteEP*12)&lt;DateVigueur),EDATE($N159,AnciennePeriodiciteEP*12),EDATE($N159,PeriodiciteEPP*12))))</f>
        <v/>
      </c>
      <c r="Q159" s="40"/>
      <c r="R159" s="45" t="str">
        <f aca="false">IF(OR($P159="",AND($I159&lt;&gt;"",$I159&lt;=DateRef)),"",$P159-DateRef)</f>
        <v/>
      </c>
      <c r="S159" s="42" t="str">
        <f aca="false">IF($B159="","",IF(AND($I159&lt;&gt;"",$I159&lt;=DateRef),"Sorti",IF($H159="","À compléter",IF(AND($Q159&lt;&gt;"",$Q159&gt;=DateRef,$Q159&lt;=$P159),"Planifié",IF($R159&lt;0,"En retard",IF($R159&lt;=SeuilAlerteEPP,"À planifier","À jour"))))))</f>
        <v/>
      </c>
      <c r="T159" s="46" t="str">
        <f aca="false">IF(OR($B159="",$S159="Sorti"),"",MID(IF($H159=""," | Date d'embauche manquante","")&amp;IF(AND($K159="Plus d'un an",$N159="")," | Précédent entretien à renseigner (ancienneté &gt; 1 an)","")&amp;IF($O159="Retard antérieur à la réforme"," | Ancien délai de 2 ans expiré avant la réforme","")&amp;IF(AND($N159&lt;&gt;"",$H159&lt;&gt;"",$N159&lt;$H159)," | Entretien antérieur à l'embauche ?","")&amp;IF(AND($N159&lt;&gt;"",$N159&gt;DateRef)," | Entretien daté dans le futur ?","")&amp;IF(AND($Q159&lt;&gt;"",$P159&lt;&gt;"",$Q159&gt;$P159)," | Date prévue après l'échéance","")&amp;IF(AND($Q159&lt;&gt;"",$Q159&lt;DateRef,OR($N159="",$N159&lt;$Q159))," | Entretien prévu passé : le consigner au Journal","")&amp;IF(AND($G159&lt;&gt;"",$X159="",YEAR(DateRef)-YEAR($G159)&gt;=AgeMiCarriere-1,YEAR(DateRef)-YEAR($G159)&lt;=AgeMiCarriere+1)," | Visite de mi-carrière à vérifier",""),4,1000))</f>
        <v/>
      </c>
      <c r="U159" s="39"/>
      <c r="V159" s="40"/>
      <c r="W159" s="42" t="str">
        <f aca="false">IF(OR($B159="",$V159=""),"",IF(AND($I159&lt;&gt;"",$I159&lt;=DateRef),"",IF(AND($N159&lt;&gt;"",$N159&gt;=$V159),"Réalisé",IF(AND($N159&lt;&gt;"",$N159&gt;=EDATE($V159,-FenetreRetour)),"Dispensé (EPP récent)",IF($V159&gt;DateRef,"À prévoir à la reprise","À proposer (reprise passée)")))))</f>
        <v/>
      </c>
      <c r="X159" s="40"/>
      <c r="Y159" s="43" t="str">
        <f aca="false">IF(OR($B159="",$X159=""),"",EDATE($X159,DelaiMiCarriere))</f>
        <v/>
      </c>
      <c r="Z159" s="42" t="str">
        <f aca="false">IF(OR($B159="",$X159=""),"",IF(AND($I159&lt;&gt;"",$I159&lt;=DateRef),"",IF(AND($N159&lt;&gt;"",$N159&gt;=$X159),"Réalisé",IF($Y159&lt;DateRef,"En retard","À planifier"))))</f>
        <v/>
      </c>
      <c r="AA159" s="47" t="str">
        <f aca="false">IF(OR($B159="",$G159=""),"",IF($G159&gt;DateRef,"",DATEDIF($G159,DateRef,"y")))</f>
        <v/>
      </c>
      <c r="AB159" s="43" t="str">
        <f aca="false">IF(OR($B159="",$G159=""),"",EDATE($G159,AgeFinCarriere*12))</f>
        <v/>
      </c>
      <c r="AC159" s="42" t="str">
        <f aca="false">IF(OR($B159="",$G159="",$H159=""),"",IF(AND($I159&lt;&gt;"",$I159&lt;=DateRef),"",IF($AB159&lt;DateVigueur,"Non concerné",IF(AND($N159&lt;&gt;"",$N159&gt;=MAX(EDATE($AB159,-FenetreFinCarriere*12),DateVigueur),$N159&lt;=$AB159),"Réalisé",IF(DateRef&gt;$AB159,"Non réalisé",IF(AND($Q159&lt;&gt;"",$Q159&gt;=EDATE($AB159,-FenetreFinCarriere*12),$Q159&lt;=$AB159),"Planifié dans la fenêtre",IF(AND(MAX($P159,DateRef)&gt;=EDATE($AB159,-FenetreFinCarriere*12),MAX($P159,DateRef)&lt;=$AB159),"Prochain EPP dans la fenêtre",IF(MAX($P159,DateRef)&gt;$AB159,"À programmer avant 60 ans",""))))))))</f>
        <v/>
      </c>
      <c r="AD159" s="40"/>
      <c r="AE159" s="43" t="str">
        <f aca="false">IF(OR($B159="",$H159="",AND($I159&lt;&gt;"",$I159&lt;=DateRef)),"",MAX($H159,$AD159,IF($A159="",0,SUMPRODUCT(MAX((Journal!$A$6:$A$1005=$A159)*((Journal!$D$6:$D$1005=TypeEDL)+(Journal!$D$6:$D$1005=TypeBilan6))*Journal!$C$6:$C$1005)))))</f>
        <v/>
      </c>
      <c r="AF159" s="43" t="str">
        <f aca="false">IF($AE159="","",IF(AND(ReglesTransitoires="Oui",EDATE($AE159,AnciennePeriodiciteEDL*12)&lt;DateVigueur),EDATE($AE159,AnciennePeriodiciteEDL*12),EDATE($AE159,PeriodiciteEDL*12)))</f>
        <v/>
      </c>
      <c r="AG159" s="42" t="str">
        <f aca="false">IF($AF159="","",IF(AND($I159&lt;&gt;"",$I159&lt;=DateRef),"",IF($AF159&lt;DateRef,"En retard",IF($AF159-DateRef&lt;=SeuilAlerteEDL,"À prévoir","À jour"))))</f>
        <v/>
      </c>
      <c r="AH159" s="39"/>
      <c r="AI159" s="39"/>
      <c r="AJ159" s="42" t="str">
        <f aca="false">IF(OR($B159="",$H159=""),"",IF(AND($I159&lt;&gt;"",$I159&lt;=DateRef),"",IF(Effectif&lt;SeuilEffectif,"Non concerné (&lt; "&amp;SeuilEffectif&amp;" salariés)",IF($AH159="Oui","Pas de risque",IF(AND(OR($AI159="Non",$S159="En retard"),$AH159="Non"),"Risque abondement",IF(OR($AI159="Non",$S159="En retard"),"À vérifier (formation ?)",IF($AI159="Oui","Pas de risque","À compléter")))))))</f>
        <v/>
      </c>
      <c r="AK159" s="39"/>
    </row>
    <row r="160" customFormat="false" ht="15" hidden="false" customHeight="false" outlineLevel="0" collapsed="false">
      <c r="A160" s="39"/>
      <c r="B160" s="39"/>
      <c r="C160" s="39"/>
      <c r="D160" s="39"/>
      <c r="E160" s="39"/>
      <c r="F160" s="39"/>
      <c r="G160" s="40"/>
      <c r="H160" s="40"/>
      <c r="I160" s="40"/>
      <c r="J160" s="41" t="str">
        <f aca="false">IF(OR($B160="",$H160=""),"",IF($H160&gt;DateRef,0,YEARFRAC($H160,DateRef,1)))</f>
        <v/>
      </c>
      <c r="K160" s="42" t="str">
        <f aca="false">IF(OR($B160="",$H160=""),"",IF(EDATE($H160,12)&lt;=DateRef,"Plus d'un an","Moins d'un an"))</f>
        <v/>
      </c>
      <c r="L160" s="40"/>
      <c r="M160" s="43" t="str">
        <f aca="false">IF(OR($B160="",$A160=""),"",IF(SUMPRODUCT(MAX((Journal!$A$6:$A$1005=$A160)*Journal!$C$6:$C$1005))=0,"",SUMPRODUCT(MAX((Journal!$A$6:$A$1005=$A160)*Journal!$C$6:$C$1005))))</f>
        <v/>
      </c>
      <c r="N160" s="43" t="str">
        <f aca="false">IF($B160="","",IF(MAX($L160,$M160)=0,"",MAX($L160,$M160)))</f>
        <v/>
      </c>
      <c r="O160" s="44" t="str">
        <f aca="false">IF(OR($B160="",$H160=""),"",IF($N160="",IF(EDATE($H160,DelaiPremierEPP)&gt;DateRef,"1er EPP (1re année)","Aucun entretien renseigné"),IF(AND(ReglesTransitoires="Oui",EDATE($N160,AnciennePeriodiciteEP*12)&lt;DateVigueur),"Retard antérieur à la réforme","Périodicité "&amp;PeriodiciteEPP&amp;" ans")))</f>
        <v/>
      </c>
      <c r="P160" s="43" t="str">
        <f aca="false">IF(OR($B160="",$H160=""),"",IF($N160="",EDATE($H160,DelaiPremierEPP),IF(AND(ReglesTransitoires="Oui",EDATE($N160,AnciennePeriodiciteEP*12)&lt;DateVigueur),EDATE($N160,AnciennePeriodiciteEP*12),EDATE($N160,PeriodiciteEPP*12))))</f>
        <v/>
      </c>
      <c r="Q160" s="40"/>
      <c r="R160" s="45" t="str">
        <f aca="false">IF(OR($P160="",AND($I160&lt;&gt;"",$I160&lt;=DateRef)),"",$P160-DateRef)</f>
        <v/>
      </c>
      <c r="S160" s="42" t="str">
        <f aca="false">IF($B160="","",IF(AND($I160&lt;&gt;"",$I160&lt;=DateRef),"Sorti",IF($H160="","À compléter",IF(AND($Q160&lt;&gt;"",$Q160&gt;=DateRef,$Q160&lt;=$P160),"Planifié",IF($R160&lt;0,"En retard",IF($R160&lt;=SeuilAlerteEPP,"À planifier","À jour"))))))</f>
        <v/>
      </c>
      <c r="T160" s="46" t="str">
        <f aca="false">IF(OR($B160="",$S160="Sorti"),"",MID(IF($H160=""," | Date d'embauche manquante","")&amp;IF(AND($K160="Plus d'un an",$N160="")," | Précédent entretien à renseigner (ancienneté &gt; 1 an)","")&amp;IF($O160="Retard antérieur à la réforme"," | Ancien délai de 2 ans expiré avant la réforme","")&amp;IF(AND($N160&lt;&gt;"",$H160&lt;&gt;"",$N160&lt;$H160)," | Entretien antérieur à l'embauche ?","")&amp;IF(AND($N160&lt;&gt;"",$N160&gt;DateRef)," | Entretien daté dans le futur ?","")&amp;IF(AND($Q160&lt;&gt;"",$P160&lt;&gt;"",$Q160&gt;$P160)," | Date prévue après l'échéance","")&amp;IF(AND($Q160&lt;&gt;"",$Q160&lt;DateRef,OR($N160="",$N160&lt;$Q160))," | Entretien prévu passé : le consigner au Journal","")&amp;IF(AND($G160&lt;&gt;"",$X160="",YEAR(DateRef)-YEAR($G160)&gt;=AgeMiCarriere-1,YEAR(DateRef)-YEAR($G160)&lt;=AgeMiCarriere+1)," | Visite de mi-carrière à vérifier",""),4,1000))</f>
        <v/>
      </c>
      <c r="U160" s="39"/>
      <c r="V160" s="40"/>
      <c r="W160" s="42" t="str">
        <f aca="false">IF(OR($B160="",$V160=""),"",IF(AND($I160&lt;&gt;"",$I160&lt;=DateRef),"",IF(AND($N160&lt;&gt;"",$N160&gt;=$V160),"Réalisé",IF(AND($N160&lt;&gt;"",$N160&gt;=EDATE($V160,-FenetreRetour)),"Dispensé (EPP récent)",IF($V160&gt;DateRef,"À prévoir à la reprise","À proposer (reprise passée)")))))</f>
        <v/>
      </c>
      <c r="X160" s="40"/>
      <c r="Y160" s="43" t="str">
        <f aca="false">IF(OR($B160="",$X160=""),"",EDATE($X160,DelaiMiCarriere))</f>
        <v/>
      </c>
      <c r="Z160" s="42" t="str">
        <f aca="false">IF(OR($B160="",$X160=""),"",IF(AND($I160&lt;&gt;"",$I160&lt;=DateRef),"",IF(AND($N160&lt;&gt;"",$N160&gt;=$X160),"Réalisé",IF($Y160&lt;DateRef,"En retard","À planifier"))))</f>
        <v/>
      </c>
      <c r="AA160" s="47" t="str">
        <f aca="false">IF(OR($B160="",$G160=""),"",IF($G160&gt;DateRef,"",DATEDIF($G160,DateRef,"y")))</f>
        <v/>
      </c>
      <c r="AB160" s="43" t="str">
        <f aca="false">IF(OR($B160="",$G160=""),"",EDATE($G160,AgeFinCarriere*12))</f>
        <v/>
      </c>
      <c r="AC160" s="42" t="str">
        <f aca="false">IF(OR($B160="",$G160="",$H160=""),"",IF(AND($I160&lt;&gt;"",$I160&lt;=DateRef),"",IF($AB160&lt;DateVigueur,"Non concerné",IF(AND($N160&lt;&gt;"",$N160&gt;=MAX(EDATE($AB160,-FenetreFinCarriere*12),DateVigueur),$N160&lt;=$AB160),"Réalisé",IF(DateRef&gt;$AB160,"Non réalisé",IF(AND($Q160&lt;&gt;"",$Q160&gt;=EDATE($AB160,-FenetreFinCarriere*12),$Q160&lt;=$AB160),"Planifié dans la fenêtre",IF(AND(MAX($P160,DateRef)&gt;=EDATE($AB160,-FenetreFinCarriere*12),MAX($P160,DateRef)&lt;=$AB160),"Prochain EPP dans la fenêtre",IF(MAX($P160,DateRef)&gt;$AB160,"À programmer avant 60 ans",""))))))))</f>
        <v/>
      </c>
      <c r="AD160" s="40"/>
      <c r="AE160" s="43" t="str">
        <f aca="false">IF(OR($B160="",$H160="",AND($I160&lt;&gt;"",$I160&lt;=DateRef)),"",MAX($H160,$AD160,IF($A160="",0,SUMPRODUCT(MAX((Journal!$A$6:$A$1005=$A160)*((Journal!$D$6:$D$1005=TypeEDL)+(Journal!$D$6:$D$1005=TypeBilan6))*Journal!$C$6:$C$1005)))))</f>
        <v/>
      </c>
      <c r="AF160" s="43" t="str">
        <f aca="false">IF($AE160="","",IF(AND(ReglesTransitoires="Oui",EDATE($AE160,AnciennePeriodiciteEDL*12)&lt;DateVigueur),EDATE($AE160,AnciennePeriodiciteEDL*12),EDATE($AE160,PeriodiciteEDL*12)))</f>
        <v/>
      </c>
      <c r="AG160" s="42" t="str">
        <f aca="false">IF($AF160="","",IF(AND($I160&lt;&gt;"",$I160&lt;=DateRef),"",IF($AF160&lt;DateRef,"En retard",IF($AF160-DateRef&lt;=SeuilAlerteEDL,"À prévoir","À jour"))))</f>
        <v/>
      </c>
      <c r="AH160" s="39"/>
      <c r="AI160" s="39"/>
      <c r="AJ160" s="42" t="str">
        <f aca="false">IF(OR($B160="",$H160=""),"",IF(AND($I160&lt;&gt;"",$I160&lt;=DateRef),"",IF(Effectif&lt;SeuilEffectif,"Non concerné (&lt; "&amp;SeuilEffectif&amp;" salariés)",IF($AH160="Oui","Pas de risque",IF(AND(OR($AI160="Non",$S160="En retard"),$AH160="Non"),"Risque abondement",IF(OR($AI160="Non",$S160="En retard"),"À vérifier (formation ?)",IF($AI160="Oui","Pas de risque","À compléter")))))))</f>
        <v/>
      </c>
      <c r="AK160" s="39"/>
    </row>
    <row r="161" customFormat="false" ht="15" hidden="false" customHeight="false" outlineLevel="0" collapsed="false">
      <c r="A161" s="39"/>
      <c r="B161" s="39"/>
      <c r="C161" s="39"/>
      <c r="D161" s="39"/>
      <c r="E161" s="39"/>
      <c r="F161" s="39"/>
      <c r="G161" s="40"/>
      <c r="H161" s="40"/>
      <c r="I161" s="40"/>
      <c r="J161" s="41" t="str">
        <f aca="false">IF(OR($B161="",$H161=""),"",IF($H161&gt;DateRef,0,YEARFRAC($H161,DateRef,1)))</f>
        <v/>
      </c>
      <c r="K161" s="42" t="str">
        <f aca="false">IF(OR($B161="",$H161=""),"",IF(EDATE($H161,12)&lt;=DateRef,"Plus d'un an","Moins d'un an"))</f>
        <v/>
      </c>
      <c r="L161" s="40"/>
      <c r="M161" s="43" t="str">
        <f aca="false">IF(OR($B161="",$A161=""),"",IF(SUMPRODUCT(MAX((Journal!$A$6:$A$1005=$A161)*Journal!$C$6:$C$1005))=0,"",SUMPRODUCT(MAX((Journal!$A$6:$A$1005=$A161)*Journal!$C$6:$C$1005))))</f>
        <v/>
      </c>
      <c r="N161" s="43" t="str">
        <f aca="false">IF($B161="","",IF(MAX($L161,$M161)=0,"",MAX($L161,$M161)))</f>
        <v/>
      </c>
      <c r="O161" s="44" t="str">
        <f aca="false">IF(OR($B161="",$H161=""),"",IF($N161="",IF(EDATE($H161,DelaiPremierEPP)&gt;DateRef,"1er EPP (1re année)","Aucun entretien renseigné"),IF(AND(ReglesTransitoires="Oui",EDATE($N161,AnciennePeriodiciteEP*12)&lt;DateVigueur),"Retard antérieur à la réforme","Périodicité "&amp;PeriodiciteEPP&amp;" ans")))</f>
        <v/>
      </c>
      <c r="P161" s="43" t="str">
        <f aca="false">IF(OR($B161="",$H161=""),"",IF($N161="",EDATE($H161,DelaiPremierEPP),IF(AND(ReglesTransitoires="Oui",EDATE($N161,AnciennePeriodiciteEP*12)&lt;DateVigueur),EDATE($N161,AnciennePeriodiciteEP*12),EDATE($N161,PeriodiciteEPP*12))))</f>
        <v/>
      </c>
      <c r="Q161" s="40"/>
      <c r="R161" s="45" t="str">
        <f aca="false">IF(OR($P161="",AND($I161&lt;&gt;"",$I161&lt;=DateRef)),"",$P161-DateRef)</f>
        <v/>
      </c>
      <c r="S161" s="42" t="str">
        <f aca="false">IF($B161="","",IF(AND($I161&lt;&gt;"",$I161&lt;=DateRef),"Sorti",IF($H161="","À compléter",IF(AND($Q161&lt;&gt;"",$Q161&gt;=DateRef,$Q161&lt;=$P161),"Planifié",IF($R161&lt;0,"En retard",IF($R161&lt;=SeuilAlerteEPP,"À planifier","À jour"))))))</f>
        <v/>
      </c>
      <c r="T161" s="46" t="str">
        <f aca="false">IF(OR($B161="",$S161="Sorti"),"",MID(IF($H161=""," | Date d'embauche manquante","")&amp;IF(AND($K161="Plus d'un an",$N161="")," | Précédent entretien à renseigner (ancienneté &gt; 1 an)","")&amp;IF($O161="Retard antérieur à la réforme"," | Ancien délai de 2 ans expiré avant la réforme","")&amp;IF(AND($N161&lt;&gt;"",$H161&lt;&gt;"",$N161&lt;$H161)," | Entretien antérieur à l'embauche ?","")&amp;IF(AND($N161&lt;&gt;"",$N161&gt;DateRef)," | Entretien daté dans le futur ?","")&amp;IF(AND($Q161&lt;&gt;"",$P161&lt;&gt;"",$Q161&gt;$P161)," | Date prévue après l'échéance","")&amp;IF(AND($Q161&lt;&gt;"",$Q161&lt;DateRef,OR($N161="",$N161&lt;$Q161))," | Entretien prévu passé : le consigner au Journal","")&amp;IF(AND($G161&lt;&gt;"",$X161="",YEAR(DateRef)-YEAR($G161)&gt;=AgeMiCarriere-1,YEAR(DateRef)-YEAR($G161)&lt;=AgeMiCarriere+1)," | Visite de mi-carrière à vérifier",""),4,1000))</f>
        <v/>
      </c>
      <c r="U161" s="39"/>
      <c r="V161" s="40"/>
      <c r="W161" s="42" t="str">
        <f aca="false">IF(OR($B161="",$V161=""),"",IF(AND($I161&lt;&gt;"",$I161&lt;=DateRef),"",IF(AND($N161&lt;&gt;"",$N161&gt;=$V161),"Réalisé",IF(AND($N161&lt;&gt;"",$N161&gt;=EDATE($V161,-FenetreRetour)),"Dispensé (EPP récent)",IF($V161&gt;DateRef,"À prévoir à la reprise","À proposer (reprise passée)")))))</f>
        <v/>
      </c>
      <c r="X161" s="40"/>
      <c r="Y161" s="43" t="str">
        <f aca="false">IF(OR($B161="",$X161=""),"",EDATE($X161,DelaiMiCarriere))</f>
        <v/>
      </c>
      <c r="Z161" s="42" t="str">
        <f aca="false">IF(OR($B161="",$X161=""),"",IF(AND($I161&lt;&gt;"",$I161&lt;=DateRef),"",IF(AND($N161&lt;&gt;"",$N161&gt;=$X161),"Réalisé",IF($Y161&lt;DateRef,"En retard","À planifier"))))</f>
        <v/>
      </c>
      <c r="AA161" s="47" t="str">
        <f aca="false">IF(OR($B161="",$G161=""),"",IF($G161&gt;DateRef,"",DATEDIF($G161,DateRef,"y")))</f>
        <v/>
      </c>
      <c r="AB161" s="43" t="str">
        <f aca="false">IF(OR($B161="",$G161=""),"",EDATE($G161,AgeFinCarriere*12))</f>
        <v/>
      </c>
      <c r="AC161" s="42" t="str">
        <f aca="false">IF(OR($B161="",$G161="",$H161=""),"",IF(AND($I161&lt;&gt;"",$I161&lt;=DateRef),"",IF($AB161&lt;DateVigueur,"Non concerné",IF(AND($N161&lt;&gt;"",$N161&gt;=MAX(EDATE($AB161,-FenetreFinCarriere*12),DateVigueur),$N161&lt;=$AB161),"Réalisé",IF(DateRef&gt;$AB161,"Non réalisé",IF(AND($Q161&lt;&gt;"",$Q161&gt;=EDATE($AB161,-FenetreFinCarriere*12),$Q161&lt;=$AB161),"Planifié dans la fenêtre",IF(AND(MAX($P161,DateRef)&gt;=EDATE($AB161,-FenetreFinCarriere*12),MAX($P161,DateRef)&lt;=$AB161),"Prochain EPP dans la fenêtre",IF(MAX($P161,DateRef)&gt;$AB161,"À programmer avant 60 ans",""))))))))</f>
        <v/>
      </c>
      <c r="AD161" s="40"/>
      <c r="AE161" s="43" t="str">
        <f aca="false">IF(OR($B161="",$H161="",AND($I161&lt;&gt;"",$I161&lt;=DateRef)),"",MAX($H161,$AD161,IF($A161="",0,SUMPRODUCT(MAX((Journal!$A$6:$A$1005=$A161)*((Journal!$D$6:$D$1005=TypeEDL)+(Journal!$D$6:$D$1005=TypeBilan6))*Journal!$C$6:$C$1005)))))</f>
        <v/>
      </c>
      <c r="AF161" s="43" t="str">
        <f aca="false">IF($AE161="","",IF(AND(ReglesTransitoires="Oui",EDATE($AE161,AnciennePeriodiciteEDL*12)&lt;DateVigueur),EDATE($AE161,AnciennePeriodiciteEDL*12),EDATE($AE161,PeriodiciteEDL*12)))</f>
        <v/>
      </c>
      <c r="AG161" s="42" t="str">
        <f aca="false">IF($AF161="","",IF(AND($I161&lt;&gt;"",$I161&lt;=DateRef),"",IF($AF161&lt;DateRef,"En retard",IF($AF161-DateRef&lt;=SeuilAlerteEDL,"À prévoir","À jour"))))</f>
        <v/>
      </c>
      <c r="AH161" s="39"/>
      <c r="AI161" s="39"/>
      <c r="AJ161" s="42" t="str">
        <f aca="false">IF(OR($B161="",$H161=""),"",IF(AND($I161&lt;&gt;"",$I161&lt;=DateRef),"",IF(Effectif&lt;SeuilEffectif,"Non concerné (&lt; "&amp;SeuilEffectif&amp;" salariés)",IF($AH161="Oui","Pas de risque",IF(AND(OR($AI161="Non",$S161="En retard"),$AH161="Non"),"Risque abondement",IF(OR($AI161="Non",$S161="En retard"),"À vérifier (formation ?)",IF($AI161="Oui","Pas de risque","À compléter")))))))</f>
        <v/>
      </c>
      <c r="AK161" s="39"/>
    </row>
    <row r="162" customFormat="false" ht="15" hidden="false" customHeight="false" outlineLevel="0" collapsed="false">
      <c r="A162" s="39"/>
      <c r="B162" s="39"/>
      <c r="C162" s="39"/>
      <c r="D162" s="39"/>
      <c r="E162" s="39"/>
      <c r="F162" s="39"/>
      <c r="G162" s="40"/>
      <c r="H162" s="40"/>
      <c r="I162" s="40"/>
      <c r="J162" s="41" t="str">
        <f aca="false">IF(OR($B162="",$H162=""),"",IF($H162&gt;DateRef,0,YEARFRAC($H162,DateRef,1)))</f>
        <v/>
      </c>
      <c r="K162" s="42" t="str">
        <f aca="false">IF(OR($B162="",$H162=""),"",IF(EDATE($H162,12)&lt;=DateRef,"Plus d'un an","Moins d'un an"))</f>
        <v/>
      </c>
      <c r="L162" s="40"/>
      <c r="M162" s="43" t="str">
        <f aca="false">IF(OR($B162="",$A162=""),"",IF(SUMPRODUCT(MAX((Journal!$A$6:$A$1005=$A162)*Journal!$C$6:$C$1005))=0,"",SUMPRODUCT(MAX((Journal!$A$6:$A$1005=$A162)*Journal!$C$6:$C$1005))))</f>
        <v/>
      </c>
      <c r="N162" s="43" t="str">
        <f aca="false">IF($B162="","",IF(MAX($L162,$M162)=0,"",MAX($L162,$M162)))</f>
        <v/>
      </c>
      <c r="O162" s="44" t="str">
        <f aca="false">IF(OR($B162="",$H162=""),"",IF($N162="",IF(EDATE($H162,DelaiPremierEPP)&gt;DateRef,"1er EPP (1re année)","Aucun entretien renseigné"),IF(AND(ReglesTransitoires="Oui",EDATE($N162,AnciennePeriodiciteEP*12)&lt;DateVigueur),"Retard antérieur à la réforme","Périodicité "&amp;PeriodiciteEPP&amp;" ans")))</f>
        <v/>
      </c>
      <c r="P162" s="43" t="str">
        <f aca="false">IF(OR($B162="",$H162=""),"",IF($N162="",EDATE($H162,DelaiPremierEPP),IF(AND(ReglesTransitoires="Oui",EDATE($N162,AnciennePeriodiciteEP*12)&lt;DateVigueur),EDATE($N162,AnciennePeriodiciteEP*12),EDATE($N162,PeriodiciteEPP*12))))</f>
        <v/>
      </c>
      <c r="Q162" s="40"/>
      <c r="R162" s="45" t="str">
        <f aca="false">IF(OR($P162="",AND($I162&lt;&gt;"",$I162&lt;=DateRef)),"",$P162-DateRef)</f>
        <v/>
      </c>
      <c r="S162" s="42" t="str">
        <f aca="false">IF($B162="","",IF(AND($I162&lt;&gt;"",$I162&lt;=DateRef),"Sorti",IF($H162="","À compléter",IF(AND($Q162&lt;&gt;"",$Q162&gt;=DateRef,$Q162&lt;=$P162),"Planifié",IF($R162&lt;0,"En retard",IF($R162&lt;=SeuilAlerteEPP,"À planifier","À jour"))))))</f>
        <v/>
      </c>
      <c r="T162" s="46" t="str">
        <f aca="false">IF(OR($B162="",$S162="Sorti"),"",MID(IF($H162=""," | Date d'embauche manquante","")&amp;IF(AND($K162="Plus d'un an",$N162="")," | Précédent entretien à renseigner (ancienneté &gt; 1 an)","")&amp;IF($O162="Retard antérieur à la réforme"," | Ancien délai de 2 ans expiré avant la réforme","")&amp;IF(AND($N162&lt;&gt;"",$H162&lt;&gt;"",$N162&lt;$H162)," | Entretien antérieur à l'embauche ?","")&amp;IF(AND($N162&lt;&gt;"",$N162&gt;DateRef)," | Entretien daté dans le futur ?","")&amp;IF(AND($Q162&lt;&gt;"",$P162&lt;&gt;"",$Q162&gt;$P162)," | Date prévue après l'échéance","")&amp;IF(AND($Q162&lt;&gt;"",$Q162&lt;DateRef,OR($N162="",$N162&lt;$Q162))," | Entretien prévu passé : le consigner au Journal","")&amp;IF(AND($G162&lt;&gt;"",$X162="",YEAR(DateRef)-YEAR($G162)&gt;=AgeMiCarriere-1,YEAR(DateRef)-YEAR($G162)&lt;=AgeMiCarriere+1)," | Visite de mi-carrière à vérifier",""),4,1000))</f>
        <v/>
      </c>
      <c r="U162" s="39"/>
      <c r="V162" s="40"/>
      <c r="W162" s="42" t="str">
        <f aca="false">IF(OR($B162="",$V162=""),"",IF(AND($I162&lt;&gt;"",$I162&lt;=DateRef),"",IF(AND($N162&lt;&gt;"",$N162&gt;=$V162),"Réalisé",IF(AND($N162&lt;&gt;"",$N162&gt;=EDATE($V162,-FenetreRetour)),"Dispensé (EPP récent)",IF($V162&gt;DateRef,"À prévoir à la reprise","À proposer (reprise passée)")))))</f>
        <v/>
      </c>
      <c r="X162" s="40"/>
      <c r="Y162" s="43" t="str">
        <f aca="false">IF(OR($B162="",$X162=""),"",EDATE($X162,DelaiMiCarriere))</f>
        <v/>
      </c>
      <c r="Z162" s="42" t="str">
        <f aca="false">IF(OR($B162="",$X162=""),"",IF(AND($I162&lt;&gt;"",$I162&lt;=DateRef),"",IF(AND($N162&lt;&gt;"",$N162&gt;=$X162),"Réalisé",IF($Y162&lt;DateRef,"En retard","À planifier"))))</f>
        <v/>
      </c>
      <c r="AA162" s="47" t="str">
        <f aca="false">IF(OR($B162="",$G162=""),"",IF($G162&gt;DateRef,"",DATEDIF($G162,DateRef,"y")))</f>
        <v/>
      </c>
      <c r="AB162" s="43" t="str">
        <f aca="false">IF(OR($B162="",$G162=""),"",EDATE($G162,AgeFinCarriere*12))</f>
        <v/>
      </c>
      <c r="AC162" s="42" t="str">
        <f aca="false">IF(OR($B162="",$G162="",$H162=""),"",IF(AND($I162&lt;&gt;"",$I162&lt;=DateRef),"",IF($AB162&lt;DateVigueur,"Non concerné",IF(AND($N162&lt;&gt;"",$N162&gt;=MAX(EDATE($AB162,-FenetreFinCarriere*12),DateVigueur),$N162&lt;=$AB162),"Réalisé",IF(DateRef&gt;$AB162,"Non réalisé",IF(AND($Q162&lt;&gt;"",$Q162&gt;=EDATE($AB162,-FenetreFinCarriere*12),$Q162&lt;=$AB162),"Planifié dans la fenêtre",IF(AND(MAX($P162,DateRef)&gt;=EDATE($AB162,-FenetreFinCarriere*12),MAX($P162,DateRef)&lt;=$AB162),"Prochain EPP dans la fenêtre",IF(MAX($P162,DateRef)&gt;$AB162,"À programmer avant 60 ans",""))))))))</f>
        <v/>
      </c>
      <c r="AD162" s="40"/>
      <c r="AE162" s="43" t="str">
        <f aca="false">IF(OR($B162="",$H162="",AND($I162&lt;&gt;"",$I162&lt;=DateRef)),"",MAX($H162,$AD162,IF($A162="",0,SUMPRODUCT(MAX((Journal!$A$6:$A$1005=$A162)*((Journal!$D$6:$D$1005=TypeEDL)+(Journal!$D$6:$D$1005=TypeBilan6))*Journal!$C$6:$C$1005)))))</f>
        <v/>
      </c>
      <c r="AF162" s="43" t="str">
        <f aca="false">IF($AE162="","",IF(AND(ReglesTransitoires="Oui",EDATE($AE162,AnciennePeriodiciteEDL*12)&lt;DateVigueur),EDATE($AE162,AnciennePeriodiciteEDL*12),EDATE($AE162,PeriodiciteEDL*12)))</f>
        <v/>
      </c>
      <c r="AG162" s="42" t="str">
        <f aca="false">IF($AF162="","",IF(AND($I162&lt;&gt;"",$I162&lt;=DateRef),"",IF($AF162&lt;DateRef,"En retard",IF($AF162-DateRef&lt;=SeuilAlerteEDL,"À prévoir","À jour"))))</f>
        <v/>
      </c>
      <c r="AH162" s="39"/>
      <c r="AI162" s="39"/>
      <c r="AJ162" s="42" t="str">
        <f aca="false">IF(OR($B162="",$H162=""),"",IF(AND($I162&lt;&gt;"",$I162&lt;=DateRef),"",IF(Effectif&lt;SeuilEffectif,"Non concerné (&lt; "&amp;SeuilEffectif&amp;" salariés)",IF($AH162="Oui","Pas de risque",IF(AND(OR($AI162="Non",$S162="En retard"),$AH162="Non"),"Risque abondement",IF(OR($AI162="Non",$S162="En retard"),"À vérifier (formation ?)",IF($AI162="Oui","Pas de risque","À compléter")))))))</f>
        <v/>
      </c>
      <c r="AK162" s="39"/>
    </row>
    <row r="163" customFormat="false" ht="15" hidden="false" customHeight="false" outlineLevel="0" collapsed="false">
      <c r="A163" s="39"/>
      <c r="B163" s="39"/>
      <c r="C163" s="39"/>
      <c r="D163" s="39"/>
      <c r="E163" s="39"/>
      <c r="F163" s="39"/>
      <c r="G163" s="40"/>
      <c r="H163" s="40"/>
      <c r="I163" s="40"/>
      <c r="J163" s="41" t="str">
        <f aca="false">IF(OR($B163="",$H163=""),"",IF($H163&gt;DateRef,0,YEARFRAC($H163,DateRef,1)))</f>
        <v/>
      </c>
      <c r="K163" s="42" t="str">
        <f aca="false">IF(OR($B163="",$H163=""),"",IF(EDATE($H163,12)&lt;=DateRef,"Plus d'un an","Moins d'un an"))</f>
        <v/>
      </c>
      <c r="L163" s="40"/>
      <c r="M163" s="43" t="str">
        <f aca="false">IF(OR($B163="",$A163=""),"",IF(SUMPRODUCT(MAX((Journal!$A$6:$A$1005=$A163)*Journal!$C$6:$C$1005))=0,"",SUMPRODUCT(MAX((Journal!$A$6:$A$1005=$A163)*Journal!$C$6:$C$1005))))</f>
        <v/>
      </c>
      <c r="N163" s="43" t="str">
        <f aca="false">IF($B163="","",IF(MAX($L163,$M163)=0,"",MAX($L163,$M163)))</f>
        <v/>
      </c>
      <c r="O163" s="44" t="str">
        <f aca="false">IF(OR($B163="",$H163=""),"",IF($N163="",IF(EDATE($H163,DelaiPremierEPP)&gt;DateRef,"1er EPP (1re année)","Aucun entretien renseigné"),IF(AND(ReglesTransitoires="Oui",EDATE($N163,AnciennePeriodiciteEP*12)&lt;DateVigueur),"Retard antérieur à la réforme","Périodicité "&amp;PeriodiciteEPP&amp;" ans")))</f>
        <v/>
      </c>
      <c r="P163" s="43" t="str">
        <f aca="false">IF(OR($B163="",$H163=""),"",IF($N163="",EDATE($H163,DelaiPremierEPP),IF(AND(ReglesTransitoires="Oui",EDATE($N163,AnciennePeriodiciteEP*12)&lt;DateVigueur),EDATE($N163,AnciennePeriodiciteEP*12),EDATE($N163,PeriodiciteEPP*12))))</f>
        <v/>
      </c>
      <c r="Q163" s="40"/>
      <c r="R163" s="45" t="str">
        <f aca="false">IF(OR($P163="",AND($I163&lt;&gt;"",$I163&lt;=DateRef)),"",$P163-DateRef)</f>
        <v/>
      </c>
      <c r="S163" s="42" t="str">
        <f aca="false">IF($B163="","",IF(AND($I163&lt;&gt;"",$I163&lt;=DateRef),"Sorti",IF($H163="","À compléter",IF(AND($Q163&lt;&gt;"",$Q163&gt;=DateRef,$Q163&lt;=$P163),"Planifié",IF($R163&lt;0,"En retard",IF($R163&lt;=SeuilAlerteEPP,"À planifier","À jour"))))))</f>
        <v/>
      </c>
      <c r="T163" s="46" t="str">
        <f aca="false">IF(OR($B163="",$S163="Sorti"),"",MID(IF($H163=""," | Date d'embauche manquante","")&amp;IF(AND($K163="Plus d'un an",$N163="")," | Précédent entretien à renseigner (ancienneté &gt; 1 an)","")&amp;IF($O163="Retard antérieur à la réforme"," | Ancien délai de 2 ans expiré avant la réforme","")&amp;IF(AND($N163&lt;&gt;"",$H163&lt;&gt;"",$N163&lt;$H163)," | Entretien antérieur à l'embauche ?","")&amp;IF(AND($N163&lt;&gt;"",$N163&gt;DateRef)," | Entretien daté dans le futur ?","")&amp;IF(AND($Q163&lt;&gt;"",$P163&lt;&gt;"",$Q163&gt;$P163)," | Date prévue après l'échéance","")&amp;IF(AND($Q163&lt;&gt;"",$Q163&lt;DateRef,OR($N163="",$N163&lt;$Q163))," | Entretien prévu passé : le consigner au Journal","")&amp;IF(AND($G163&lt;&gt;"",$X163="",YEAR(DateRef)-YEAR($G163)&gt;=AgeMiCarriere-1,YEAR(DateRef)-YEAR($G163)&lt;=AgeMiCarriere+1)," | Visite de mi-carrière à vérifier",""),4,1000))</f>
        <v/>
      </c>
      <c r="U163" s="39"/>
      <c r="V163" s="40"/>
      <c r="W163" s="42" t="str">
        <f aca="false">IF(OR($B163="",$V163=""),"",IF(AND($I163&lt;&gt;"",$I163&lt;=DateRef),"",IF(AND($N163&lt;&gt;"",$N163&gt;=$V163),"Réalisé",IF(AND($N163&lt;&gt;"",$N163&gt;=EDATE($V163,-FenetreRetour)),"Dispensé (EPP récent)",IF($V163&gt;DateRef,"À prévoir à la reprise","À proposer (reprise passée)")))))</f>
        <v/>
      </c>
      <c r="X163" s="40"/>
      <c r="Y163" s="43" t="str">
        <f aca="false">IF(OR($B163="",$X163=""),"",EDATE($X163,DelaiMiCarriere))</f>
        <v/>
      </c>
      <c r="Z163" s="42" t="str">
        <f aca="false">IF(OR($B163="",$X163=""),"",IF(AND($I163&lt;&gt;"",$I163&lt;=DateRef),"",IF(AND($N163&lt;&gt;"",$N163&gt;=$X163),"Réalisé",IF($Y163&lt;DateRef,"En retard","À planifier"))))</f>
        <v/>
      </c>
      <c r="AA163" s="47" t="str">
        <f aca="false">IF(OR($B163="",$G163=""),"",IF($G163&gt;DateRef,"",DATEDIF($G163,DateRef,"y")))</f>
        <v/>
      </c>
      <c r="AB163" s="43" t="str">
        <f aca="false">IF(OR($B163="",$G163=""),"",EDATE($G163,AgeFinCarriere*12))</f>
        <v/>
      </c>
      <c r="AC163" s="42" t="str">
        <f aca="false">IF(OR($B163="",$G163="",$H163=""),"",IF(AND($I163&lt;&gt;"",$I163&lt;=DateRef),"",IF($AB163&lt;DateVigueur,"Non concerné",IF(AND($N163&lt;&gt;"",$N163&gt;=MAX(EDATE($AB163,-FenetreFinCarriere*12),DateVigueur),$N163&lt;=$AB163),"Réalisé",IF(DateRef&gt;$AB163,"Non réalisé",IF(AND($Q163&lt;&gt;"",$Q163&gt;=EDATE($AB163,-FenetreFinCarriere*12),$Q163&lt;=$AB163),"Planifié dans la fenêtre",IF(AND(MAX($P163,DateRef)&gt;=EDATE($AB163,-FenetreFinCarriere*12),MAX($P163,DateRef)&lt;=$AB163),"Prochain EPP dans la fenêtre",IF(MAX($P163,DateRef)&gt;$AB163,"À programmer avant 60 ans",""))))))))</f>
        <v/>
      </c>
      <c r="AD163" s="40"/>
      <c r="AE163" s="43" t="str">
        <f aca="false">IF(OR($B163="",$H163="",AND($I163&lt;&gt;"",$I163&lt;=DateRef)),"",MAX($H163,$AD163,IF($A163="",0,SUMPRODUCT(MAX((Journal!$A$6:$A$1005=$A163)*((Journal!$D$6:$D$1005=TypeEDL)+(Journal!$D$6:$D$1005=TypeBilan6))*Journal!$C$6:$C$1005)))))</f>
        <v/>
      </c>
      <c r="AF163" s="43" t="str">
        <f aca="false">IF($AE163="","",IF(AND(ReglesTransitoires="Oui",EDATE($AE163,AnciennePeriodiciteEDL*12)&lt;DateVigueur),EDATE($AE163,AnciennePeriodiciteEDL*12),EDATE($AE163,PeriodiciteEDL*12)))</f>
        <v/>
      </c>
      <c r="AG163" s="42" t="str">
        <f aca="false">IF($AF163="","",IF(AND($I163&lt;&gt;"",$I163&lt;=DateRef),"",IF($AF163&lt;DateRef,"En retard",IF($AF163-DateRef&lt;=SeuilAlerteEDL,"À prévoir","À jour"))))</f>
        <v/>
      </c>
      <c r="AH163" s="39"/>
      <c r="AI163" s="39"/>
      <c r="AJ163" s="42" t="str">
        <f aca="false">IF(OR($B163="",$H163=""),"",IF(AND($I163&lt;&gt;"",$I163&lt;=DateRef),"",IF(Effectif&lt;SeuilEffectif,"Non concerné (&lt; "&amp;SeuilEffectif&amp;" salariés)",IF($AH163="Oui","Pas de risque",IF(AND(OR($AI163="Non",$S163="En retard"),$AH163="Non"),"Risque abondement",IF(OR($AI163="Non",$S163="En retard"),"À vérifier (formation ?)",IF($AI163="Oui","Pas de risque","À compléter")))))))</f>
        <v/>
      </c>
      <c r="AK163" s="39"/>
    </row>
    <row r="164" customFormat="false" ht="15" hidden="false" customHeight="false" outlineLevel="0" collapsed="false">
      <c r="A164" s="39"/>
      <c r="B164" s="39"/>
      <c r="C164" s="39"/>
      <c r="D164" s="39"/>
      <c r="E164" s="39"/>
      <c r="F164" s="39"/>
      <c r="G164" s="40"/>
      <c r="H164" s="40"/>
      <c r="I164" s="40"/>
      <c r="J164" s="41" t="str">
        <f aca="false">IF(OR($B164="",$H164=""),"",IF($H164&gt;DateRef,0,YEARFRAC($H164,DateRef,1)))</f>
        <v/>
      </c>
      <c r="K164" s="42" t="str">
        <f aca="false">IF(OR($B164="",$H164=""),"",IF(EDATE($H164,12)&lt;=DateRef,"Plus d'un an","Moins d'un an"))</f>
        <v/>
      </c>
      <c r="L164" s="40"/>
      <c r="M164" s="43" t="str">
        <f aca="false">IF(OR($B164="",$A164=""),"",IF(SUMPRODUCT(MAX((Journal!$A$6:$A$1005=$A164)*Journal!$C$6:$C$1005))=0,"",SUMPRODUCT(MAX((Journal!$A$6:$A$1005=$A164)*Journal!$C$6:$C$1005))))</f>
        <v/>
      </c>
      <c r="N164" s="43" t="str">
        <f aca="false">IF($B164="","",IF(MAX($L164,$M164)=0,"",MAX($L164,$M164)))</f>
        <v/>
      </c>
      <c r="O164" s="44" t="str">
        <f aca="false">IF(OR($B164="",$H164=""),"",IF($N164="",IF(EDATE($H164,DelaiPremierEPP)&gt;DateRef,"1er EPP (1re année)","Aucun entretien renseigné"),IF(AND(ReglesTransitoires="Oui",EDATE($N164,AnciennePeriodiciteEP*12)&lt;DateVigueur),"Retard antérieur à la réforme","Périodicité "&amp;PeriodiciteEPP&amp;" ans")))</f>
        <v/>
      </c>
      <c r="P164" s="43" t="str">
        <f aca="false">IF(OR($B164="",$H164=""),"",IF($N164="",EDATE($H164,DelaiPremierEPP),IF(AND(ReglesTransitoires="Oui",EDATE($N164,AnciennePeriodiciteEP*12)&lt;DateVigueur),EDATE($N164,AnciennePeriodiciteEP*12),EDATE($N164,PeriodiciteEPP*12))))</f>
        <v/>
      </c>
      <c r="Q164" s="40"/>
      <c r="R164" s="45" t="str">
        <f aca="false">IF(OR($P164="",AND($I164&lt;&gt;"",$I164&lt;=DateRef)),"",$P164-DateRef)</f>
        <v/>
      </c>
      <c r="S164" s="42" t="str">
        <f aca="false">IF($B164="","",IF(AND($I164&lt;&gt;"",$I164&lt;=DateRef),"Sorti",IF($H164="","À compléter",IF(AND($Q164&lt;&gt;"",$Q164&gt;=DateRef,$Q164&lt;=$P164),"Planifié",IF($R164&lt;0,"En retard",IF($R164&lt;=SeuilAlerteEPP,"À planifier","À jour"))))))</f>
        <v/>
      </c>
      <c r="T164" s="46" t="str">
        <f aca="false">IF(OR($B164="",$S164="Sorti"),"",MID(IF($H164=""," | Date d'embauche manquante","")&amp;IF(AND($K164="Plus d'un an",$N164="")," | Précédent entretien à renseigner (ancienneté &gt; 1 an)","")&amp;IF($O164="Retard antérieur à la réforme"," | Ancien délai de 2 ans expiré avant la réforme","")&amp;IF(AND($N164&lt;&gt;"",$H164&lt;&gt;"",$N164&lt;$H164)," | Entretien antérieur à l'embauche ?","")&amp;IF(AND($N164&lt;&gt;"",$N164&gt;DateRef)," | Entretien daté dans le futur ?","")&amp;IF(AND($Q164&lt;&gt;"",$P164&lt;&gt;"",$Q164&gt;$P164)," | Date prévue après l'échéance","")&amp;IF(AND($Q164&lt;&gt;"",$Q164&lt;DateRef,OR($N164="",$N164&lt;$Q164))," | Entretien prévu passé : le consigner au Journal","")&amp;IF(AND($G164&lt;&gt;"",$X164="",YEAR(DateRef)-YEAR($G164)&gt;=AgeMiCarriere-1,YEAR(DateRef)-YEAR($G164)&lt;=AgeMiCarriere+1)," | Visite de mi-carrière à vérifier",""),4,1000))</f>
        <v/>
      </c>
      <c r="U164" s="39"/>
      <c r="V164" s="40"/>
      <c r="W164" s="42" t="str">
        <f aca="false">IF(OR($B164="",$V164=""),"",IF(AND($I164&lt;&gt;"",$I164&lt;=DateRef),"",IF(AND($N164&lt;&gt;"",$N164&gt;=$V164),"Réalisé",IF(AND($N164&lt;&gt;"",$N164&gt;=EDATE($V164,-FenetreRetour)),"Dispensé (EPP récent)",IF($V164&gt;DateRef,"À prévoir à la reprise","À proposer (reprise passée)")))))</f>
        <v/>
      </c>
      <c r="X164" s="40"/>
      <c r="Y164" s="43" t="str">
        <f aca="false">IF(OR($B164="",$X164=""),"",EDATE($X164,DelaiMiCarriere))</f>
        <v/>
      </c>
      <c r="Z164" s="42" t="str">
        <f aca="false">IF(OR($B164="",$X164=""),"",IF(AND($I164&lt;&gt;"",$I164&lt;=DateRef),"",IF(AND($N164&lt;&gt;"",$N164&gt;=$X164),"Réalisé",IF($Y164&lt;DateRef,"En retard","À planifier"))))</f>
        <v/>
      </c>
      <c r="AA164" s="47" t="str">
        <f aca="false">IF(OR($B164="",$G164=""),"",IF($G164&gt;DateRef,"",DATEDIF($G164,DateRef,"y")))</f>
        <v/>
      </c>
      <c r="AB164" s="43" t="str">
        <f aca="false">IF(OR($B164="",$G164=""),"",EDATE($G164,AgeFinCarriere*12))</f>
        <v/>
      </c>
      <c r="AC164" s="42" t="str">
        <f aca="false">IF(OR($B164="",$G164="",$H164=""),"",IF(AND($I164&lt;&gt;"",$I164&lt;=DateRef),"",IF($AB164&lt;DateVigueur,"Non concerné",IF(AND($N164&lt;&gt;"",$N164&gt;=MAX(EDATE($AB164,-FenetreFinCarriere*12),DateVigueur),$N164&lt;=$AB164),"Réalisé",IF(DateRef&gt;$AB164,"Non réalisé",IF(AND($Q164&lt;&gt;"",$Q164&gt;=EDATE($AB164,-FenetreFinCarriere*12),$Q164&lt;=$AB164),"Planifié dans la fenêtre",IF(AND(MAX($P164,DateRef)&gt;=EDATE($AB164,-FenetreFinCarriere*12),MAX($P164,DateRef)&lt;=$AB164),"Prochain EPP dans la fenêtre",IF(MAX($P164,DateRef)&gt;$AB164,"À programmer avant 60 ans",""))))))))</f>
        <v/>
      </c>
      <c r="AD164" s="40"/>
      <c r="AE164" s="43" t="str">
        <f aca="false">IF(OR($B164="",$H164="",AND($I164&lt;&gt;"",$I164&lt;=DateRef)),"",MAX($H164,$AD164,IF($A164="",0,SUMPRODUCT(MAX((Journal!$A$6:$A$1005=$A164)*((Journal!$D$6:$D$1005=TypeEDL)+(Journal!$D$6:$D$1005=TypeBilan6))*Journal!$C$6:$C$1005)))))</f>
        <v/>
      </c>
      <c r="AF164" s="43" t="str">
        <f aca="false">IF($AE164="","",IF(AND(ReglesTransitoires="Oui",EDATE($AE164,AnciennePeriodiciteEDL*12)&lt;DateVigueur),EDATE($AE164,AnciennePeriodiciteEDL*12),EDATE($AE164,PeriodiciteEDL*12)))</f>
        <v/>
      </c>
      <c r="AG164" s="42" t="str">
        <f aca="false">IF($AF164="","",IF(AND($I164&lt;&gt;"",$I164&lt;=DateRef),"",IF($AF164&lt;DateRef,"En retard",IF($AF164-DateRef&lt;=SeuilAlerteEDL,"À prévoir","À jour"))))</f>
        <v/>
      </c>
      <c r="AH164" s="39"/>
      <c r="AI164" s="39"/>
      <c r="AJ164" s="42" t="str">
        <f aca="false">IF(OR($B164="",$H164=""),"",IF(AND($I164&lt;&gt;"",$I164&lt;=DateRef),"",IF(Effectif&lt;SeuilEffectif,"Non concerné (&lt; "&amp;SeuilEffectif&amp;" salariés)",IF($AH164="Oui","Pas de risque",IF(AND(OR($AI164="Non",$S164="En retard"),$AH164="Non"),"Risque abondement",IF(OR($AI164="Non",$S164="En retard"),"À vérifier (formation ?)",IF($AI164="Oui","Pas de risque","À compléter")))))))</f>
        <v/>
      </c>
      <c r="AK164" s="39"/>
    </row>
    <row r="165" customFormat="false" ht="15" hidden="false" customHeight="false" outlineLevel="0" collapsed="false">
      <c r="A165" s="39"/>
      <c r="B165" s="39"/>
      <c r="C165" s="39"/>
      <c r="D165" s="39"/>
      <c r="E165" s="39"/>
      <c r="F165" s="39"/>
      <c r="G165" s="40"/>
      <c r="H165" s="40"/>
      <c r="I165" s="40"/>
      <c r="J165" s="41" t="str">
        <f aca="false">IF(OR($B165="",$H165=""),"",IF($H165&gt;DateRef,0,YEARFRAC($H165,DateRef,1)))</f>
        <v/>
      </c>
      <c r="K165" s="42" t="str">
        <f aca="false">IF(OR($B165="",$H165=""),"",IF(EDATE($H165,12)&lt;=DateRef,"Plus d'un an","Moins d'un an"))</f>
        <v/>
      </c>
      <c r="L165" s="40"/>
      <c r="M165" s="43" t="str">
        <f aca="false">IF(OR($B165="",$A165=""),"",IF(SUMPRODUCT(MAX((Journal!$A$6:$A$1005=$A165)*Journal!$C$6:$C$1005))=0,"",SUMPRODUCT(MAX((Journal!$A$6:$A$1005=$A165)*Journal!$C$6:$C$1005))))</f>
        <v/>
      </c>
      <c r="N165" s="43" t="str">
        <f aca="false">IF($B165="","",IF(MAX($L165,$M165)=0,"",MAX($L165,$M165)))</f>
        <v/>
      </c>
      <c r="O165" s="44" t="str">
        <f aca="false">IF(OR($B165="",$H165=""),"",IF($N165="",IF(EDATE($H165,DelaiPremierEPP)&gt;DateRef,"1er EPP (1re année)","Aucun entretien renseigné"),IF(AND(ReglesTransitoires="Oui",EDATE($N165,AnciennePeriodiciteEP*12)&lt;DateVigueur),"Retard antérieur à la réforme","Périodicité "&amp;PeriodiciteEPP&amp;" ans")))</f>
        <v/>
      </c>
      <c r="P165" s="43" t="str">
        <f aca="false">IF(OR($B165="",$H165=""),"",IF($N165="",EDATE($H165,DelaiPremierEPP),IF(AND(ReglesTransitoires="Oui",EDATE($N165,AnciennePeriodiciteEP*12)&lt;DateVigueur),EDATE($N165,AnciennePeriodiciteEP*12),EDATE($N165,PeriodiciteEPP*12))))</f>
        <v/>
      </c>
      <c r="Q165" s="40"/>
      <c r="R165" s="45" t="str">
        <f aca="false">IF(OR($P165="",AND($I165&lt;&gt;"",$I165&lt;=DateRef)),"",$P165-DateRef)</f>
        <v/>
      </c>
      <c r="S165" s="42" t="str">
        <f aca="false">IF($B165="","",IF(AND($I165&lt;&gt;"",$I165&lt;=DateRef),"Sorti",IF($H165="","À compléter",IF(AND($Q165&lt;&gt;"",$Q165&gt;=DateRef,$Q165&lt;=$P165),"Planifié",IF($R165&lt;0,"En retard",IF($R165&lt;=SeuilAlerteEPP,"À planifier","À jour"))))))</f>
        <v/>
      </c>
      <c r="T165" s="46" t="str">
        <f aca="false">IF(OR($B165="",$S165="Sorti"),"",MID(IF($H165=""," | Date d'embauche manquante","")&amp;IF(AND($K165="Plus d'un an",$N165="")," | Précédent entretien à renseigner (ancienneté &gt; 1 an)","")&amp;IF($O165="Retard antérieur à la réforme"," | Ancien délai de 2 ans expiré avant la réforme","")&amp;IF(AND($N165&lt;&gt;"",$H165&lt;&gt;"",$N165&lt;$H165)," | Entretien antérieur à l'embauche ?","")&amp;IF(AND($N165&lt;&gt;"",$N165&gt;DateRef)," | Entretien daté dans le futur ?","")&amp;IF(AND($Q165&lt;&gt;"",$P165&lt;&gt;"",$Q165&gt;$P165)," | Date prévue après l'échéance","")&amp;IF(AND($Q165&lt;&gt;"",$Q165&lt;DateRef,OR($N165="",$N165&lt;$Q165))," | Entretien prévu passé : le consigner au Journal","")&amp;IF(AND($G165&lt;&gt;"",$X165="",YEAR(DateRef)-YEAR($G165)&gt;=AgeMiCarriere-1,YEAR(DateRef)-YEAR($G165)&lt;=AgeMiCarriere+1)," | Visite de mi-carrière à vérifier",""),4,1000))</f>
        <v/>
      </c>
      <c r="U165" s="39"/>
      <c r="V165" s="40"/>
      <c r="W165" s="42" t="str">
        <f aca="false">IF(OR($B165="",$V165=""),"",IF(AND($I165&lt;&gt;"",$I165&lt;=DateRef),"",IF(AND($N165&lt;&gt;"",$N165&gt;=$V165),"Réalisé",IF(AND($N165&lt;&gt;"",$N165&gt;=EDATE($V165,-FenetreRetour)),"Dispensé (EPP récent)",IF($V165&gt;DateRef,"À prévoir à la reprise","À proposer (reprise passée)")))))</f>
        <v/>
      </c>
      <c r="X165" s="40"/>
      <c r="Y165" s="43" t="str">
        <f aca="false">IF(OR($B165="",$X165=""),"",EDATE($X165,DelaiMiCarriere))</f>
        <v/>
      </c>
      <c r="Z165" s="42" t="str">
        <f aca="false">IF(OR($B165="",$X165=""),"",IF(AND($I165&lt;&gt;"",$I165&lt;=DateRef),"",IF(AND($N165&lt;&gt;"",$N165&gt;=$X165),"Réalisé",IF($Y165&lt;DateRef,"En retard","À planifier"))))</f>
        <v/>
      </c>
      <c r="AA165" s="47" t="str">
        <f aca="false">IF(OR($B165="",$G165=""),"",IF($G165&gt;DateRef,"",DATEDIF($G165,DateRef,"y")))</f>
        <v/>
      </c>
      <c r="AB165" s="43" t="str">
        <f aca="false">IF(OR($B165="",$G165=""),"",EDATE($G165,AgeFinCarriere*12))</f>
        <v/>
      </c>
      <c r="AC165" s="42" t="str">
        <f aca="false">IF(OR($B165="",$G165="",$H165=""),"",IF(AND($I165&lt;&gt;"",$I165&lt;=DateRef),"",IF($AB165&lt;DateVigueur,"Non concerné",IF(AND($N165&lt;&gt;"",$N165&gt;=MAX(EDATE($AB165,-FenetreFinCarriere*12),DateVigueur),$N165&lt;=$AB165),"Réalisé",IF(DateRef&gt;$AB165,"Non réalisé",IF(AND($Q165&lt;&gt;"",$Q165&gt;=EDATE($AB165,-FenetreFinCarriere*12),$Q165&lt;=$AB165),"Planifié dans la fenêtre",IF(AND(MAX($P165,DateRef)&gt;=EDATE($AB165,-FenetreFinCarriere*12),MAX($P165,DateRef)&lt;=$AB165),"Prochain EPP dans la fenêtre",IF(MAX($P165,DateRef)&gt;$AB165,"À programmer avant 60 ans",""))))))))</f>
        <v/>
      </c>
      <c r="AD165" s="40"/>
      <c r="AE165" s="43" t="str">
        <f aca="false">IF(OR($B165="",$H165="",AND($I165&lt;&gt;"",$I165&lt;=DateRef)),"",MAX($H165,$AD165,IF($A165="",0,SUMPRODUCT(MAX((Journal!$A$6:$A$1005=$A165)*((Journal!$D$6:$D$1005=TypeEDL)+(Journal!$D$6:$D$1005=TypeBilan6))*Journal!$C$6:$C$1005)))))</f>
        <v/>
      </c>
      <c r="AF165" s="43" t="str">
        <f aca="false">IF($AE165="","",IF(AND(ReglesTransitoires="Oui",EDATE($AE165,AnciennePeriodiciteEDL*12)&lt;DateVigueur),EDATE($AE165,AnciennePeriodiciteEDL*12),EDATE($AE165,PeriodiciteEDL*12)))</f>
        <v/>
      </c>
      <c r="AG165" s="42" t="str">
        <f aca="false">IF($AF165="","",IF(AND($I165&lt;&gt;"",$I165&lt;=DateRef),"",IF($AF165&lt;DateRef,"En retard",IF($AF165-DateRef&lt;=SeuilAlerteEDL,"À prévoir","À jour"))))</f>
        <v/>
      </c>
      <c r="AH165" s="39"/>
      <c r="AI165" s="39"/>
      <c r="AJ165" s="42" t="str">
        <f aca="false">IF(OR($B165="",$H165=""),"",IF(AND($I165&lt;&gt;"",$I165&lt;=DateRef),"",IF(Effectif&lt;SeuilEffectif,"Non concerné (&lt; "&amp;SeuilEffectif&amp;" salariés)",IF($AH165="Oui","Pas de risque",IF(AND(OR($AI165="Non",$S165="En retard"),$AH165="Non"),"Risque abondement",IF(OR($AI165="Non",$S165="En retard"),"À vérifier (formation ?)",IF($AI165="Oui","Pas de risque","À compléter")))))))</f>
        <v/>
      </c>
      <c r="AK165" s="39"/>
    </row>
    <row r="166" customFormat="false" ht="15" hidden="false" customHeight="false" outlineLevel="0" collapsed="false">
      <c r="A166" s="39"/>
      <c r="B166" s="39"/>
      <c r="C166" s="39"/>
      <c r="D166" s="39"/>
      <c r="E166" s="39"/>
      <c r="F166" s="39"/>
      <c r="G166" s="40"/>
      <c r="H166" s="40"/>
      <c r="I166" s="40"/>
      <c r="J166" s="41" t="str">
        <f aca="false">IF(OR($B166="",$H166=""),"",IF($H166&gt;DateRef,0,YEARFRAC($H166,DateRef,1)))</f>
        <v/>
      </c>
      <c r="K166" s="42" t="str">
        <f aca="false">IF(OR($B166="",$H166=""),"",IF(EDATE($H166,12)&lt;=DateRef,"Plus d'un an","Moins d'un an"))</f>
        <v/>
      </c>
      <c r="L166" s="40"/>
      <c r="M166" s="43" t="str">
        <f aca="false">IF(OR($B166="",$A166=""),"",IF(SUMPRODUCT(MAX((Journal!$A$6:$A$1005=$A166)*Journal!$C$6:$C$1005))=0,"",SUMPRODUCT(MAX((Journal!$A$6:$A$1005=$A166)*Journal!$C$6:$C$1005))))</f>
        <v/>
      </c>
      <c r="N166" s="43" t="str">
        <f aca="false">IF($B166="","",IF(MAX($L166,$M166)=0,"",MAX($L166,$M166)))</f>
        <v/>
      </c>
      <c r="O166" s="44" t="str">
        <f aca="false">IF(OR($B166="",$H166=""),"",IF($N166="",IF(EDATE($H166,DelaiPremierEPP)&gt;DateRef,"1er EPP (1re année)","Aucun entretien renseigné"),IF(AND(ReglesTransitoires="Oui",EDATE($N166,AnciennePeriodiciteEP*12)&lt;DateVigueur),"Retard antérieur à la réforme","Périodicité "&amp;PeriodiciteEPP&amp;" ans")))</f>
        <v/>
      </c>
      <c r="P166" s="43" t="str">
        <f aca="false">IF(OR($B166="",$H166=""),"",IF($N166="",EDATE($H166,DelaiPremierEPP),IF(AND(ReglesTransitoires="Oui",EDATE($N166,AnciennePeriodiciteEP*12)&lt;DateVigueur),EDATE($N166,AnciennePeriodiciteEP*12),EDATE($N166,PeriodiciteEPP*12))))</f>
        <v/>
      </c>
      <c r="Q166" s="40"/>
      <c r="R166" s="45" t="str">
        <f aca="false">IF(OR($P166="",AND($I166&lt;&gt;"",$I166&lt;=DateRef)),"",$P166-DateRef)</f>
        <v/>
      </c>
      <c r="S166" s="42" t="str">
        <f aca="false">IF($B166="","",IF(AND($I166&lt;&gt;"",$I166&lt;=DateRef),"Sorti",IF($H166="","À compléter",IF(AND($Q166&lt;&gt;"",$Q166&gt;=DateRef,$Q166&lt;=$P166),"Planifié",IF($R166&lt;0,"En retard",IF($R166&lt;=SeuilAlerteEPP,"À planifier","À jour"))))))</f>
        <v/>
      </c>
      <c r="T166" s="46" t="str">
        <f aca="false">IF(OR($B166="",$S166="Sorti"),"",MID(IF($H166=""," | Date d'embauche manquante","")&amp;IF(AND($K166="Plus d'un an",$N166="")," | Précédent entretien à renseigner (ancienneté &gt; 1 an)","")&amp;IF($O166="Retard antérieur à la réforme"," | Ancien délai de 2 ans expiré avant la réforme","")&amp;IF(AND($N166&lt;&gt;"",$H166&lt;&gt;"",$N166&lt;$H166)," | Entretien antérieur à l'embauche ?","")&amp;IF(AND($N166&lt;&gt;"",$N166&gt;DateRef)," | Entretien daté dans le futur ?","")&amp;IF(AND($Q166&lt;&gt;"",$P166&lt;&gt;"",$Q166&gt;$P166)," | Date prévue après l'échéance","")&amp;IF(AND($Q166&lt;&gt;"",$Q166&lt;DateRef,OR($N166="",$N166&lt;$Q166))," | Entretien prévu passé : le consigner au Journal","")&amp;IF(AND($G166&lt;&gt;"",$X166="",YEAR(DateRef)-YEAR($G166)&gt;=AgeMiCarriere-1,YEAR(DateRef)-YEAR($G166)&lt;=AgeMiCarriere+1)," | Visite de mi-carrière à vérifier",""),4,1000))</f>
        <v/>
      </c>
      <c r="U166" s="39"/>
      <c r="V166" s="40"/>
      <c r="W166" s="42" t="str">
        <f aca="false">IF(OR($B166="",$V166=""),"",IF(AND($I166&lt;&gt;"",$I166&lt;=DateRef),"",IF(AND($N166&lt;&gt;"",$N166&gt;=$V166),"Réalisé",IF(AND($N166&lt;&gt;"",$N166&gt;=EDATE($V166,-FenetreRetour)),"Dispensé (EPP récent)",IF($V166&gt;DateRef,"À prévoir à la reprise","À proposer (reprise passée)")))))</f>
        <v/>
      </c>
      <c r="X166" s="40"/>
      <c r="Y166" s="43" t="str">
        <f aca="false">IF(OR($B166="",$X166=""),"",EDATE($X166,DelaiMiCarriere))</f>
        <v/>
      </c>
      <c r="Z166" s="42" t="str">
        <f aca="false">IF(OR($B166="",$X166=""),"",IF(AND($I166&lt;&gt;"",$I166&lt;=DateRef),"",IF(AND($N166&lt;&gt;"",$N166&gt;=$X166),"Réalisé",IF($Y166&lt;DateRef,"En retard","À planifier"))))</f>
        <v/>
      </c>
      <c r="AA166" s="47" t="str">
        <f aca="false">IF(OR($B166="",$G166=""),"",IF($G166&gt;DateRef,"",DATEDIF($G166,DateRef,"y")))</f>
        <v/>
      </c>
      <c r="AB166" s="43" t="str">
        <f aca="false">IF(OR($B166="",$G166=""),"",EDATE($G166,AgeFinCarriere*12))</f>
        <v/>
      </c>
      <c r="AC166" s="42" t="str">
        <f aca="false">IF(OR($B166="",$G166="",$H166=""),"",IF(AND($I166&lt;&gt;"",$I166&lt;=DateRef),"",IF($AB166&lt;DateVigueur,"Non concerné",IF(AND($N166&lt;&gt;"",$N166&gt;=MAX(EDATE($AB166,-FenetreFinCarriere*12),DateVigueur),$N166&lt;=$AB166),"Réalisé",IF(DateRef&gt;$AB166,"Non réalisé",IF(AND($Q166&lt;&gt;"",$Q166&gt;=EDATE($AB166,-FenetreFinCarriere*12),$Q166&lt;=$AB166),"Planifié dans la fenêtre",IF(AND(MAX($P166,DateRef)&gt;=EDATE($AB166,-FenetreFinCarriere*12),MAX($P166,DateRef)&lt;=$AB166),"Prochain EPP dans la fenêtre",IF(MAX($P166,DateRef)&gt;$AB166,"À programmer avant 60 ans",""))))))))</f>
        <v/>
      </c>
      <c r="AD166" s="40"/>
      <c r="AE166" s="43" t="str">
        <f aca="false">IF(OR($B166="",$H166="",AND($I166&lt;&gt;"",$I166&lt;=DateRef)),"",MAX($H166,$AD166,IF($A166="",0,SUMPRODUCT(MAX((Journal!$A$6:$A$1005=$A166)*((Journal!$D$6:$D$1005=TypeEDL)+(Journal!$D$6:$D$1005=TypeBilan6))*Journal!$C$6:$C$1005)))))</f>
        <v/>
      </c>
      <c r="AF166" s="43" t="str">
        <f aca="false">IF($AE166="","",IF(AND(ReglesTransitoires="Oui",EDATE($AE166,AnciennePeriodiciteEDL*12)&lt;DateVigueur),EDATE($AE166,AnciennePeriodiciteEDL*12),EDATE($AE166,PeriodiciteEDL*12)))</f>
        <v/>
      </c>
      <c r="AG166" s="42" t="str">
        <f aca="false">IF($AF166="","",IF(AND($I166&lt;&gt;"",$I166&lt;=DateRef),"",IF($AF166&lt;DateRef,"En retard",IF($AF166-DateRef&lt;=SeuilAlerteEDL,"À prévoir","À jour"))))</f>
        <v/>
      </c>
      <c r="AH166" s="39"/>
      <c r="AI166" s="39"/>
      <c r="AJ166" s="42" t="str">
        <f aca="false">IF(OR($B166="",$H166=""),"",IF(AND($I166&lt;&gt;"",$I166&lt;=DateRef),"",IF(Effectif&lt;SeuilEffectif,"Non concerné (&lt; "&amp;SeuilEffectif&amp;" salariés)",IF($AH166="Oui","Pas de risque",IF(AND(OR($AI166="Non",$S166="En retard"),$AH166="Non"),"Risque abondement",IF(OR($AI166="Non",$S166="En retard"),"À vérifier (formation ?)",IF($AI166="Oui","Pas de risque","À compléter")))))))</f>
        <v/>
      </c>
      <c r="AK166" s="39"/>
    </row>
    <row r="167" customFormat="false" ht="15" hidden="false" customHeight="false" outlineLevel="0" collapsed="false">
      <c r="A167" s="39"/>
      <c r="B167" s="39"/>
      <c r="C167" s="39"/>
      <c r="D167" s="39"/>
      <c r="E167" s="39"/>
      <c r="F167" s="39"/>
      <c r="G167" s="40"/>
      <c r="H167" s="40"/>
      <c r="I167" s="40"/>
      <c r="J167" s="41" t="str">
        <f aca="false">IF(OR($B167="",$H167=""),"",IF($H167&gt;DateRef,0,YEARFRAC($H167,DateRef,1)))</f>
        <v/>
      </c>
      <c r="K167" s="42" t="str">
        <f aca="false">IF(OR($B167="",$H167=""),"",IF(EDATE($H167,12)&lt;=DateRef,"Plus d'un an","Moins d'un an"))</f>
        <v/>
      </c>
      <c r="L167" s="40"/>
      <c r="M167" s="43" t="str">
        <f aca="false">IF(OR($B167="",$A167=""),"",IF(SUMPRODUCT(MAX((Journal!$A$6:$A$1005=$A167)*Journal!$C$6:$C$1005))=0,"",SUMPRODUCT(MAX((Journal!$A$6:$A$1005=$A167)*Journal!$C$6:$C$1005))))</f>
        <v/>
      </c>
      <c r="N167" s="43" t="str">
        <f aca="false">IF($B167="","",IF(MAX($L167,$M167)=0,"",MAX($L167,$M167)))</f>
        <v/>
      </c>
      <c r="O167" s="44" t="str">
        <f aca="false">IF(OR($B167="",$H167=""),"",IF($N167="",IF(EDATE($H167,DelaiPremierEPP)&gt;DateRef,"1er EPP (1re année)","Aucun entretien renseigné"),IF(AND(ReglesTransitoires="Oui",EDATE($N167,AnciennePeriodiciteEP*12)&lt;DateVigueur),"Retard antérieur à la réforme","Périodicité "&amp;PeriodiciteEPP&amp;" ans")))</f>
        <v/>
      </c>
      <c r="P167" s="43" t="str">
        <f aca="false">IF(OR($B167="",$H167=""),"",IF($N167="",EDATE($H167,DelaiPremierEPP),IF(AND(ReglesTransitoires="Oui",EDATE($N167,AnciennePeriodiciteEP*12)&lt;DateVigueur),EDATE($N167,AnciennePeriodiciteEP*12),EDATE($N167,PeriodiciteEPP*12))))</f>
        <v/>
      </c>
      <c r="Q167" s="40"/>
      <c r="R167" s="45" t="str">
        <f aca="false">IF(OR($P167="",AND($I167&lt;&gt;"",$I167&lt;=DateRef)),"",$P167-DateRef)</f>
        <v/>
      </c>
      <c r="S167" s="42" t="str">
        <f aca="false">IF($B167="","",IF(AND($I167&lt;&gt;"",$I167&lt;=DateRef),"Sorti",IF($H167="","À compléter",IF(AND($Q167&lt;&gt;"",$Q167&gt;=DateRef,$Q167&lt;=$P167),"Planifié",IF($R167&lt;0,"En retard",IF($R167&lt;=SeuilAlerteEPP,"À planifier","À jour"))))))</f>
        <v/>
      </c>
      <c r="T167" s="46" t="str">
        <f aca="false">IF(OR($B167="",$S167="Sorti"),"",MID(IF($H167=""," | Date d'embauche manquante","")&amp;IF(AND($K167="Plus d'un an",$N167="")," | Précédent entretien à renseigner (ancienneté &gt; 1 an)","")&amp;IF($O167="Retard antérieur à la réforme"," | Ancien délai de 2 ans expiré avant la réforme","")&amp;IF(AND($N167&lt;&gt;"",$H167&lt;&gt;"",$N167&lt;$H167)," | Entretien antérieur à l'embauche ?","")&amp;IF(AND($N167&lt;&gt;"",$N167&gt;DateRef)," | Entretien daté dans le futur ?","")&amp;IF(AND($Q167&lt;&gt;"",$P167&lt;&gt;"",$Q167&gt;$P167)," | Date prévue après l'échéance","")&amp;IF(AND($Q167&lt;&gt;"",$Q167&lt;DateRef,OR($N167="",$N167&lt;$Q167))," | Entretien prévu passé : le consigner au Journal","")&amp;IF(AND($G167&lt;&gt;"",$X167="",YEAR(DateRef)-YEAR($G167)&gt;=AgeMiCarriere-1,YEAR(DateRef)-YEAR($G167)&lt;=AgeMiCarriere+1)," | Visite de mi-carrière à vérifier",""),4,1000))</f>
        <v/>
      </c>
      <c r="U167" s="39"/>
      <c r="V167" s="40"/>
      <c r="W167" s="42" t="str">
        <f aca="false">IF(OR($B167="",$V167=""),"",IF(AND($I167&lt;&gt;"",$I167&lt;=DateRef),"",IF(AND($N167&lt;&gt;"",$N167&gt;=$V167),"Réalisé",IF(AND($N167&lt;&gt;"",$N167&gt;=EDATE($V167,-FenetreRetour)),"Dispensé (EPP récent)",IF($V167&gt;DateRef,"À prévoir à la reprise","À proposer (reprise passée)")))))</f>
        <v/>
      </c>
      <c r="X167" s="40"/>
      <c r="Y167" s="43" t="str">
        <f aca="false">IF(OR($B167="",$X167=""),"",EDATE($X167,DelaiMiCarriere))</f>
        <v/>
      </c>
      <c r="Z167" s="42" t="str">
        <f aca="false">IF(OR($B167="",$X167=""),"",IF(AND($I167&lt;&gt;"",$I167&lt;=DateRef),"",IF(AND($N167&lt;&gt;"",$N167&gt;=$X167),"Réalisé",IF($Y167&lt;DateRef,"En retard","À planifier"))))</f>
        <v/>
      </c>
      <c r="AA167" s="47" t="str">
        <f aca="false">IF(OR($B167="",$G167=""),"",IF($G167&gt;DateRef,"",DATEDIF($G167,DateRef,"y")))</f>
        <v/>
      </c>
      <c r="AB167" s="43" t="str">
        <f aca="false">IF(OR($B167="",$G167=""),"",EDATE($G167,AgeFinCarriere*12))</f>
        <v/>
      </c>
      <c r="AC167" s="42" t="str">
        <f aca="false">IF(OR($B167="",$G167="",$H167=""),"",IF(AND($I167&lt;&gt;"",$I167&lt;=DateRef),"",IF($AB167&lt;DateVigueur,"Non concerné",IF(AND($N167&lt;&gt;"",$N167&gt;=MAX(EDATE($AB167,-FenetreFinCarriere*12),DateVigueur),$N167&lt;=$AB167),"Réalisé",IF(DateRef&gt;$AB167,"Non réalisé",IF(AND($Q167&lt;&gt;"",$Q167&gt;=EDATE($AB167,-FenetreFinCarriere*12),$Q167&lt;=$AB167),"Planifié dans la fenêtre",IF(AND(MAX($P167,DateRef)&gt;=EDATE($AB167,-FenetreFinCarriere*12),MAX($P167,DateRef)&lt;=$AB167),"Prochain EPP dans la fenêtre",IF(MAX($P167,DateRef)&gt;$AB167,"À programmer avant 60 ans",""))))))))</f>
        <v/>
      </c>
      <c r="AD167" s="40"/>
      <c r="AE167" s="43" t="str">
        <f aca="false">IF(OR($B167="",$H167="",AND($I167&lt;&gt;"",$I167&lt;=DateRef)),"",MAX($H167,$AD167,IF($A167="",0,SUMPRODUCT(MAX((Journal!$A$6:$A$1005=$A167)*((Journal!$D$6:$D$1005=TypeEDL)+(Journal!$D$6:$D$1005=TypeBilan6))*Journal!$C$6:$C$1005)))))</f>
        <v/>
      </c>
      <c r="AF167" s="43" t="str">
        <f aca="false">IF($AE167="","",IF(AND(ReglesTransitoires="Oui",EDATE($AE167,AnciennePeriodiciteEDL*12)&lt;DateVigueur),EDATE($AE167,AnciennePeriodiciteEDL*12),EDATE($AE167,PeriodiciteEDL*12)))</f>
        <v/>
      </c>
      <c r="AG167" s="42" t="str">
        <f aca="false">IF($AF167="","",IF(AND($I167&lt;&gt;"",$I167&lt;=DateRef),"",IF($AF167&lt;DateRef,"En retard",IF($AF167-DateRef&lt;=SeuilAlerteEDL,"À prévoir","À jour"))))</f>
        <v/>
      </c>
      <c r="AH167" s="39"/>
      <c r="AI167" s="39"/>
      <c r="AJ167" s="42" t="str">
        <f aca="false">IF(OR($B167="",$H167=""),"",IF(AND($I167&lt;&gt;"",$I167&lt;=DateRef),"",IF(Effectif&lt;SeuilEffectif,"Non concerné (&lt; "&amp;SeuilEffectif&amp;" salariés)",IF($AH167="Oui","Pas de risque",IF(AND(OR($AI167="Non",$S167="En retard"),$AH167="Non"),"Risque abondement",IF(OR($AI167="Non",$S167="En retard"),"À vérifier (formation ?)",IF($AI167="Oui","Pas de risque","À compléter")))))))</f>
        <v/>
      </c>
      <c r="AK167" s="39"/>
    </row>
    <row r="168" customFormat="false" ht="15" hidden="false" customHeight="false" outlineLevel="0" collapsed="false">
      <c r="A168" s="39"/>
      <c r="B168" s="39"/>
      <c r="C168" s="39"/>
      <c r="D168" s="39"/>
      <c r="E168" s="39"/>
      <c r="F168" s="39"/>
      <c r="G168" s="40"/>
      <c r="H168" s="40"/>
      <c r="I168" s="40"/>
      <c r="J168" s="41" t="str">
        <f aca="false">IF(OR($B168="",$H168=""),"",IF($H168&gt;DateRef,0,YEARFRAC($H168,DateRef,1)))</f>
        <v/>
      </c>
      <c r="K168" s="42" t="str">
        <f aca="false">IF(OR($B168="",$H168=""),"",IF(EDATE($H168,12)&lt;=DateRef,"Plus d'un an","Moins d'un an"))</f>
        <v/>
      </c>
      <c r="L168" s="40"/>
      <c r="M168" s="43" t="str">
        <f aca="false">IF(OR($B168="",$A168=""),"",IF(SUMPRODUCT(MAX((Journal!$A$6:$A$1005=$A168)*Journal!$C$6:$C$1005))=0,"",SUMPRODUCT(MAX((Journal!$A$6:$A$1005=$A168)*Journal!$C$6:$C$1005))))</f>
        <v/>
      </c>
      <c r="N168" s="43" t="str">
        <f aca="false">IF($B168="","",IF(MAX($L168,$M168)=0,"",MAX($L168,$M168)))</f>
        <v/>
      </c>
      <c r="O168" s="44" t="str">
        <f aca="false">IF(OR($B168="",$H168=""),"",IF($N168="",IF(EDATE($H168,DelaiPremierEPP)&gt;DateRef,"1er EPP (1re année)","Aucun entretien renseigné"),IF(AND(ReglesTransitoires="Oui",EDATE($N168,AnciennePeriodiciteEP*12)&lt;DateVigueur),"Retard antérieur à la réforme","Périodicité "&amp;PeriodiciteEPP&amp;" ans")))</f>
        <v/>
      </c>
      <c r="P168" s="43" t="str">
        <f aca="false">IF(OR($B168="",$H168=""),"",IF($N168="",EDATE($H168,DelaiPremierEPP),IF(AND(ReglesTransitoires="Oui",EDATE($N168,AnciennePeriodiciteEP*12)&lt;DateVigueur),EDATE($N168,AnciennePeriodiciteEP*12),EDATE($N168,PeriodiciteEPP*12))))</f>
        <v/>
      </c>
      <c r="Q168" s="40"/>
      <c r="R168" s="45" t="str">
        <f aca="false">IF(OR($P168="",AND($I168&lt;&gt;"",$I168&lt;=DateRef)),"",$P168-DateRef)</f>
        <v/>
      </c>
      <c r="S168" s="42" t="str">
        <f aca="false">IF($B168="","",IF(AND($I168&lt;&gt;"",$I168&lt;=DateRef),"Sorti",IF($H168="","À compléter",IF(AND($Q168&lt;&gt;"",$Q168&gt;=DateRef,$Q168&lt;=$P168),"Planifié",IF($R168&lt;0,"En retard",IF($R168&lt;=SeuilAlerteEPP,"À planifier","À jour"))))))</f>
        <v/>
      </c>
      <c r="T168" s="46" t="str">
        <f aca="false">IF(OR($B168="",$S168="Sorti"),"",MID(IF($H168=""," | Date d'embauche manquante","")&amp;IF(AND($K168="Plus d'un an",$N168="")," | Précédent entretien à renseigner (ancienneté &gt; 1 an)","")&amp;IF($O168="Retard antérieur à la réforme"," | Ancien délai de 2 ans expiré avant la réforme","")&amp;IF(AND($N168&lt;&gt;"",$H168&lt;&gt;"",$N168&lt;$H168)," | Entretien antérieur à l'embauche ?","")&amp;IF(AND($N168&lt;&gt;"",$N168&gt;DateRef)," | Entretien daté dans le futur ?","")&amp;IF(AND($Q168&lt;&gt;"",$P168&lt;&gt;"",$Q168&gt;$P168)," | Date prévue après l'échéance","")&amp;IF(AND($Q168&lt;&gt;"",$Q168&lt;DateRef,OR($N168="",$N168&lt;$Q168))," | Entretien prévu passé : le consigner au Journal","")&amp;IF(AND($G168&lt;&gt;"",$X168="",YEAR(DateRef)-YEAR($G168)&gt;=AgeMiCarriere-1,YEAR(DateRef)-YEAR($G168)&lt;=AgeMiCarriere+1)," | Visite de mi-carrière à vérifier",""),4,1000))</f>
        <v/>
      </c>
      <c r="U168" s="39"/>
      <c r="V168" s="40"/>
      <c r="W168" s="42" t="str">
        <f aca="false">IF(OR($B168="",$V168=""),"",IF(AND($I168&lt;&gt;"",$I168&lt;=DateRef),"",IF(AND($N168&lt;&gt;"",$N168&gt;=$V168),"Réalisé",IF(AND($N168&lt;&gt;"",$N168&gt;=EDATE($V168,-FenetreRetour)),"Dispensé (EPP récent)",IF($V168&gt;DateRef,"À prévoir à la reprise","À proposer (reprise passée)")))))</f>
        <v/>
      </c>
      <c r="X168" s="40"/>
      <c r="Y168" s="43" t="str">
        <f aca="false">IF(OR($B168="",$X168=""),"",EDATE($X168,DelaiMiCarriere))</f>
        <v/>
      </c>
      <c r="Z168" s="42" t="str">
        <f aca="false">IF(OR($B168="",$X168=""),"",IF(AND($I168&lt;&gt;"",$I168&lt;=DateRef),"",IF(AND($N168&lt;&gt;"",$N168&gt;=$X168),"Réalisé",IF($Y168&lt;DateRef,"En retard","À planifier"))))</f>
        <v/>
      </c>
      <c r="AA168" s="47" t="str">
        <f aca="false">IF(OR($B168="",$G168=""),"",IF($G168&gt;DateRef,"",DATEDIF($G168,DateRef,"y")))</f>
        <v/>
      </c>
      <c r="AB168" s="43" t="str">
        <f aca="false">IF(OR($B168="",$G168=""),"",EDATE($G168,AgeFinCarriere*12))</f>
        <v/>
      </c>
      <c r="AC168" s="42" t="str">
        <f aca="false">IF(OR($B168="",$G168="",$H168=""),"",IF(AND($I168&lt;&gt;"",$I168&lt;=DateRef),"",IF($AB168&lt;DateVigueur,"Non concerné",IF(AND($N168&lt;&gt;"",$N168&gt;=MAX(EDATE($AB168,-FenetreFinCarriere*12),DateVigueur),$N168&lt;=$AB168),"Réalisé",IF(DateRef&gt;$AB168,"Non réalisé",IF(AND($Q168&lt;&gt;"",$Q168&gt;=EDATE($AB168,-FenetreFinCarriere*12),$Q168&lt;=$AB168),"Planifié dans la fenêtre",IF(AND(MAX($P168,DateRef)&gt;=EDATE($AB168,-FenetreFinCarriere*12),MAX($P168,DateRef)&lt;=$AB168),"Prochain EPP dans la fenêtre",IF(MAX($P168,DateRef)&gt;$AB168,"À programmer avant 60 ans",""))))))))</f>
        <v/>
      </c>
      <c r="AD168" s="40"/>
      <c r="AE168" s="43" t="str">
        <f aca="false">IF(OR($B168="",$H168="",AND($I168&lt;&gt;"",$I168&lt;=DateRef)),"",MAX($H168,$AD168,IF($A168="",0,SUMPRODUCT(MAX((Journal!$A$6:$A$1005=$A168)*((Journal!$D$6:$D$1005=TypeEDL)+(Journal!$D$6:$D$1005=TypeBilan6))*Journal!$C$6:$C$1005)))))</f>
        <v/>
      </c>
      <c r="AF168" s="43" t="str">
        <f aca="false">IF($AE168="","",IF(AND(ReglesTransitoires="Oui",EDATE($AE168,AnciennePeriodiciteEDL*12)&lt;DateVigueur),EDATE($AE168,AnciennePeriodiciteEDL*12),EDATE($AE168,PeriodiciteEDL*12)))</f>
        <v/>
      </c>
      <c r="AG168" s="42" t="str">
        <f aca="false">IF($AF168="","",IF(AND($I168&lt;&gt;"",$I168&lt;=DateRef),"",IF($AF168&lt;DateRef,"En retard",IF($AF168-DateRef&lt;=SeuilAlerteEDL,"À prévoir","À jour"))))</f>
        <v/>
      </c>
      <c r="AH168" s="39"/>
      <c r="AI168" s="39"/>
      <c r="AJ168" s="42" t="str">
        <f aca="false">IF(OR($B168="",$H168=""),"",IF(AND($I168&lt;&gt;"",$I168&lt;=DateRef),"",IF(Effectif&lt;SeuilEffectif,"Non concerné (&lt; "&amp;SeuilEffectif&amp;" salariés)",IF($AH168="Oui","Pas de risque",IF(AND(OR($AI168="Non",$S168="En retard"),$AH168="Non"),"Risque abondement",IF(OR($AI168="Non",$S168="En retard"),"À vérifier (formation ?)",IF($AI168="Oui","Pas de risque","À compléter")))))))</f>
        <v/>
      </c>
      <c r="AK168" s="39"/>
    </row>
    <row r="169" customFormat="false" ht="15" hidden="false" customHeight="false" outlineLevel="0" collapsed="false">
      <c r="A169" s="39"/>
      <c r="B169" s="39"/>
      <c r="C169" s="39"/>
      <c r="D169" s="39"/>
      <c r="E169" s="39"/>
      <c r="F169" s="39"/>
      <c r="G169" s="40"/>
      <c r="H169" s="40"/>
      <c r="I169" s="40"/>
      <c r="J169" s="41" t="str">
        <f aca="false">IF(OR($B169="",$H169=""),"",IF($H169&gt;DateRef,0,YEARFRAC($H169,DateRef,1)))</f>
        <v/>
      </c>
      <c r="K169" s="42" t="str">
        <f aca="false">IF(OR($B169="",$H169=""),"",IF(EDATE($H169,12)&lt;=DateRef,"Plus d'un an","Moins d'un an"))</f>
        <v/>
      </c>
      <c r="L169" s="40"/>
      <c r="M169" s="43" t="str">
        <f aca="false">IF(OR($B169="",$A169=""),"",IF(SUMPRODUCT(MAX((Journal!$A$6:$A$1005=$A169)*Journal!$C$6:$C$1005))=0,"",SUMPRODUCT(MAX((Journal!$A$6:$A$1005=$A169)*Journal!$C$6:$C$1005))))</f>
        <v/>
      </c>
      <c r="N169" s="43" t="str">
        <f aca="false">IF($B169="","",IF(MAX($L169,$M169)=0,"",MAX($L169,$M169)))</f>
        <v/>
      </c>
      <c r="O169" s="44" t="str">
        <f aca="false">IF(OR($B169="",$H169=""),"",IF($N169="",IF(EDATE($H169,DelaiPremierEPP)&gt;DateRef,"1er EPP (1re année)","Aucun entretien renseigné"),IF(AND(ReglesTransitoires="Oui",EDATE($N169,AnciennePeriodiciteEP*12)&lt;DateVigueur),"Retard antérieur à la réforme","Périodicité "&amp;PeriodiciteEPP&amp;" ans")))</f>
        <v/>
      </c>
      <c r="P169" s="43" t="str">
        <f aca="false">IF(OR($B169="",$H169=""),"",IF($N169="",EDATE($H169,DelaiPremierEPP),IF(AND(ReglesTransitoires="Oui",EDATE($N169,AnciennePeriodiciteEP*12)&lt;DateVigueur),EDATE($N169,AnciennePeriodiciteEP*12),EDATE($N169,PeriodiciteEPP*12))))</f>
        <v/>
      </c>
      <c r="Q169" s="40"/>
      <c r="R169" s="45" t="str">
        <f aca="false">IF(OR($P169="",AND($I169&lt;&gt;"",$I169&lt;=DateRef)),"",$P169-DateRef)</f>
        <v/>
      </c>
      <c r="S169" s="42" t="str">
        <f aca="false">IF($B169="","",IF(AND($I169&lt;&gt;"",$I169&lt;=DateRef),"Sorti",IF($H169="","À compléter",IF(AND($Q169&lt;&gt;"",$Q169&gt;=DateRef,$Q169&lt;=$P169),"Planifié",IF($R169&lt;0,"En retard",IF($R169&lt;=SeuilAlerteEPP,"À planifier","À jour"))))))</f>
        <v/>
      </c>
      <c r="T169" s="46" t="str">
        <f aca="false">IF(OR($B169="",$S169="Sorti"),"",MID(IF($H169=""," | Date d'embauche manquante","")&amp;IF(AND($K169="Plus d'un an",$N169="")," | Précédent entretien à renseigner (ancienneté &gt; 1 an)","")&amp;IF($O169="Retard antérieur à la réforme"," | Ancien délai de 2 ans expiré avant la réforme","")&amp;IF(AND($N169&lt;&gt;"",$H169&lt;&gt;"",$N169&lt;$H169)," | Entretien antérieur à l'embauche ?","")&amp;IF(AND($N169&lt;&gt;"",$N169&gt;DateRef)," | Entretien daté dans le futur ?","")&amp;IF(AND($Q169&lt;&gt;"",$P169&lt;&gt;"",$Q169&gt;$P169)," | Date prévue après l'échéance","")&amp;IF(AND($Q169&lt;&gt;"",$Q169&lt;DateRef,OR($N169="",$N169&lt;$Q169))," | Entretien prévu passé : le consigner au Journal","")&amp;IF(AND($G169&lt;&gt;"",$X169="",YEAR(DateRef)-YEAR($G169)&gt;=AgeMiCarriere-1,YEAR(DateRef)-YEAR($G169)&lt;=AgeMiCarriere+1)," | Visite de mi-carrière à vérifier",""),4,1000))</f>
        <v/>
      </c>
      <c r="U169" s="39"/>
      <c r="V169" s="40"/>
      <c r="W169" s="42" t="str">
        <f aca="false">IF(OR($B169="",$V169=""),"",IF(AND($I169&lt;&gt;"",$I169&lt;=DateRef),"",IF(AND($N169&lt;&gt;"",$N169&gt;=$V169),"Réalisé",IF(AND($N169&lt;&gt;"",$N169&gt;=EDATE($V169,-FenetreRetour)),"Dispensé (EPP récent)",IF($V169&gt;DateRef,"À prévoir à la reprise","À proposer (reprise passée)")))))</f>
        <v/>
      </c>
      <c r="X169" s="40"/>
      <c r="Y169" s="43" t="str">
        <f aca="false">IF(OR($B169="",$X169=""),"",EDATE($X169,DelaiMiCarriere))</f>
        <v/>
      </c>
      <c r="Z169" s="42" t="str">
        <f aca="false">IF(OR($B169="",$X169=""),"",IF(AND($I169&lt;&gt;"",$I169&lt;=DateRef),"",IF(AND($N169&lt;&gt;"",$N169&gt;=$X169),"Réalisé",IF($Y169&lt;DateRef,"En retard","À planifier"))))</f>
        <v/>
      </c>
      <c r="AA169" s="47" t="str">
        <f aca="false">IF(OR($B169="",$G169=""),"",IF($G169&gt;DateRef,"",DATEDIF($G169,DateRef,"y")))</f>
        <v/>
      </c>
      <c r="AB169" s="43" t="str">
        <f aca="false">IF(OR($B169="",$G169=""),"",EDATE($G169,AgeFinCarriere*12))</f>
        <v/>
      </c>
      <c r="AC169" s="42" t="str">
        <f aca="false">IF(OR($B169="",$G169="",$H169=""),"",IF(AND($I169&lt;&gt;"",$I169&lt;=DateRef),"",IF($AB169&lt;DateVigueur,"Non concerné",IF(AND($N169&lt;&gt;"",$N169&gt;=MAX(EDATE($AB169,-FenetreFinCarriere*12),DateVigueur),$N169&lt;=$AB169),"Réalisé",IF(DateRef&gt;$AB169,"Non réalisé",IF(AND($Q169&lt;&gt;"",$Q169&gt;=EDATE($AB169,-FenetreFinCarriere*12),$Q169&lt;=$AB169),"Planifié dans la fenêtre",IF(AND(MAX($P169,DateRef)&gt;=EDATE($AB169,-FenetreFinCarriere*12),MAX($P169,DateRef)&lt;=$AB169),"Prochain EPP dans la fenêtre",IF(MAX($P169,DateRef)&gt;$AB169,"À programmer avant 60 ans",""))))))))</f>
        <v/>
      </c>
      <c r="AD169" s="40"/>
      <c r="AE169" s="43" t="str">
        <f aca="false">IF(OR($B169="",$H169="",AND($I169&lt;&gt;"",$I169&lt;=DateRef)),"",MAX($H169,$AD169,IF($A169="",0,SUMPRODUCT(MAX((Journal!$A$6:$A$1005=$A169)*((Journal!$D$6:$D$1005=TypeEDL)+(Journal!$D$6:$D$1005=TypeBilan6))*Journal!$C$6:$C$1005)))))</f>
        <v/>
      </c>
      <c r="AF169" s="43" t="str">
        <f aca="false">IF($AE169="","",IF(AND(ReglesTransitoires="Oui",EDATE($AE169,AnciennePeriodiciteEDL*12)&lt;DateVigueur),EDATE($AE169,AnciennePeriodiciteEDL*12),EDATE($AE169,PeriodiciteEDL*12)))</f>
        <v/>
      </c>
      <c r="AG169" s="42" t="str">
        <f aca="false">IF($AF169="","",IF(AND($I169&lt;&gt;"",$I169&lt;=DateRef),"",IF($AF169&lt;DateRef,"En retard",IF($AF169-DateRef&lt;=SeuilAlerteEDL,"À prévoir","À jour"))))</f>
        <v/>
      </c>
      <c r="AH169" s="39"/>
      <c r="AI169" s="39"/>
      <c r="AJ169" s="42" t="str">
        <f aca="false">IF(OR($B169="",$H169=""),"",IF(AND($I169&lt;&gt;"",$I169&lt;=DateRef),"",IF(Effectif&lt;SeuilEffectif,"Non concerné (&lt; "&amp;SeuilEffectif&amp;" salariés)",IF($AH169="Oui","Pas de risque",IF(AND(OR($AI169="Non",$S169="En retard"),$AH169="Non"),"Risque abondement",IF(OR($AI169="Non",$S169="En retard"),"À vérifier (formation ?)",IF($AI169="Oui","Pas de risque","À compléter")))))))</f>
        <v/>
      </c>
      <c r="AK169" s="39"/>
    </row>
    <row r="170" customFormat="false" ht="15" hidden="false" customHeight="false" outlineLevel="0" collapsed="false">
      <c r="A170" s="39"/>
      <c r="B170" s="39"/>
      <c r="C170" s="39"/>
      <c r="D170" s="39"/>
      <c r="E170" s="39"/>
      <c r="F170" s="39"/>
      <c r="G170" s="40"/>
      <c r="H170" s="40"/>
      <c r="I170" s="40"/>
      <c r="J170" s="41" t="str">
        <f aca="false">IF(OR($B170="",$H170=""),"",IF($H170&gt;DateRef,0,YEARFRAC($H170,DateRef,1)))</f>
        <v/>
      </c>
      <c r="K170" s="42" t="str">
        <f aca="false">IF(OR($B170="",$H170=""),"",IF(EDATE($H170,12)&lt;=DateRef,"Plus d'un an","Moins d'un an"))</f>
        <v/>
      </c>
      <c r="L170" s="40"/>
      <c r="M170" s="43" t="str">
        <f aca="false">IF(OR($B170="",$A170=""),"",IF(SUMPRODUCT(MAX((Journal!$A$6:$A$1005=$A170)*Journal!$C$6:$C$1005))=0,"",SUMPRODUCT(MAX((Journal!$A$6:$A$1005=$A170)*Journal!$C$6:$C$1005))))</f>
        <v/>
      </c>
      <c r="N170" s="43" t="str">
        <f aca="false">IF($B170="","",IF(MAX($L170,$M170)=0,"",MAX($L170,$M170)))</f>
        <v/>
      </c>
      <c r="O170" s="44" t="str">
        <f aca="false">IF(OR($B170="",$H170=""),"",IF($N170="",IF(EDATE($H170,DelaiPremierEPP)&gt;DateRef,"1er EPP (1re année)","Aucun entretien renseigné"),IF(AND(ReglesTransitoires="Oui",EDATE($N170,AnciennePeriodiciteEP*12)&lt;DateVigueur),"Retard antérieur à la réforme","Périodicité "&amp;PeriodiciteEPP&amp;" ans")))</f>
        <v/>
      </c>
      <c r="P170" s="43" t="str">
        <f aca="false">IF(OR($B170="",$H170=""),"",IF($N170="",EDATE($H170,DelaiPremierEPP),IF(AND(ReglesTransitoires="Oui",EDATE($N170,AnciennePeriodiciteEP*12)&lt;DateVigueur),EDATE($N170,AnciennePeriodiciteEP*12),EDATE($N170,PeriodiciteEPP*12))))</f>
        <v/>
      </c>
      <c r="Q170" s="40"/>
      <c r="R170" s="45" t="str">
        <f aca="false">IF(OR($P170="",AND($I170&lt;&gt;"",$I170&lt;=DateRef)),"",$P170-DateRef)</f>
        <v/>
      </c>
      <c r="S170" s="42" t="str">
        <f aca="false">IF($B170="","",IF(AND($I170&lt;&gt;"",$I170&lt;=DateRef),"Sorti",IF($H170="","À compléter",IF(AND($Q170&lt;&gt;"",$Q170&gt;=DateRef,$Q170&lt;=$P170),"Planifié",IF($R170&lt;0,"En retard",IF($R170&lt;=SeuilAlerteEPP,"À planifier","À jour"))))))</f>
        <v/>
      </c>
      <c r="T170" s="46" t="str">
        <f aca="false">IF(OR($B170="",$S170="Sorti"),"",MID(IF($H170=""," | Date d'embauche manquante","")&amp;IF(AND($K170="Plus d'un an",$N170="")," | Précédent entretien à renseigner (ancienneté &gt; 1 an)","")&amp;IF($O170="Retard antérieur à la réforme"," | Ancien délai de 2 ans expiré avant la réforme","")&amp;IF(AND($N170&lt;&gt;"",$H170&lt;&gt;"",$N170&lt;$H170)," | Entretien antérieur à l'embauche ?","")&amp;IF(AND($N170&lt;&gt;"",$N170&gt;DateRef)," | Entretien daté dans le futur ?","")&amp;IF(AND($Q170&lt;&gt;"",$P170&lt;&gt;"",$Q170&gt;$P170)," | Date prévue après l'échéance","")&amp;IF(AND($Q170&lt;&gt;"",$Q170&lt;DateRef,OR($N170="",$N170&lt;$Q170))," | Entretien prévu passé : le consigner au Journal","")&amp;IF(AND($G170&lt;&gt;"",$X170="",YEAR(DateRef)-YEAR($G170)&gt;=AgeMiCarriere-1,YEAR(DateRef)-YEAR($G170)&lt;=AgeMiCarriere+1)," | Visite de mi-carrière à vérifier",""),4,1000))</f>
        <v/>
      </c>
      <c r="U170" s="39"/>
      <c r="V170" s="40"/>
      <c r="W170" s="42" t="str">
        <f aca="false">IF(OR($B170="",$V170=""),"",IF(AND($I170&lt;&gt;"",$I170&lt;=DateRef),"",IF(AND($N170&lt;&gt;"",$N170&gt;=$V170),"Réalisé",IF(AND($N170&lt;&gt;"",$N170&gt;=EDATE($V170,-FenetreRetour)),"Dispensé (EPP récent)",IF($V170&gt;DateRef,"À prévoir à la reprise","À proposer (reprise passée)")))))</f>
        <v/>
      </c>
      <c r="X170" s="40"/>
      <c r="Y170" s="43" t="str">
        <f aca="false">IF(OR($B170="",$X170=""),"",EDATE($X170,DelaiMiCarriere))</f>
        <v/>
      </c>
      <c r="Z170" s="42" t="str">
        <f aca="false">IF(OR($B170="",$X170=""),"",IF(AND($I170&lt;&gt;"",$I170&lt;=DateRef),"",IF(AND($N170&lt;&gt;"",$N170&gt;=$X170),"Réalisé",IF($Y170&lt;DateRef,"En retard","À planifier"))))</f>
        <v/>
      </c>
      <c r="AA170" s="47" t="str">
        <f aca="false">IF(OR($B170="",$G170=""),"",IF($G170&gt;DateRef,"",DATEDIF($G170,DateRef,"y")))</f>
        <v/>
      </c>
      <c r="AB170" s="43" t="str">
        <f aca="false">IF(OR($B170="",$G170=""),"",EDATE($G170,AgeFinCarriere*12))</f>
        <v/>
      </c>
      <c r="AC170" s="42" t="str">
        <f aca="false">IF(OR($B170="",$G170="",$H170=""),"",IF(AND($I170&lt;&gt;"",$I170&lt;=DateRef),"",IF($AB170&lt;DateVigueur,"Non concerné",IF(AND($N170&lt;&gt;"",$N170&gt;=MAX(EDATE($AB170,-FenetreFinCarriere*12),DateVigueur),$N170&lt;=$AB170),"Réalisé",IF(DateRef&gt;$AB170,"Non réalisé",IF(AND($Q170&lt;&gt;"",$Q170&gt;=EDATE($AB170,-FenetreFinCarriere*12),$Q170&lt;=$AB170),"Planifié dans la fenêtre",IF(AND(MAX($P170,DateRef)&gt;=EDATE($AB170,-FenetreFinCarriere*12),MAX($P170,DateRef)&lt;=$AB170),"Prochain EPP dans la fenêtre",IF(MAX($P170,DateRef)&gt;$AB170,"À programmer avant 60 ans",""))))))))</f>
        <v/>
      </c>
      <c r="AD170" s="40"/>
      <c r="AE170" s="43" t="str">
        <f aca="false">IF(OR($B170="",$H170="",AND($I170&lt;&gt;"",$I170&lt;=DateRef)),"",MAX($H170,$AD170,IF($A170="",0,SUMPRODUCT(MAX((Journal!$A$6:$A$1005=$A170)*((Journal!$D$6:$D$1005=TypeEDL)+(Journal!$D$6:$D$1005=TypeBilan6))*Journal!$C$6:$C$1005)))))</f>
        <v/>
      </c>
      <c r="AF170" s="43" t="str">
        <f aca="false">IF($AE170="","",IF(AND(ReglesTransitoires="Oui",EDATE($AE170,AnciennePeriodiciteEDL*12)&lt;DateVigueur),EDATE($AE170,AnciennePeriodiciteEDL*12),EDATE($AE170,PeriodiciteEDL*12)))</f>
        <v/>
      </c>
      <c r="AG170" s="42" t="str">
        <f aca="false">IF($AF170="","",IF(AND($I170&lt;&gt;"",$I170&lt;=DateRef),"",IF($AF170&lt;DateRef,"En retard",IF($AF170-DateRef&lt;=SeuilAlerteEDL,"À prévoir","À jour"))))</f>
        <v/>
      </c>
      <c r="AH170" s="39"/>
      <c r="AI170" s="39"/>
      <c r="AJ170" s="42" t="str">
        <f aca="false">IF(OR($B170="",$H170=""),"",IF(AND($I170&lt;&gt;"",$I170&lt;=DateRef),"",IF(Effectif&lt;SeuilEffectif,"Non concerné (&lt; "&amp;SeuilEffectif&amp;" salariés)",IF($AH170="Oui","Pas de risque",IF(AND(OR($AI170="Non",$S170="En retard"),$AH170="Non"),"Risque abondement",IF(OR($AI170="Non",$S170="En retard"),"À vérifier (formation ?)",IF($AI170="Oui","Pas de risque","À compléter")))))))</f>
        <v/>
      </c>
      <c r="AK170" s="39"/>
    </row>
    <row r="171" customFormat="false" ht="15" hidden="false" customHeight="false" outlineLevel="0" collapsed="false">
      <c r="A171" s="39"/>
      <c r="B171" s="39"/>
      <c r="C171" s="39"/>
      <c r="D171" s="39"/>
      <c r="E171" s="39"/>
      <c r="F171" s="39"/>
      <c r="G171" s="40"/>
      <c r="H171" s="40"/>
      <c r="I171" s="40"/>
      <c r="J171" s="41" t="str">
        <f aca="false">IF(OR($B171="",$H171=""),"",IF($H171&gt;DateRef,0,YEARFRAC($H171,DateRef,1)))</f>
        <v/>
      </c>
      <c r="K171" s="42" t="str">
        <f aca="false">IF(OR($B171="",$H171=""),"",IF(EDATE($H171,12)&lt;=DateRef,"Plus d'un an","Moins d'un an"))</f>
        <v/>
      </c>
      <c r="L171" s="40"/>
      <c r="M171" s="43" t="str">
        <f aca="false">IF(OR($B171="",$A171=""),"",IF(SUMPRODUCT(MAX((Journal!$A$6:$A$1005=$A171)*Journal!$C$6:$C$1005))=0,"",SUMPRODUCT(MAX((Journal!$A$6:$A$1005=$A171)*Journal!$C$6:$C$1005))))</f>
        <v/>
      </c>
      <c r="N171" s="43" t="str">
        <f aca="false">IF($B171="","",IF(MAX($L171,$M171)=0,"",MAX($L171,$M171)))</f>
        <v/>
      </c>
      <c r="O171" s="44" t="str">
        <f aca="false">IF(OR($B171="",$H171=""),"",IF($N171="",IF(EDATE($H171,DelaiPremierEPP)&gt;DateRef,"1er EPP (1re année)","Aucun entretien renseigné"),IF(AND(ReglesTransitoires="Oui",EDATE($N171,AnciennePeriodiciteEP*12)&lt;DateVigueur),"Retard antérieur à la réforme","Périodicité "&amp;PeriodiciteEPP&amp;" ans")))</f>
        <v/>
      </c>
      <c r="P171" s="43" t="str">
        <f aca="false">IF(OR($B171="",$H171=""),"",IF($N171="",EDATE($H171,DelaiPremierEPP),IF(AND(ReglesTransitoires="Oui",EDATE($N171,AnciennePeriodiciteEP*12)&lt;DateVigueur),EDATE($N171,AnciennePeriodiciteEP*12),EDATE($N171,PeriodiciteEPP*12))))</f>
        <v/>
      </c>
      <c r="Q171" s="40"/>
      <c r="R171" s="45" t="str">
        <f aca="false">IF(OR($P171="",AND($I171&lt;&gt;"",$I171&lt;=DateRef)),"",$P171-DateRef)</f>
        <v/>
      </c>
      <c r="S171" s="42" t="str">
        <f aca="false">IF($B171="","",IF(AND($I171&lt;&gt;"",$I171&lt;=DateRef),"Sorti",IF($H171="","À compléter",IF(AND($Q171&lt;&gt;"",$Q171&gt;=DateRef,$Q171&lt;=$P171),"Planifié",IF($R171&lt;0,"En retard",IF($R171&lt;=SeuilAlerteEPP,"À planifier","À jour"))))))</f>
        <v/>
      </c>
      <c r="T171" s="46" t="str">
        <f aca="false">IF(OR($B171="",$S171="Sorti"),"",MID(IF($H171=""," | Date d'embauche manquante","")&amp;IF(AND($K171="Plus d'un an",$N171="")," | Précédent entretien à renseigner (ancienneté &gt; 1 an)","")&amp;IF($O171="Retard antérieur à la réforme"," | Ancien délai de 2 ans expiré avant la réforme","")&amp;IF(AND($N171&lt;&gt;"",$H171&lt;&gt;"",$N171&lt;$H171)," | Entretien antérieur à l'embauche ?","")&amp;IF(AND($N171&lt;&gt;"",$N171&gt;DateRef)," | Entretien daté dans le futur ?","")&amp;IF(AND($Q171&lt;&gt;"",$P171&lt;&gt;"",$Q171&gt;$P171)," | Date prévue après l'échéance","")&amp;IF(AND($Q171&lt;&gt;"",$Q171&lt;DateRef,OR($N171="",$N171&lt;$Q171))," | Entretien prévu passé : le consigner au Journal","")&amp;IF(AND($G171&lt;&gt;"",$X171="",YEAR(DateRef)-YEAR($G171)&gt;=AgeMiCarriere-1,YEAR(DateRef)-YEAR($G171)&lt;=AgeMiCarriere+1)," | Visite de mi-carrière à vérifier",""),4,1000))</f>
        <v/>
      </c>
      <c r="U171" s="39"/>
      <c r="V171" s="40"/>
      <c r="W171" s="42" t="str">
        <f aca="false">IF(OR($B171="",$V171=""),"",IF(AND($I171&lt;&gt;"",$I171&lt;=DateRef),"",IF(AND($N171&lt;&gt;"",$N171&gt;=$V171),"Réalisé",IF(AND($N171&lt;&gt;"",$N171&gt;=EDATE($V171,-FenetreRetour)),"Dispensé (EPP récent)",IF($V171&gt;DateRef,"À prévoir à la reprise","À proposer (reprise passée)")))))</f>
        <v/>
      </c>
      <c r="X171" s="40"/>
      <c r="Y171" s="43" t="str">
        <f aca="false">IF(OR($B171="",$X171=""),"",EDATE($X171,DelaiMiCarriere))</f>
        <v/>
      </c>
      <c r="Z171" s="42" t="str">
        <f aca="false">IF(OR($B171="",$X171=""),"",IF(AND($I171&lt;&gt;"",$I171&lt;=DateRef),"",IF(AND($N171&lt;&gt;"",$N171&gt;=$X171),"Réalisé",IF($Y171&lt;DateRef,"En retard","À planifier"))))</f>
        <v/>
      </c>
      <c r="AA171" s="47" t="str">
        <f aca="false">IF(OR($B171="",$G171=""),"",IF($G171&gt;DateRef,"",DATEDIF($G171,DateRef,"y")))</f>
        <v/>
      </c>
      <c r="AB171" s="43" t="str">
        <f aca="false">IF(OR($B171="",$G171=""),"",EDATE($G171,AgeFinCarriere*12))</f>
        <v/>
      </c>
      <c r="AC171" s="42" t="str">
        <f aca="false">IF(OR($B171="",$G171="",$H171=""),"",IF(AND($I171&lt;&gt;"",$I171&lt;=DateRef),"",IF($AB171&lt;DateVigueur,"Non concerné",IF(AND($N171&lt;&gt;"",$N171&gt;=MAX(EDATE($AB171,-FenetreFinCarriere*12),DateVigueur),$N171&lt;=$AB171),"Réalisé",IF(DateRef&gt;$AB171,"Non réalisé",IF(AND($Q171&lt;&gt;"",$Q171&gt;=EDATE($AB171,-FenetreFinCarriere*12),$Q171&lt;=$AB171),"Planifié dans la fenêtre",IF(AND(MAX($P171,DateRef)&gt;=EDATE($AB171,-FenetreFinCarriere*12),MAX($P171,DateRef)&lt;=$AB171),"Prochain EPP dans la fenêtre",IF(MAX($P171,DateRef)&gt;$AB171,"À programmer avant 60 ans",""))))))))</f>
        <v/>
      </c>
      <c r="AD171" s="40"/>
      <c r="AE171" s="43" t="str">
        <f aca="false">IF(OR($B171="",$H171="",AND($I171&lt;&gt;"",$I171&lt;=DateRef)),"",MAX($H171,$AD171,IF($A171="",0,SUMPRODUCT(MAX((Journal!$A$6:$A$1005=$A171)*((Journal!$D$6:$D$1005=TypeEDL)+(Journal!$D$6:$D$1005=TypeBilan6))*Journal!$C$6:$C$1005)))))</f>
        <v/>
      </c>
      <c r="AF171" s="43" t="str">
        <f aca="false">IF($AE171="","",IF(AND(ReglesTransitoires="Oui",EDATE($AE171,AnciennePeriodiciteEDL*12)&lt;DateVigueur),EDATE($AE171,AnciennePeriodiciteEDL*12),EDATE($AE171,PeriodiciteEDL*12)))</f>
        <v/>
      </c>
      <c r="AG171" s="42" t="str">
        <f aca="false">IF($AF171="","",IF(AND($I171&lt;&gt;"",$I171&lt;=DateRef),"",IF($AF171&lt;DateRef,"En retard",IF($AF171-DateRef&lt;=SeuilAlerteEDL,"À prévoir","À jour"))))</f>
        <v/>
      </c>
      <c r="AH171" s="39"/>
      <c r="AI171" s="39"/>
      <c r="AJ171" s="42" t="str">
        <f aca="false">IF(OR($B171="",$H171=""),"",IF(AND($I171&lt;&gt;"",$I171&lt;=DateRef),"",IF(Effectif&lt;SeuilEffectif,"Non concerné (&lt; "&amp;SeuilEffectif&amp;" salariés)",IF($AH171="Oui","Pas de risque",IF(AND(OR($AI171="Non",$S171="En retard"),$AH171="Non"),"Risque abondement",IF(OR($AI171="Non",$S171="En retard"),"À vérifier (formation ?)",IF($AI171="Oui","Pas de risque","À compléter")))))))</f>
        <v/>
      </c>
      <c r="AK171" s="39"/>
    </row>
    <row r="172" customFormat="false" ht="15" hidden="false" customHeight="false" outlineLevel="0" collapsed="false">
      <c r="A172" s="39"/>
      <c r="B172" s="39"/>
      <c r="C172" s="39"/>
      <c r="D172" s="39"/>
      <c r="E172" s="39"/>
      <c r="F172" s="39"/>
      <c r="G172" s="40"/>
      <c r="H172" s="40"/>
      <c r="I172" s="40"/>
      <c r="J172" s="41" t="str">
        <f aca="false">IF(OR($B172="",$H172=""),"",IF($H172&gt;DateRef,0,YEARFRAC($H172,DateRef,1)))</f>
        <v/>
      </c>
      <c r="K172" s="42" t="str">
        <f aca="false">IF(OR($B172="",$H172=""),"",IF(EDATE($H172,12)&lt;=DateRef,"Plus d'un an","Moins d'un an"))</f>
        <v/>
      </c>
      <c r="L172" s="40"/>
      <c r="M172" s="43" t="str">
        <f aca="false">IF(OR($B172="",$A172=""),"",IF(SUMPRODUCT(MAX((Journal!$A$6:$A$1005=$A172)*Journal!$C$6:$C$1005))=0,"",SUMPRODUCT(MAX((Journal!$A$6:$A$1005=$A172)*Journal!$C$6:$C$1005))))</f>
        <v/>
      </c>
      <c r="N172" s="43" t="str">
        <f aca="false">IF($B172="","",IF(MAX($L172,$M172)=0,"",MAX($L172,$M172)))</f>
        <v/>
      </c>
      <c r="O172" s="44" t="str">
        <f aca="false">IF(OR($B172="",$H172=""),"",IF($N172="",IF(EDATE($H172,DelaiPremierEPP)&gt;DateRef,"1er EPP (1re année)","Aucun entretien renseigné"),IF(AND(ReglesTransitoires="Oui",EDATE($N172,AnciennePeriodiciteEP*12)&lt;DateVigueur),"Retard antérieur à la réforme","Périodicité "&amp;PeriodiciteEPP&amp;" ans")))</f>
        <v/>
      </c>
      <c r="P172" s="43" t="str">
        <f aca="false">IF(OR($B172="",$H172=""),"",IF($N172="",EDATE($H172,DelaiPremierEPP),IF(AND(ReglesTransitoires="Oui",EDATE($N172,AnciennePeriodiciteEP*12)&lt;DateVigueur),EDATE($N172,AnciennePeriodiciteEP*12),EDATE($N172,PeriodiciteEPP*12))))</f>
        <v/>
      </c>
      <c r="Q172" s="40"/>
      <c r="R172" s="45" t="str">
        <f aca="false">IF(OR($P172="",AND($I172&lt;&gt;"",$I172&lt;=DateRef)),"",$P172-DateRef)</f>
        <v/>
      </c>
      <c r="S172" s="42" t="str">
        <f aca="false">IF($B172="","",IF(AND($I172&lt;&gt;"",$I172&lt;=DateRef),"Sorti",IF($H172="","À compléter",IF(AND($Q172&lt;&gt;"",$Q172&gt;=DateRef,$Q172&lt;=$P172),"Planifié",IF($R172&lt;0,"En retard",IF($R172&lt;=SeuilAlerteEPP,"À planifier","À jour"))))))</f>
        <v/>
      </c>
      <c r="T172" s="46" t="str">
        <f aca="false">IF(OR($B172="",$S172="Sorti"),"",MID(IF($H172=""," | Date d'embauche manquante","")&amp;IF(AND($K172="Plus d'un an",$N172="")," | Précédent entretien à renseigner (ancienneté &gt; 1 an)","")&amp;IF($O172="Retard antérieur à la réforme"," | Ancien délai de 2 ans expiré avant la réforme","")&amp;IF(AND($N172&lt;&gt;"",$H172&lt;&gt;"",$N172&lt;$H172)," | Entretien antérieur à l'embauche ?","")&amp;IF(AND($N172&lt;&gt;"",$N172&gt;DateRef)," | Entretien daté dans le futur ?","")&amp;IF(AND($Q172&lt;&gt;"",$P172&lt;&gt;"",$Q172&gt;$P172)," | Date prévue après l'échéance","")&amp;IF(AND($Q172&lt;&gt;"",$Q172&lt;DateRef,OR($N172="",$N172&lt;$Q172))," | Entretien prévu passé : le consigner au Journal","")&amp;IF(AND($G172&lt;&gt;"",$X172="",YEAR(DateRef)-YEAR($G172)&gt;=AgeMiCarriere-1,YEAR(DateRef)-YEAR($G172)&lt;=AgeMiCarriere+1)," | Visite de mi-carrière à vérifier",""),4,1000))</f>
        <v/>
      </c>
      <c r="U172" s="39"/>
      <c r="V172" s="40"/>
      <c r="W172" s="42" t="str">
        <f aca="false">IF(OR($B172="",$V172=""),"",IF(AND($I172&lt;&gt;"",$I172&lt;=DateRef),"",IF(AND($N172&lt;&gt;"",$N172&gt;=$V172),"Réalisé",IF(AND($N172&lt;&gt;"",$N172&gt;=EDATE($V172,-FenetreRetour)),"Dispensé (EPP récent)",IF($V172&gt;DateRef,"À prévoir à la reprise","À proposer (reprise passée)")))))</f>
        <v/>
      </c>
      <c r="X172" s="40"/>
      <c r="Y172" s="43" t="str">
        <f aca="false">IF(OR($B172="",$X172=""),"",EDATE($X172,DelaiMiCarriere))</f>
        <v/>
      </c>
      <c r="Z172" s="42" t="str">
        <f aca="false">IF(OR($B172="",$X172=""),"",IF(AND($I172&lt;&gt;"",$I172&lt;=DateRef),"",IF(AND($N172&lt;&gt;"",$N172&gt;=$X172),"Réalisé",IF($Y172&lt;DateRef,"En retard","À planifier"))))</f>
        <v/>
      </c>
      <c r="AA172" s="47" t="str">
        <f aca="false">IF(OR($B172="",$G172=""),"",IF($G172&gt;DateRef,"",DATEDIF($G172,DateRef,"y")))</f>
        <v/>
      </c>
      <c r="AB172" s="43" t="str">
        <f aca="false">IF(OR($B172="",$G172=""),"",EDATE($G172,AgeFinCarriere*12))</f>
        <v/>
      </c>
      <c r="AC172" s="42" t="str">
        <f aca="false">IF(OR($B172="",$G172="",$H172=""),"",IF(AND($I172&lt;&gt;"",$I172&lt;=DateRef),"",IF($AB172&lt;DateVigueur,"Non concerné",IF(AND($N172&lt;&gt;"",$N172&gt;=MAX(EDATE($AB172,-FenetreFinCarriere*12),DateVigueur),$N172&lt;=$AB172),"Réalisé",IF(DateRef&gt;$AB172,"Non réalisé",IF(AND($Q172&lt;&gt;"",$Q172&gt;=EDATE($AB172,-FenetreFinCarriere*12),$Q172&lt;=$AB172),"Planifié dans la fenêtre",IF(AND(MAX($P172,DateRef)&gt;=EDATE($AB172,-FenetreFinCarriere*12),MAX($P172,DateRef)&lt;=$AB172),"Prochain EPP dans la fenêtre",IF(MAX($P172,DateRef)&gt;$AB172,"À programmer avant 60 ans",""))))))))</f>
        <v/>
      </c>
      <c r="AD172" s="40"/>
      <c r="AE172" s="43" t="str">
        <f aca="false">IF(OR($B172="",$H172="",AND($I172&lt;&gt;"",$I172&lt;=DateRef)),"",MAX($H172,$AD172,IF($A172="",0,SUMPRODUCT(MAX((Journal!$A$6:$A$1005=$A172)*((Journal!$D$6:$D$1005=TypeEDL)+(Journal!$D$6:$D$1005=TypeBilan6))*Journal!$C$6:$C$1005)))))</f>
        <v/>
      </c>
      <c r="AF172" s="43" t="str">
        <f aca="false">IF($AE172="","",IF(AND(ReglesTransitoires="Oui",EDATE($AE172,AnciennePeriodiciteEDL*12)&lt;DateVigueur),EDATE($AE172,AnciennePeriodiciteEDL*12),EDATE($AE172,PeriodiciteEDL*12)))</f>
        <v/>
      </c>
      <c r="AG172" s="42" t="str">
        <f aca="false">IF($AF172="","",IF(AND($I172&lt;&gt;"",$I172&lt;=DateRef),"",IF($AF172&lt;DateRef,"En retard",IF($AF172-DateRef&lt;=SeuilAlerteEDL,"À prévoir","À jour"))))</f>
        <v/>
      </c>
      <c r="AH172" s="39"/>
      <c r="AI172" s="39"/>
      <c r="AJ172" s="42" t="str">
        <f aca="false">IF(OR($B172="",$H172=""),"",IF(AND($I172&lt;&gt;"",$I172&lt;=DateRef),"",IF(Effectif&lt;SeuilEffectif,"Non concerné (&lt; "&amp;SeuilEffectif&amp;" salariés)",IF($AH172="Oui","Pas de risque",IF(AND(OR($AI172="Non",$S172="En retard"),$AH172="Non"),"Risque abondement",IF(OR($AI172="Non",$S172="En retard"),"À vérifier (formation ?)",IF($AI172="Oui","Pas de risque","À compléter")))))))</f>
        <v/>
      </c>
      <c r="AK172" s="39"/>
    </row>
    <row r="173" customFormat="false" ht="15" hidden="false" customHeight="false" outlineLevel="0" collapsed="false">
      <c r="A173" s="39"/>
      <c r="B173" s="39"/>
      <c r="C173" s="39"/>
      <c r="D173" s="39"/>
      <c r="E173" s="39"/>
      <c r="F173" s="39"/>
      <c r="G173" s="40"/>
      <c r="H173" s="40"/>
      <c r="I173" s="40"/>
      <c r="J173" s="41" t="str">
        <f aca="false">IF(OR($B173="",$H173=""),"",IF($H173&gt;DateRef,0,YEARFRAC($H173,DateRef,1)))</f>
        <v/>
      </c>
      <c r="K173" s="42" t="str">
        <f aca="false">IF(OR($B173="",$H173=""),"",IF(EDATE($H173,12)&lt;=DateRef,"Plus d'un an","Moins d'un an"))</f>
        <v/>
      </c>
      <c r="L173" s="40"/>
      <c r="M173" s="43" t="str">
        <f aca="false">IF(OR($B173="",$A173=""),"",IF(SUMPRODUCT(MAX((Journal!$A$6:$A$1005=$A173)*Journal!$C$6:$C$1005))=0,"",SUMPRODUCT(MAX((Journal!$A$6:$A$1005=$A173)*Journal!$C$6:$C$1005))))</f>
        <v/>
      </c>
      <c r="N173" s="43" t="str">
        <f aca="false">IF($B173="","",IF(MAX($L173,$M173)=0,"",MAX($L173,$M173)))</f>
        <v/>
      </c>
      <c r="O173" s="44" t="str">
        <f aca="false">IF(OR($B173="",$H173=""),"",IF($N173="",IF(EDATE($H173,DelaiPremierEPP)&gt;DateRef,"1er EPP (1re année)","Aucun entretien renseigné"),IF(AND(ReglesTransitoires="Oui",EDATE($N173,AnciennePeriodiciteEP*12)&lt;DateVigueur),"Retard antérieur à la réforme","Périodicité "&amp;PeriodiciteEPP&amp;" ans")))</f>
        <v/>
      </c>
      <c r="P173" s="43" t="str">
        <f aca="false">IF(OR($B173="",$H173=""),"",IF($N173="",EDATE($H173,DelaiPremierEPP),IF(AND(ReglesTransitoires="Oui",EDATE($N173,AnciennePeriodiciteEP*12)&lt;DateVigueur),EDATE($N173,AnciennePeriodiciteEP*12),EDATE($N173,PeriodiciteEPP*12))))</f>
        <v/>
      </c>
      <c r="Q173" s="40"/>
      <c r="R173" s="45" t="str">
        <f aca="false">IF(OR($P173="",AND($I173&lt;&gt;"",$I173&lt;=DateRef)),"",$P173-DateRef)</f>
        <v/>
      </c>
      <c r="S173" s="42" t="str">
        <f aca="false">IF($B173="","",IF(AND($I173&lt;&gt;"",$I173&lt;=DateRef),"Sorti",IF($H173="","À compléter",IF(AND($Q173&lt;&gt;"",$Q173&gt;=DateRef,$Q173&lt;=$P173),"Planifié",IF($R173&lt;0,"En retard",IF($R173&lt;=SeuilAlerteEPP,"À planifier","À jour"))))))</f>
        <v/>
      </c>
      <c r="T173" s="46" t="str">
        <f aca="false">IF(OR($B173="",$S173="Sorti"),"",MID(IF($H173=""," | Date d'embauche manquante","")&amp;IF(AND($K173="Plus d'un an",$N173="")," | Précédent entretien à renseigner (ancienneté &gt; 1 an)","")&amp;IF($O173="Retard antérieur à la réforme"," | Ancien délai de 2 ans expiré avant la réforme","")&amp;IF(AND($N173&lt;&gt;"",$H173&lt;&gt;"",$N173&lt;$H173)," | Entretien antérieur à l'embauche ?","")&amp;IF(AND($N173&lt;&gt;"",$N173&gt;DateRef)," | Entretien daté dans le futur ?","")&amp;IF(AND($Q173&lt;&gt;"",$P173&lt;&gt;"",$Q173&gt;$P173)," | Date prévue après l'échéance","")&amp;IF(AND($Q173&lt;&gt;"",$Q173&lt;DateRef,OR($N173="",$N173&lt;$Q173))," | Entretien prévu passé : le consigner au Journal","")&amp;IF(AND($G173&lt;&gt;"",$X173="",YEAR(DateRef)-YEAR($G173)&gt;=AgeMiCarriere-1,YEAR(DateRef)-YEAR($G173)&lt;=AgeMiCarriere+1)," | Visite de mi-carrière à vérifier",""),4,1000))</f>
        <v/>
      </c>
      <c r="U173" s="39"/>
      <c r="V173" s="40"/>
      <c r="W173" s="42" t="str">
        <f aca="false">IF(OR($B173="",$V173=""),"",IF(AND($I173&lt;&gt;"",$I173&lt;=DateRef),"",IF(AND($N173&lt;&gt;"",$N173&gt;=$V173),"Réalisé",IF(AND($N173&lt;&gt;"",$N173&gt;=EDATE($V173,-FenetreRetour)),"Dispensé (EPP récent)",IF($V173&gt;DateRef,"À prévoir à la reprise","À proposer (reprise passée)")))))</f>
        <v/>
      </c>
      <c r="X173" s="40"/>
      <c r="Y173" s="43" t="str">
        <f aca="false">IF(OR($B173="",$X173=""),"",EDATE($X173,DelaiMiCarriere))</f>
        <v/>
      </c>
      <c r="Z173" s="42" t="str">
        <f aca="false">IF(OR($B173="",$X173=""),"",IF(AND($I173&lt;&gt;"",$I173&lt;=DateRef),"",IF(AND($N173&lt;&gt;"",$N173&gt;=$X173),"Réalisé",IF($Y173&lt;DateRef,"En retard","À planifier"))))</f>
        <v/>
      </c>
      <c r="AA173" s="47" t="str">
        <f aca="false">IF(OR($B173="",$G173=""),"",IF($G173&gt;DateRef,"",DATEDIF($G173,DateRef,"y")))</f>
        <v/>
      </c>
      <c r="AB173" s="43" t="str">
        <f aca="false">IF(OR($B173="",$G173=""),"",EDATE($G173,AgeFinCarriere*12))</f>
        <v/>
      </c>
      <c r="AC173" s="42" t="str">
        <f aca="false">IF(OR($B173="",$G173="",$H173=""),"",IF(AND($I173&lt;&gt;"",$I173&lt;=DateRef),"",IF($AB173&lt;DateVigueur,"Non concerné",IF(AND($N173&lt;&gt;"",$N173&gt;=MAX(EDATE($AB173,-FenetreFinCarriere*12),DateVigueur),$N173&lt;=$AB173),"Réalisé",IF(DateRef&gt;$AB173,"Non réalisé",IF(AND($Q173&lt;&gt;"",$Q173&gt;=EDATE($AB173,-FenetreFinCarriere*12),$Q173&lt;=$AB173),"Planifié dans la fenêtre",IF(AND(MAX($P173,DateRef)&gt;=EDATE($AB173,-FenetreFinCarriere*12),MAX($P173,DateRef)&lt;=$AB173),"Prochain EPP dans la fenêtre",IF(MAX($P173,DateRef)&gt;$AB173,"À programmer avant 60 ans",""))))))))</f>
        <v/>
      </c>
      <c r="AD173" s="40"/>
      <c r="AE173" s="43" t="str">
        <f aca="false">IF(OR($B173="",$H173="",AND($I173&lt;&gt;"",$I173&lt;=DateRef)),"",MAX($H173,$AD173,IF($A173="",0,SUMPRODUCT(MAX((Journal!$A$6:$A$1005=$A173)*((Journal!$D$6:$D$1005=TypeEDL)+(Journal!$D$6:$D$1005=TypeBilan6))*Journal!$C$6:$C$1005)))))</f>
        <v/>
      </c>
      <c r="AF173" s="43" t="str">
        <f aca="false">IF($AE173="","",IF(AND(ReglesTransitoires="Oui",EDATE($AE173,AnciennePeriodiciteEDL*12)&lt;DateVigueur),EDATE($AE173,AnciennePeriodiciteEDL*12),EDATE($AE173,PeriodiciteEDL*12)))</f>
        <v/>
      </c>
      <c r="AG173" s="42" t="str">
        <f aca="false">IF($AF173="","",IF(AND($I173&lt;&gt;"",$I173&lt;=DateRef),"",IF($AF173&lt;DateRef,"En retard",IF($AF173-DateRef&lt;=SeuilAlerteEDL,"À prévoir","À jour"))))</f>
        <v/>
      </c>
      <c r="AH173" s="39"/>
      <c r="AI173" s="39"/>
      <c r="AJ173" s="42" t="str">
        <f aca="false">IF(OR($B173="",$H173=""),"",IF(AND($I173&lt;&gt;"",$I173&lt;=DateRef),"",IF(Effectif&lt;SeuilEffectif,"Non concerné (&lt; "&amp;SeuilEffectif&amp;" salariés)",IF($AH173="Oui","Pas de risque",IF(AND(OR($AI173="Non",$S173="En retard"),$AH173="Non"),"Risque abondement",IF(OR($AI173="Non",$S173="En retard"),"À vérifier (formation ?)",IF($AI173="Oui","Pas de risque","À compléter")))))))</f>
        <v/>
      </c>
      <c r="AK173" s="39"/>
    </row>
    <row r="174" customFormat="false" ht="15" hidden="false" customHeight="false" outlineLevel="0" collapsed="false">
      <c r="A174" s="39"/>
      <c r="B174" s="39"/>
      <c r="C174" s="39"/>
      <c r="D174" s="39"/>
      <c r="E174" s="39"/>
      <c r="F174" s="39"/>
      <c r="G174" s="40"/>
      <c r="H174" s="40"/>
      <c r="I174" s="40"/>
      <c r="J174" s="41" t="str">
        <f aca="false">IF(OR($B174="",$H174=""),"",IF($H174&gt;DateRef,0,YEARFRAC($H174,DateRef,1)))</f>
        <v/>
      </c>
      <c r="K174" s="42" t="str">
        <f aca="false">IF(OR($B174="",$H174=""),"",IF(EDATE($H174,12)&lt;=DateRef,"Plus d'un an","Moins d'un an"))</f>
        <v/>
      </c>
      <c r="L174" s="40"/>
      <c r="M174" s="43" t="str">
        <f aca="false">IF(OR($B174="",$A174=""),"",IF(SUMPRODUCT(MAX((Journal!$A$6:$A$1005=$A174)*Journal!$C$6:$C$1005))=0,"",SUMPRODUCT(MAX((Journal!$A$6:$A$1005=$A174)*Journal!$C$6:$C$1005))))</f>
        <v/>
      </c>
      <c r="N174" s="43" t="str">
        <f aca="false">IF($B174="","",IF(MAX($L174,$M174)=0,"",MAX($L174,$M174)))</f>
        <v/>
      </c>
      <c r="O174" s="44" t="str">
        <f aca="false">IF(OR($B174="",$H174=""),"",IF($N174="",IF(EDATE($H174,DelaiPremierEPP)&gt;DateRef,"1er EPP (1re année)","Aucun entretien renseigné"),IF(AND(ReglesTransitoires="Oui",EDATE($N174,AnciennePeriodiciteEP*12)&lt;DateVigueur),"Retard antérieur à la réforme","Périodicité "&amp;PeriodiciteEPP&amp;" ans")))</f>
        <v/>
      </c>
      <c r="P174" s="43" t="str">
        <f aca="false">IF(OR($B174="",$H174=""),"",IF($N174="",EDATE($H174,DelaiPremierEPP),IF(AND(ReglesTransitoires="Oui",EDATE($N174,AnciennePeriodiciteEP*12)&lt;DateVigueur),EDATE($N174,AnciennePeriodiciteEP*12),EDATE($N174,PeriodiciteEPP*12))))</f>
        <v/>
      </c>
      <c r="Q174" s="40"/>
      <c r="R174" s="45" t="str">
        <f aca="false">IF(OR($P174="",AND($I174&lt;&gt;"",$I174&lt;=DateRef)),"",$P174-DateRef)</f>
        <v/>
      </c>
      <c r="S174" s="42" t="str">
        <f aca="false">IF($B174="","",IF(AND($I174&lt;&gt;"",$I174&lt;=DateRef),"Sorti",IF($H174="","À compléter",IF(AND($Q174&lt;&gt;"",$Q174&gt;=DateRef,$Q174&lt;=$P174),"Planifié",IF($R174&lt;0,"En retard",IF($R174&lt;=SeuilAlerteEPP,"À planifier","À jour"))))))</f>
        <v/>
      </c>
      <c r="T174" s="46" t="str">
        <f aca="false">IF(OR($B174="",$S174="Sorti"),"",MID(IF($H174=""," | Date d'embauche manquante","")&amp;IF(AND($K174="Plus d'un an",$N174="")," | Précédent entretien à renseigner (ancienneté &gt; 1 an)","")&amp;IF($O174="Retard antérieur à la réforme"," | Ancien délai de 2 ans expiré avant la réforme","")&amp;IF(AND($N174&lt;&gt;"",$H174&lt;&gt;"",$N174&lt;$H174)," | Entretien antérieur à l'embauche ?","")&amp;IF(AND($N174&lt;&gt;"",$N174&gt;DateRef)," | Entretien daté dans le futur ?","")&amp;IF(AND($Q174&lt;&gt;"",$P174&lt;&gt;"",$Q174&gt;$P174)," | Date prévue après l'échéance","")&amp;IF(AND($Q174&lt;&gt;"",$Q174&lt;DateRef,OR($N174="",$N174&lt;$Q174))," | Entretien prévu passé : le consigner au Journal","")&amp;IF(AND($G174&lt;&gt;"",$X174="",YEAR(DateRef)-YEAR($G174)&gt;=AgeMiCarriere-1,YEAR(DateRef)-YEAR($G174)&lt;=AgeMiCarriere+1)," | Visite de mi-carrière à vérifier",""),4,1000))</f>
        <v/>
      </c>
      <c r="U174" s="39"/>
      <c r="V174" s="40"/>
      <c r="W174" s="42" t="str">
        <f aca="false">IF(OR($B174="",$V174=""),"",IF(AND($I174&lt;&gt;"",$I174&lt;=DateRef),"",IF(AND($N174&lt;&gt;"",$N174&gt;=$V174),"Réalisé",IF(AND($N174&lt;&gt;"",$N174&gt;=EDATE($V174,-FenetreRetour)),"Dispensé (EPP récent)",IF($V174&gt;DateRef,"À prévoir à la reprise","À proposer (reprise passée)")))))</f>
        <v/>
      </c>
      <c r="X174" s="40"/>
      <c r="Y174" s="43" t="str">
        <f aca="false">IF(OR($B174="",$X174=""),"",EDATE($X174,DelaiMiCarriere))</f>
        <v/>
      </c>
      <c r="Z174" s="42" t="str">
        <f aca="false">IF(OR($B174="",$X174=""),"",IF(AND($I174&lt;&gt;"",$I174&lt;=DateRef),"",IF(AND($N174&lt;&gt;"",$N174&gt;=$X174),"Réalisé",IF($Y174&lt;DateRef,"En retard","À planifier"))))</f>
        <v/>
      </c>
      <c r="AA174" s="47" t="str">
        <f aca="false">IF(OR($B174="",$G174=""),"",IF($G174&gt;DateRef,"",DATEDIF($G174,DateRef,"y")))</f>
        <v/>
      </c>
      <c r="AB174" s="43" t="str">
        <f aca="false">IF(OR($B174="",$G174=""),"",EDATE($G174,AgeFinCarriere*12))</f>
        <v/>
      </c>
      <c r="AC174" s="42" t="str">
        <f aca="false">IF(OR($B174="",$G174="",$H174=""),"",IF(AND($I174&lt;&gt;"",$I174&lt;=DateRef),"",IF($AB174&lt;DateVigueur,"Non concerné",IF(AND($N174&lt;&gt;"",$N174&gt;=MAX(EDATE($AB174,-FenetreFinCarriere*12),DateVigueur),$N174&lt;=$AB174),"Réalisé",IF(DateRef&gt;$AB174,"Non réalisé",IF(AND($Q174&lt;&gt;"",$Q174&gt;=EDATE($AB174,-FenetreFinCarriere*12),$Q174&lt;=$AB174),"Planifié dans la fenêtre",IF(AND(MAX($P174,DateRef)&gt;=EDATE($AB174,-FenetreFinCarriere*12),MAX($P174,DateRef)&lt;=$AB174),"Prochain EPP dans la fenêtre",IF(MAX($P174,DateRef)&gt;$AB174,"À programmer avant 60 ans",""))))))))</f>
        <v/>
      </c>
      <c r="AD174" s="40"/>
      <c r="AE174" s="43" t="str">
        <f aca="false">IF(OR($B174="",$H174="",AND($I174&lt;&gt;"",$I174&lt;=DateRef)),"",MAX($H174,$AD174,IF($A174="",0,SUMPRODUCT(MAX((Journal!$A$6:$A$1005=$A174)*((Journal!$D$6:$D$1005=TypeEDL)+(Journal!$D$6:$D$1005=TypeBilan6))*Journal!$C$6:$C$1005)))))</f>
        <v/>
      </c>
      <c r="AF174" s="43" t="str">
        <f aca="false">IF($AE174="","",IF(AND(ReglesTransitoires="Oui",EDATE($AE174,AnciennePeriodiciteEDL*12)&lt;DateVigueur),EDATE($AE174,AnciennePeriodiciteEDL*12),EDATE($AE174,PeriodiciteEDL*12)))</f>
        <v/>
      </c>
      <c r="AG174" s="42" t="str">
        <f aca="false">IF($AF174="","",IF(AND($I174&lt;&gt;"",$I174&lt;=DateRef),"",IF($AF174&lt;DateRef,"En retard",IF($AF174-DateRef&lt;=SeuilAlerteEDL,"À prévoir","À jour"))))</f>
        <v/>
      </c>
      <c r="AH174" s="39"/>
      <c r="AI174" s="39"/>
      <c r="AJ174" s="42" t="str">
        <f aca="false">IF(OR($B174="",$H174=""),"",IF(AND($I174&lt;&gt;"",$I174&lt;=DateRef),"",IF(Effectif&lt;SeuilEffectif,"Non concerné (&lt; "&amp;SeuilEffectif&amp;" salariés)",IF($AH174="Oui","Pas de risque",IF(AND(OR($AI174="Non",$S174="En retard"),$AH174="Non"),"Risque abondement",IF(OR($AI174="Non",$S174="En retard"),"À vérifier (formation ?)",IF($AI174="Oui","Pas de risque","À compléter")))))))</f>
        <v/>
      </c>
      <c r="AK174" s="39"/>
    </row>
    <row r="175" customFormat="false" ht="15" hidden="false" customHeight="false" outlineLevel="0" collapsed="false">
      <c r="A175" s="39"/>
      <c r="B175" s="39"/>
      <c r="C175" s="39"/>
      <c r="D175" s="39"/>
      <c r="E175" s="39"/>
      <c r="F175" s="39"/>
      <c r="G175" s="40"/>
      <c r="H175" s="40"/>
      <c r="I175" s="40"/>
      <c r="J175" s="41" t="str">
        <f aca="false">IF(OR($B175="",$H175=""),"",IF($H175&gt;DateRef,0,YEARFRAC($H175,DateRef,1)))</f>
        <v/>
      </c>
      <c r="K175" s="42" t="str">
        <f aca="false">IF(OR($B175="",$H175=""),"",IF(EDATE($H175,12)&lt;=DateRef,"Plus d'un an","Moins d'un an"))</f>
        <v/>
      </c>
      <c r="L175" s="40"/>
      <c r="M175" s="43" t="str">
        <f aca="false">IF(OR($B175="",$A175=""),"",IF(SUMPRODUCT(MAX((Journal!$A$6:$A$1005=$A175)*Journal!$C$6:$C$1005))=0,"",SUMPRODUCT(MAX((Journal!$A$6:$A$1005=$A175)*Journal!$C$6:$C$1005))))</f>
        <v/>
      </c>
      <c r="N175" s="43" t="str">
        <f aca="false">IF($B175="","",IF(MAX($L175,$M175)=0,"",MAX($L175,$M175)))</f>
        <v/>
      </c>
      <c r="O175" s="44" t="str">
        <f aca="false">IF(OR($B175="",$H175=""),"",IF($N175="",IF(EDATE($H175,DelaiPremierEPP)&gt;DateRef,"1er EPP (1re année)","Aucun entretien renseigné"),IF(AND(ReglesTransitoires="Oui",EDATE($N175,AnciennePeriodiciteEP*12)&lt;DateVigueur),"Retard antérieur à la réforme","Périodicité "&amp;PeriodiciteEPP&amp;" ans")))</f>
        <v/>
      </c>
      <c r="P175" s="43" t="str">
        <f aca="false">IF(OR($B175="",$H175=""),"",IF($N175="",EDATE($H175,DelaiPremierEPP),IF(AND(ReglesTransitoires="Oui",EDATE($N175,AnciennePeriodiciteEP*12)&lt;DateVigueur),EDATE($N175,AnciennePeriodiciteEP*12),EDATE($N175,PeriodiciteEPP*12))))</f>
        <v/>
      </c>
      <c r="Q175" s="40"/>
      <c r="R175" s="45" t="str">
        <f aca="false">IF(OR($P175="",AND($I175&lt;&gt;"",$I175&lt;=DateRef)),"",$P175-DateRef)</f>
        <v/>
      </c>
      <c r="S175" s="42" t="str">
        <f aca="false">IF($B175="","",IF(AND($I175&lt;&gt;"",$I175&lt;=DateRef),"Sorti",IF($H175="","À compléter",IF(AND($Q175&lt;&gt;"",$Q175&gt;=DateRef,$Q175&lt;=$P175),"Planifié",IF($R175&lt;0,"En retard",IF($R175&lt;=SeuilAlerteEPP,"À planifier","À jour"))))))</f>
        <v/>
      </c>
      <c r="T175" s="46" t="str">
        <f aca="false">IF(OR($B175="",$S175="Sorti"),"",MID(IF($H175=""," | Date d'embauche manquante","")&amp;IF(AND($K175="Plus d'un an",$N175="")," | Précédent entretien à renseigner (ancienneté &gt; 1 an)","")&amp;IF($O175="Retard antérieur à la réforme"," | Ancien délai de 2 ans expiré avant la réforme","")&amp;IF(AND($N175&lt;&gt;"",$H175&lt;&gt;"",$N175&lt;$H175)," | Entretien antérieur à l'embauche ?","")&amp;IF(AND($N175&lt;&gt;"",$N175&gt;DateRef)," | Entretien daté dans le futur ?","")&amp;IF(AND($Q175&lt;&gt;"",$P175&lt;&gt;"",$Q175&gt;$P175)," | Date prévue après l'échéance","")&amp;IF(AND($Q175&lt;&gt;"",$Q175&lt;DateRef,OR($N175="",$N175&lt;$Q175))," | Entretien prévu passé : le consigner au Journal","")&amp;IF(AND($G175&lt;&gt;"",$X175="",YEAR(DateRef)-YEAR($G175)&gt;=AgeMiCarriere-1,YEAR(DateRef)-YEAR($G175)&lt;=AgeMiCarriere+1)," | Visite de mi-carrière à vérifier",""),4,1000))</f>
        <v/>
      </c>
      <c r="U175" s="39"/>
      <c r="V175" s="40"/>
      <c r="W175" s="42" t="str">
        <f aca="false">IF(OR($B175="",$V175=""),"",IF(AND($I175&lt;&gt;"",$I175&lt;=DateRef),"",IF(AND($N175&lt;&gt;"",$N175&gt;=$V175),"Réalisé",IF(AND($N175&lt;&gt;"",$N175&gt;=EDATE($V175,-FenetreRetour)),"Dispensé (EPP récent)",IF($V175&gt;DateRef,"À prévoir à la reprise","À proposer (reprise passée)")))))</f>
        <v/>
      </c>
      <c r="X175" s="40"/>
      <c r="Y175" s="43" t="str">
        <f aca="false">IF(OR($B175="",$X175=""),"",EDATE($X175,DelaiMiCarriere))</f>
        <v/>
      </c>
      <c r="Z175" s="42" t="str">
        <f aca="false">IF(OR($B175="",$X175=""),"",IF(AND($I175&lt;&gt;"",$I175&lt;=DateRef),"",IF(AND($N175&lt;&gt;"",$N175&gt;=$X175),"Réalisé",IF($Y175&lt;DateRef,"En retard","À planifier"))))</f>
        <v/>
      </c>
      <c r="AA175" s="47" t="str">
        <f aca="false">IF(OR($B175="",$G175=""),"",IF($G175&gt;DateRef,"",DATEDIF($G175,DateRef,"y")))</f>
        <v/>
      </c>
      <c r="AB175" s="43" t="str">
        <f aca="false">IF(OR($B175="",$G175=""),"",EDATE($G175,AgeFinCarriere*12))</f>
        <v/>
      </c>
      <c r="AC175" s="42" t="str">
        <f aca="false">IF(OR($B175="",$G175="",$H175=""),"",IF(AND($I175&lt;&gt;"",$I175&lt;=DateRef),"",IF($AB175&lt;DateVigueur,"Non concerné",IF(AND($N175&lt;&gt;"",$N175&gt;=MAX(EDATE($AB175,-FenetreFinCarriere*12),DateVigueur),$N175&lt;=$AB175),"Réalisé",IF(DateRef&gt;$AB175,"Non réalisé",IF(AND($Q175&lt;&gt;"",$Q175&gt;=EDATE($AB175,-FenetreFinCarriere*12),$Q175&lt;=$AB175),"Planifié dans la fenêtre",IF(AND(MAX($P175,DateRef)&gt;=EDATE($AB175,-FenetreFinCarriere*12),MAX($P175,DateRef)&lt;=$AB175),"Prochain EPP dans la fenêtre",IF(MAX($P175,DateRef)&gt;$AB175,"À programmer avant 60 ans",""))))))))</f>
        <v/>
      </c>
      <c r="AD175" s="40"/>
      <c r="AE175" s="43" t="str">
        <f aca="false">IF(OR($B175="",$H175="",AND($I175&lt;&gt;"",$I175&lt;=DateRef)),"",MAX($H175,$AD175,IF($A175="",0,SUMPRODUCT(MAX((Journal!$A$6:$A$1005=$A175)*((Journal!$D$6:$D$1005=TypeEDL)+(Journal!$D$6:$D$1005=TypeBilan6))*Journal!$C$6:$C$1005)))))</f>
        <v/>
      </c>
      <c r="AF175" s="43" t="str">
        <f aca="false">IF($AE175="","",IF(AND(ReglesTransitoires="Oui",EDATE($AE175,AnciennePeriodiciteEDL*12)&lt;DateVigueur),EDATE($AE175,AnciennePeriodiciteEDL*12),EDATE($AE175,PeriodiciteEDL*12)))</f>
        <v/>
      </c>
      <c r="AG175" s="42" t="str">
        <f aca="false">IF($AF175="","",IF(AND($I175&lt;&gt;"",$I175&lt;=DateRef),"",IF($AF175&lt;DateRef,"En retard",IF($AF175-DateRef&lt;=SeuilAlerteEDL,"À prévoir","À jour"))))</f>
        <v/>
      </c>
      <c r="AH175" s="39"/>
      <c r="AI175" s="39"/>
      <c r="AJ175" s="42" t="str">
        <f aca="false">IF(OR($B175="",$H175=""),"",IF(AND($I175&lt;&gt;"",$I175&lt;=DateRef),"",IF(Effectif&lt;SeuilEffectif,"Non concerné (&lt; "&amp;SeuilEffectif&amp;" salariés)",IF($AH175="Oui","Pas de risque",IF(AND(OR($AI175="Non",$S175="En retard"),$AH175="Non"),"Risque abondement",IF(OR($AI175="Non",$S175="En retard"),"À vérifier (formation ?)",IF($AI175="Oui","Pas de risque","À compléter")))))))</f>
        <v/>
      </c>
      <c r="AK175" s="39"/>
    </row>
    <row r="176" customFormat="false" ht="15" hidden="false" customHeight="false" outlineLevel="0" collapsed="false">
      <c r="A176" s="39"/>
      <c r="B176" s="39"/>
      <c r="C176" s="39"/>
      <c r="D176" s="39"/>
      <c r="E176" s="39"/>
      <c r="F176" s="39"/>
      <c r="G176" s="40"/>
      <c r="H176" s="40"/>
      <c r="I176" s="40"/>
      <c r="J176" s="41" t="str">
        <f aca="false">IF(OR($B176="",$H176=""),"",IF($H176&gt;DateRef,0,YEARFRAC($H176,DateRef,1)))</f>
        <v/>
      </c>
      <c r="K176" s="42" t="str">
        <f aca="false">IF(OR($B176="",$H176=""),"",IF(EDATE($H176,12)&lt;=DateRef,"Plus d'un an","Moins d'un an"))</f>
        <v/>
      </c>
      <c r="L176" s="40"/>
      <c r="M176" s="43" t="str">
        <f aca="false">IF(OR($B176="",$A176=""),"",IF(SUMPRODUCT(MAX((Journal!$A$6:$A$1005=$A176)*Journal!$C$6:$C$1005))=0,"",SUMPRODUCT(MAX((Journal!$A$6:$A$1005=$A176)*Journal!$C$6:$C$1005))))</f>
        <v/>
      </c>
      <c r="N176" s="43" t="str">
        <f aca="false">IF($B176="","",IF(MAX($L176,$M176)=0,"",MAX($L176,$M176)))</f>
        <v/>
      </c>
      <c r="O176" s="44" t="str">
        <f aca="false">IF(OR($B176="",$H176=""),"",IF($N176="",IF(EDATE($H176,DelaiPremierEPP)&gt;DateRef,"1er EPP (1re année)","Aucun entretien renseigné"),IF(AND(ReglesTransitoires="Oui",EDATE($N176,AnciennePeriodiciteEP*12)&lt;DateVigueur),"Retard antérieur à la réforme","Périodicité "&amp;PeriodiciteEPP&amp;" ans")))</f>
        <v/>
      </c>
      <c r="P176" s="43" t="str">
        <f aca="false">IF(OR($B176="",$H176=""),"",IF($N176="",EDATE($H176,DelaiPremierEPP),IF(AND(ReglesTransitoires="Oui",EDATE($N176,AnciennePeriodiciteEP*12)&lt;DateVigueur),EDATE($N176,AnciennePeriodiciteEP*12),EDATE($N176,PeriodiciteEPP*12))))</f>
        <v/>
      </c>
      <c r="Q176" s="40"/>
      <c r="R176" s="45" t="str">
        <f aca="false">IF(OR($P176="",AND($I176&lt;&gt;"",$I176&lt;=DateRef)),"",$P176-DateRef)</f>
        <v/>
      </c>
      <c r="S176" s="42" t="str">
        <f aca="false">IF($B176="","",IF(AND($I176&lt;&gt;"",$I176&lt;=DateRef),"Sorti",IF($H176="","À compléter",IF(AND($Q176&lt;&gt;"",$Q176&gt;=DateRef,$Q176&lt;=$P176),"Planifié",IF($R176&lt;0,"En retard",IF($R176&lt;=SeuilAlerteEPP,"À planifier","À jour"))))))</f>
        <v/>
      </c>
      <c r="T176" s="46" t="str">
        <f aca="false">IF(OR($B176="",$S176="Sorti"),"",MID(IF($H176=""," | Date d'embauche manquante","")&amp;IF(AND($K176="Plus d'un an",$N176="")," | Précédent entretien à renseigner (ancienneté &gt; 1 an)","")&amp;IF($O176="Retard antérieur à la réforme"," | Ancien délai de 2 ans expiré avant la réforme","")&amp;IF(AND($N176&lt;&gt;"",$H176&lt;&gt;"",$N176&lt;$H176)," | Entretien antérieur à l'embauche ?","")&amp;IF(AND($N176&lt;&gt;"",$N176&gt;DateRef)," | Entretien daté dans le futur ?","")&amp;IF(AND($Q176&lt;&gt;"",$P176&lt;&gt;"",$Q176&gt;$P176)," | Date prévue après l'échéance","")&amp;IF(AND($Q176&lt;&gt;"",$Q176&lt;DateRef,OR($N176="",$N176&lt;$Q176))," | Entretien prévu passé : le consigner au Journal","")&amp;IF(AND($G176&lt;&gt;"",$X176="",YEAR(DateRef)-YEAR($G176)&gt;=AgeMiCarriere-1,YEAR(DateRef)-YEAR($G176)&lt;=AgeMiCarriere+1)," | Visite de mi-carrière à vérifier",""),4,1000))</f>
        <v/>
      </c>
      <c r="U176" s="39"/>
      <c r="V176" s="40"/>
      <c r="W176" s="42" t="str">
        <f aca="false">IF(OR($B176="",$V176=""),"",IF(AND($I176&lt;&gt;"",$I176&lt;=DateRef),"",IF(AND($N176&lt;&gt;"",$N176&gt;=$V176),"Réalisé",IF(AND($N176&lt;&gt;"",$N176&gt;=EDATE($V176,-FenetreRetour)),"Dispensé (EPP récent)",IF($V176&gt;DateRef,"À prévoir à la reprise","À proposer (reprise passée)")))))</f>
        <v/>
      </c>
      <c r="X176" s="40"/>
      <c r="Y176" s="43" t="str">
        <f aca="false">IF(OR($B176="",$X176=""),"",EDATE($X176,DelaiMiCarriere))</f>
        <v/>
      </c>
      <c r="Z176" s="42" t="str">
        <f aca="false">IF(OR($B176="",$X176=""),"",IF(AND($I176&lt;&gt;"",$I176&lt;=DateRef),"",IF(AND($N176&lt;&gt;"",$N176&gt;=$X176),"Réalisé",IF($Y176&lt;DateRef,"En retard","À planifier"))))</f>
        <v/>
      </c>
      <c r="AA176" s="47" t="str">
        <f aca="false">IF(OR($B176="",$G176=""),"",IF($G176&gt;DateRef,"",DATEDIF($G176,DateRef,"y")))</f>
        <v/>
      </c>
      <c r="AB176" s="43" t="str">
        <f aca="false">IF(OR($B176="",$G176=""),"",EDATE($G176,AgeFinCarriere*12))</f>
        <v/>
      </c>
      <c r="AC176" s="42" t="str">
        <f aca="false">IF(OR($B176="",$G176="",$H176=""),"",IF(AND($I176&lt;&gt;"",$I176&lt;=DateRef),"",IF($AB176&lt;DateVigueur,"Non concerné",IF(AND($N176&lt;&gt;"",$N176&gt;=MAX(EDATE($AB176,-FenetreFinCarriere*12),DateVigueur),$N176&lt;=$AB176),"Réalisé",IF(DateRef&gt;$AB176,"Non réalisé",IF(AND($Q176&lt;&gt;"",$Q176&gt;=EDATE($AB176,-FenetreFinCarriere*12),$Q176&lt;=$AB176),"Planifié dans la fenêtre",IF(AND(MAX($P176,DateRef)&gt;=EDATE($AB176,-FenetreFinCarriere*12),MAX($P176,DateRef)&lt;=$AB176),"Prochain EPP dans la fenêtre",IF(MAX($P176,DateRef)&gt;$AB176,"À programmer avant 60 ans",""))))))))</f>
        <v/>
      </c>
      <c r="AD176" s="40"/>
      <c r="AE176" s="43" t="str">
        <f aca="false">IF(OR($B176="",$H176="",AND($I176&lt;&gt;"",$I176&lt;=DateRef)),"",MAX($H176,$AD176,IF($A176="",0,SUMPRODUCT(MAX((Journal!$A$6:$A$1005=$A176)*((Journal!$D$6:$D$1005=TypeEDL)+(Journal!$D$6:$D$1005=TypeBilan6))*Journal!$C$6:$C$1005)))))</f>
        <v/>
      </c>
      <c r="AF176" s="43" t="str">
        <f aca="false">IF($AE176="","",IF(AND(ReglesTransitoires="Oui",EDATE($AE176,AnciennePeriodiciteEDL*12)&lt;DateVigueur),EDATE($AE176,AnciennePeriodiciteEDL*12),EDATE($AE176,PeriodiciteEDL*12)))</f>
        <v/>
      </c>
      <c r="AG176" s="42" t="str">
        <f aca="false">IF($AF176="","",IF(AND($I176&lt;&gt;"",$I176&lt;=DateRef),"",IF($AF176&lt;DateRef,"En retard",IF($AF176-DateRef&lt;=SeuilAlerteEDL,"À prévoir","À jour"))))</f>
        <v/>
      </c>
      <c r="AH176" s="39"/>
      <c r="AI176" s="39"/>
      <c r="AJ176" s="42" t="str">
        <f aca="false">IF(OR($B176="",$H176=""),"",IF(AND($I176&lt;&gt;"",$I176&lt;=DateRef),"",IF(Effectif&lt;SeuilEffectif,"Non concerné (&lt; "&amp;SeuilEffectif&amp;" salariés)",IF($AH176="Oui","Pas de risque",IF(AND(OR($AI176="Non",$S176="En retard"),$AH176="Non"),"Risque abondement",IF(OR($AI176="Non",$S176="En retard"),"À vérifier (formation ?)",IF($AI176="Oui","Pas de risque","À compléter")))))))</f>
        <v/>
      </c>
      <c r="AK176" s="39"/>
    </row>
    <row r="177" customFormat="false" ht="15" hidden="false" customHeight="false" outlineLevel="0" collapsed="false">
      <c r="A177" s="39"/>
      <c r="B177" s="39"/>
      <c r="C177" s="39"/>
      <c r="D177" s="39"/>
      <c r="E177" s="39"/>
      <c r="F177" s="39"/>
      <c r="G177" s="40"/>
      <c r="H177" s="40"/>
      <c r="I177" s="40"/>
      <c r="J177" s="41" t="str">
        <f aca="false">IF(OR($B177="",$H177=""),"",IF($H177&gt;DateRef,0,YEARFRAC($H177,DateRef,1)))</f>
        <v/>
      </c>
      <c r="K177" s="42" t="str">
        <f aca="false">IF(OR($B177="",$H177=""),"",IF(EDATE($H177,12)&lt;=DateRef,"Plus d'un an","Moins d'un an"))</f>
        <v/>
      </c>
      <c r="L177" s="40"/>
      <c r="M177" s="43" t="str">
        <f aca="false">IF(OR($B177="",$A177=""),"",IF(SUMPRODUCT(MAX((Journal!$A$6:$A$1005=$A177)*Journal!$C$6:$C$1005))=0,"",SUMPRODUCT(MAX((Journal!$A$6:$A$1005=$A177)*Journal!$C$6:$C$1005))))</f>
        <v/>
      </c>
      <c r="N177" s="43" t="str">
        <f aca="false">IF($B177="","",IF(MAX($L177,$M177)=0,"",MAX($L177,$M177)))</f>
        <v/>
      </c>
      <c r="O177" s="44" t="str">
        <f aca="false">IF(OR($B177="",$H177=""),"",IF($N177="",IF(EDATE($H177,DelaiPremierEPP)&gt;DateRef,"1er EPP (1re année)","Aucun entretien renseigné"),IF(AND(ReglesTransitoires="Oui",EDATE($N177,AnciennePeriodiciteEP*12)&lt;DateVigueur),"Retard antérieur à la réforme","Périodicité "&amp;PeriodiciteEPP&amp;" ans")))</f>
        <v/>
      </c>
      <c r="P177" s="43" t="str">
        <f aca="false">IF(OR($B177="",$H177=""),"",IF($N177="",EDATE($H177,DelaiPremierEPP),IF(AND(ReglesTransitoires="Oui",EDATE($N177,AnciennePeriodiciteEP*12)&lt;DateVigueur),EDATE($N177,AnciennePeriodiciteEP*12),EDATE($N177,PeriodiciteEPP*12))))</f>
        <v/>
      </c>
      <c r="Q177" s="40"/>
      <c r="R177" s="45" t="str">
        <f aca="false">IF(OR($P177="",AND($I177&lt;&gt;"",$I177&lt;=DateRef)),"",$P177-DateRef)</f>
        <v/>
      </c>
      <c r="S177" s="42" t="str">
        <f aca="false">IF($B177="","",IF(AND($I177&lt;&gt;"",$I177&lt;=DateRef),"Sorti",IF($H177="","À compléter",IF(AND($Q177&lt;&gt;"",$Q177&gt;=DateRef,$Q177&lt;=$P177),"Planifié",IF($R177&lt;0,"En retard",IF($R177&lt;=SeuilAlerteEPP,"À planifier","À jour"))))))</f>
        <v/>
      </c>
      <c r="T177" s="46" t="str">
        <f aca="false">IF(OR($B177="",$S177="Sorti"),"",MID(IF($H177=""," | Date d'embauche manquante","")&amp;IF(AND($K177="Plus d'un an",$N177="")," | Précédent entretien à renseigner (ancienneté &gt; 1 an)","")&amp;IF($O177="Retard antérieur à la réforme"," | Ancien délai de 2 ans expiré avant la réforme","")&amp;IF(AND($N177&lt;&gt;"",$H177&lt;&gt;"",$N177&lt;$H177)," | Entretien antérieur à l'embauche ?","")&amp;IF(AND($N177&lt;&gt;"",$N177&gt;DateRef)," | Entretien daté dans le futur ?","")&amp;IF(AND($Q177&lt;&gt;"",$P177&lt;&gt;"",$Q177&gt;$P177)," | Date prévue après l'échéance","")&amp;IF(AND($Q177&lt;&gt;"",$Q177&lt;DateRef,OR($N177="",$N177&lt;$Q177))," | Entretien prévu passé : le consigner au Journal","")&amp;IF(AND($G177&lt;&gt;"",$X177="",YEAR(DateRef)-YEAR($G177)&gt;=AgeMiCarriere-1,YEAR(DateRef)-YEAR($G177)&lt;=AgeMiCarriere+1)," | Visite de mi-carrière à vérifier",""),4,1000))</f>
        <v/>
      </c>
      <c r="U177" s="39"/>
      <c r="V177" s="40"/>
      <c r="W177" s="42" t="str">
        <f aca="false">IF(OR($B177="",$V177=""),"",IF(AND($I177&lt;&gt;"",$I177&lt;=DateRef),"",IF(AND($N177&lt;&gt;"",$N177&gt;=$V177),"Réalisé",IF(AND($N177&lt;&gt;"",$N177&gt;=EDATE($V177,-FenetreRetour)),"Dispensé (EPP récent)",IF($V177&gt;DateRef,"À prévoir à la reprise","À proposer (reprise passée)")))))</f>
        <v/>
      </c>
      <c r="X177" s="40"/>
      <c r="Y177" s="43" t="str">
        <f aca="false">IF(OR($B177="",$X177=""),"",EDATE($X177,DelaiMiCarriere))</f>
        <v/>
      </c>
      <c r="Z177" s="42" t="str">
        <f aca="false">IF(OR($B177="",$X177=""),"",IF(AND($I177&lt;&gt;"",$I177&lt;=DateRef),"",IF(AND($N177&lt;&gt;"",$N177&gt;=$X177),"Réalisé",IF($Y177&lt;DateRef,"En retard","À planifier"))))</f>
        <v/>
      </c>
      <c r="AA177" s="47" t="str">
        <f aca="false">IF(OR($B177="",$G177=""),"",IF($G177&gt;DateRef,"",DATEDIF($G177,DateRef,"y")))</f>
        <v/>
      </c>
      <c r="AB177" s="43" t="str">
        <f aca="false">IF(OR($B177="",$G177=""),"",EDATE($G177,AgeFinCarriere*12))</f>
        <v/>
      </c>
      <c r="AC177" s="42" t="str">
        <f aca="false">IF(OR($B177="",$G177="",$H177=""),"",IF(AND($I177&lt;&gt;"",$I177&lt;=DateRef),"",IF($AB177&lt;DateVigueur,"Non concerné",IF(AND($N177&lt;&gt;"",$N177&gt;=MAX(EDATE($AB177,-FenetreFinCarriere*12),DateVigueur),$N177&lt;=$AB177),"Réalisé",IF(DateRef&gt;$AB177,"Non réalisé",IF(AND($Q177&lt;&gt;"",$Q177&gt;=EDATE($AB177,-FenetreFinCarriere*12),$Q177&lt;=$AB177),"Planifié dans la fenêtre",IF(AND(MAX($P177,DateRef)&gt;=EDATE($AB177,-FenetreFinCarriere*12),MAX($P177,DateRef)&lt;=$AB177),"Prochain EPP dans la fenêtre",IF(MAX($P177,DateRef)&gt;$AB177,"À programmer avant 60 ans",""))))))))</f>
        <v/>
      </c>
      <c r="AD177" s="40"/>
      <c r="AE177" s="43" t="str">
        <f aca="false">IF(OR($B177="",$H177="",AND($I177&lt;&gt;"",$I177&lt;=DateRef)),"",MAX($H177,$AD177,IF($A177="",0,SUMPRODUCT(MAX((Journal!$A$6:$A$1005=$A177)*((Journal!$D$6:$D$1005=TypeEDL)+(Journal!$D$6:$D$1005=TypeBilan6))*Journal!$C$6:$C$1005)))))</f>
        <v/>
      </c>
      <c r="AF177" s="43" t="str">
        <f aca="false">IF($AE177="","",IF(AND(ReglesTransitoires="Oui",EDATE($AE177,AnciennePeriodiciteEDL*12)&lt;DateVigueur),EDATE($AE177,AnciennePeriodiciteEDL*12),EDATE($AE177,PeriodiciteEDL*12)))</f>
        <v/>
      </c>
      <c r="AG177" s="42" t="str">
        <f aca="false">IF($AF177="","",IF(AND($I177&lt;&gt;"",$I177&lt;=DateRef),"",IF($AF177&lt;DateRef,"En retard",IF($AF177-DateRef&lt;=SeuilAlerteEDL,"À prévoir","À jour"))))</f>
        <v/>
      </c>
      <c r="AH177" s="39"/>
      <c r="AI177" s="39"/>
      <c r="AJ177" s="42" t="str">
        <f aca="false">IF(OR($B177="",$H177=""),"",IF(AND($I177&lt;&gt;"",$I177&lt;=DateRef),"",IF(Effectif&lt;SeuilEffectif,"Non concerné (&lt; "&amp;SeuilEffectif&amp;" salariés)",IF($AH177="Oui","Pas de risque",IF(AND(OR($AI177="Non",$S177="En retard"),$AH177="Non"),"Risque abondement",IF(OR($AI177="Non",$S177="En retard"),"À vérifier (formation ?)",IF($AI177="Oui","Pas de risque","À compléter")))))))</f>
        <v/>
      </c>
      <c r="AK177" s="39"/>
    </row>
    <row r="178" customFormat="false" ht="15" hidden="false" customHeight="false" outlineLevel="0" collapsed="false">
      <c r="A178" s="39"/>
      <c r="B178" s="39"/>
      <c r="C178" s="39"/>
      <c r="D178" s="39"/>
      <c r="E178" s="39"/>
      <c r="F178" s="39"/>
      <c r="G178" s="40"/>
      <c r="H178" s="40"/>
      <c r="I178" s="40"/>
      <c r="J178" s="41" t="str">
        <f aca="false">IF(OR($B178="",$H178=""),"",IF($H178&gt;DateRef,0,YEARFRAC($H178,DateRef,1)))</f>
        <v/>
      </c>
      <c r="K178" s="42" t="str">
        <f aca="false">IF(OR($B178="",$H178=""),"",IF(EDATE($H178,12)&lt;=DateRef,"Plus d'un an","Moins d'un an"))</f>
        <v/>
      </c>
      <c r="L178" s="40"/>
      <c r="M178" s="43" t="str">
        <f aca="false">IF(OR($B178="",$A178=""),"",IF(SUMPRODUCT(MAX((Journal!$A$6:$A$1005=$A178)*Journal!$C$6:$C$1005))=0,"",SUMPRODUCT(MAX((Journal!$A$6:$A$1005=$A178)*Journal!$C$6:$C$1005))))</f>
        <v/>
      </c>
      <c r="N178" s="43" t="str">
        <f aca="false">IF($B178="","",IF(MAX($L178,$M178)=0,"",MAX($L178,$M178)))</f>
        <v/>
      </c>
      <c r="O178" s="44" t="str">
        <f aca="false">IF(OR($B178="",$H178=""),"",IF($N178="",IF(EDATE($H178,DelaiPremierEPP)&gt;DateRef,"1er EPP (1re année)","Aucun entretien renseigné"),IF(AND(ReglesTransitoires="Oui",EDATE($N178,AnciennePeriodiciteEP*12)&lt;DateVigueur),"Retard antérieur à la réforme","Périodicité "&amp;PeriodiciteEPP&amp;" ans")))</f>
        <v/>
      </c>
      <c r="P178" s="43" t="str">
        <f aca="false">IF(OR($B178="",$H178=""),"",IF($N178="",EDATE($H178,DelaiPremierEPP),IF(AND(ReglesTransitoires="Oui",EDATE($N178,AnciennePeriodiciteEP*12)&lt;DateVigueur),EDATE($N178,AnciennePeriodiciteEP*12),EDATE($N178,PeriodiciteEPP*12))))</f>
        <v/>
      </c>
      <c r="Q178" s="40"/>
      <c r="R178" s="45" t="str">
        <f aca="false">IF(OR($P178="",AND($I178&lt;&gt;"",$I178&lt;=DateRef)),"",$P178-DateRef)</f>
        <v/>
      </c>
      <c r="S178" s="42" t="str">
        <f aca="false">IF($B178="","",IF(AND($I178&lt;&gt;"",$I178&lt;=DateRef),"Sorti",IF($H178="","À compléter",IF(AND($Q178&lt;&gt;"",$Q178&gt;=DateRef,$Q178&lt;=$P178),"Planifié",IF($R178&lt;0,"En retard",IF($R178&lt;=SeuilAlerteEPP,"À planifier","À jour"))))))</f>
        <v/>
      </c>
      <c r="T178" s="46" t="str">
        <f aca="false">IF(OR($B178="",$S178="Sorti"),"",MID(IF($H178=""," | Date d'embauche manquante","")&amp;IF(AND($K178="Plus d'un an",$N178="")," | Précédent entretien à renseigner (ancienneté &gt; 1 an)","")&amp;IF($O178="Retard antérieur à la réforme"," | Ancien délai de 2 ans expiré avant la réforme","")&amp;IF(AND($N178&lt;&gt;"",$H178&lt;&gt;"",$N178&lt;$H178)," | Entretien antérieur à l'embauche ?","")&amp;IF(AND($N178&lt;&gt;"",$N178&gt;DateRef)," | Entretien daté dans le futur ?","")&amp;IF(AND($Q178&lt;&gt;"",$P178&lt;&gt;"",$Q178&gt;$P178)," | Date prévue après l'échéance","")&amp;IF(AND($Q178&lt;&gt;"",$Q178&lt;DateRef,OR($N178="",$N178&lt;$Q178))," | Entretien prévu passé : le consigner au Journal","")&amp;IF(AND($G178&lt;&gt;"",$X178="",YEAR(DateRef)-YEAR($G178)&gt;=AgeMiCarriere-1,YEAR(DateRef)-YEAR($G178)&lt;=AgeMiCarriere+1)," | Visite de mi-carrière à vérifier",""),4,1000))</f>
        <v/>
      </c>
      <c r="U178" s="39"/>
      <c r="V178" s="40"/>
      <c r="W178" s="42" t="str">
        <f aca="false">IF(OR($B178="",$V178=""),"",IF(AND($I178&lt;&gt;"",$I178&lt;=DateRef),"",IF(AND($N178&lt;&gt;"",$N178&gt;=$V178),"Réalisé",IF(AND($N178&lt;&gt;"",$N178&gt;=EDATE($V178,-FenetreRetour)),"Dispensé (EPP récent)",IF($V178&gt;DateRef,"À prévoir à la reprise","À proposer (reprise passée)")))))</f>
        <v/>
      </c>
      <c r="X178" s="40"/>
      <c r="Y178" s="43" t="str">
        <f aca="false">IF(OR($B178="",$X178=""),"",EDATE($X178,DelaiMiCarriere))</f>
        <v/>
      </c>
      <c r="Z178" s="42" t="str">
        <f aca="false">IF(OR($B178="",$X178=""),"",IF(AND($I178&lt;&gt;"",$I178&lt;=DateRef),"",IF(AND($N178&lt;&gt;"",$N178&gt;=$X178),"Réalisé",IF($Y178&lt;DateRef,"En retard","À planifier"))))</f>
        <v/>
      </c>
      <c r="AA178" s="47" t="str">
        <f aca="false">IF(OR($B178="",$G178=""),"",IF($G178&gt;DateRef,"",DATEDIF($G178,DateRef,"y")))</f>
        <v/>
      </c>
      <c r="AB178" s="43" t="str">
        <f aca="false">IF(OR($B178="",$G178=""),"",EDATE($G178,AgeFinCarriere*12))</f>
        <v/>
      </c>
      <c r="AC178" s="42" t="str">
        <f aca="false">IF(OR($B178="",$G178="",$H178=""),"",IF(AND($I178&lt;&gt;"",$I178&lt;=DateRef),"",IF($AB178&lt;DateVigueur,"Non concerné",IF(AND($N178&lt;&gt;"",$N178&gt;=MAX(EDATE($AB178,-FenetreFinCarriere*12),DateVigueur),$N178&lt;=$AB178),"Réalisé",IF(DateRef&gt;$AB178,"Non réalisé",IF(AND($Q178&lt;&gt;"",$Q178&gt;=EDATE($AB178,-FenetreFinCarriere*12),$Q178&lt;=$AB178),"Planifié dans la fenêtre",IF(AND(MAX($P178,DateRef)&gt;=EDATE($AB178,-FenetreFinCarriere*12),MAX($P178,DateRef)&lt;=$AB178),"Prochain EPP dans la fenêtre",IF(MAX($P178,DateRef)&gt;$AB178,"À programmer avant 60 ans",""))))))))</f>
        <v/>
      </c>
      <c r="AD178" s="40"/>
      <c r="AE178" s="43" t="str">
        <f aca="false">IF(OR($B178="",$H178="",AND($I178&lt;&gt;"",$I178&lt;=DateRef)),"",MAX($H178,$AD178,IF($A178="",0,SUMPRODUCT(MAX((Journal!$A$6:$A$1005=$A178)*((Journal!$D$6:$D$1005=TypeEDL)+(Journal!$D$6:$D$1005=TypeBilan6))*Journal!$C$6:$C$1005)))))</f>
        <v/>
      </c>
      <c r="AF178" s="43" t="str">
        <f aca="false">IF($AE178="","",IF(AND(ReglesTransitoires="Oui",EDATE($AE178,AnciennePeriodiciteEDL*12)&lt;DateVigueur),EDATE($AE178,AnciennePeriodiciteEDL*12),EDATE($AE178,PeriodiciteEDL*12)))</f>
        <v/>
      </c>
      <c r="AG178" s="42" t="str">
        <f aca="false">IF($AF178="","",IF(AND($I178&lt;&gt;"",$I178&lt;=DateRef),"",IF($AF178&lt;DateRef,"En retard",IF($AF178-DateRef&lt;=SeuilAlerteEDL,"À prévoir","À jour"))))</f>
        <v/>
      </c>
      <c r="AH178" s="39"/>
      <c r="AI178" s="39"/>
      <c r="AJ178" s="42" t="str">
        <f aca="false">IF(OR($B178="",$H178=""),"",IF(AND($I178&lt;&gt;"",$I178&lt;=DateRef),"",IF(Effectif&lt;SeuilEffectif,"Non concerné (&lt; "&amp;SeuilEffectif&amp;" salariés)",IF($AH178="Oui","Pas de risque",IF(AND(OR($AI178="Non",$S178="En retard"),$AH178="Non"),"Risque abondement",IF(OR($AI178="Non",$S178="En retard"),"À vérifier (formation ?)",IF($AI178="Oui","Pas de risque","À compléter")))))))</f>
        <v/>
      </c>
      <c r="AK178" s="39"/>
    </row>
    <row r="179" customFormat="false" ht="15" hidden="false" customHeight="false" outlineLevel="0" collapsed="false">
      <c r="A179" s="39"/>
      <c r="B179" s="39"/>
      <c r="C179" s="39"/>
      <c r="D179" s="39"/>
      <c r="E179" s="39"/>
      <c r="F179" s="39"/>
      <c r="G179" s="40"/>
      <c r="H179" s="40"/>
      <c r="I179" s="40"/>
      <c r="J179" s="41" t="str">
        <f aca="false">IF(OR($B179="",$H179=""),"",IF($H179&gt;DateRef,0,YEARFRAC($H179,DateRef,1)))</f>
        <v/>
      </c>
      <c r="K179" s="42" t="str">
        <f aca="false">IF(OR($B179="",$H179=""),"",IF(EDATE($H179,12)&lt;=DateRef,"Plus d'un an","Moins d'un an"))</f>
        <v/>
      </c>
      <c r="L179" s="40"/>
      <c r="M179" s="43" t="str">
        <f aca="false">IF(OR($B179="",$A179=""),"",IF(SUMPRODUCT(MAX((Journal!$A$6:$A$1005=$A179)*Journal!$C$6:$C$1005))=0,"",SUMPRODUCT(MAX((Journal!$A$6:$A$1005=$A179)*Journal!$C$6:$C$1005))))</f>
        <v/>
      </c>
      <c r="N179" s="43" t="str">
        <f aca="false">IF($B179="","",IF(MAX($L179,$M179)=0,"",MAX($L179,$M179)))</f>
        <v/>
      </c>
      <c r="O179" s="44" t="str">
        <f aca="false">IF(OR($B179="",$H179=""),"",IF($N179="",IF(EDATE($H179,DelaiPremierEPP)&gt;DateRef,"1er EPP (1re année)","Aucun entretien renseigné"),IF(AND(ReglesTransitoires="Oui",EDATE($N179,AnciennePeriodiciteEP*12)&lt;DateVigueur),"Retard antérieur à la réforme","Périodicité "&amp;PeriodiciteEPP&amp;" ans")))</f>
        <v/>
      </c>
      <c r="P179" s="43" t="str">
        <f aca="false">IF(OR($B179="",$H179=""),"",IF($N179="",EDATE($H179,DelaiPremierEPP),IF(AND(ReglesTransitoires="Oui",EDATE($N179,AnciennePeriodiciteEP*12)&lt;DateVigueur),EDATE($N179,AnciennePeriodiciteEP*12),EDATE($N179,PeriodiciteEPP*12))))</f>
        <v/>
      </c>
      <c r="Q179" s="40"/>
      <c r="R179" s="45" t="str">
        <f aca="false">IF(OR($P179="",AND($I179&lt;&gt;"",$I179&lt;=DateRef)),"",$P179-DateRef)</f>
        <v/>
      </c>
      <c r="S179" s="42" t="str">
        <f aca="false">IF($B179="","",IF(AND($I179&lt;&gt;"",$I179&lt;=DateRef),"Sorti",IF($H179="","À compléter",IF(AND($Q179&lt;&gt;"",$Q179&gt;=DateRef,$Q179&lt;=$P179),"Planifié",IF($R179&lt;0,"En retard",IF($R179&lt;=SeuilAlerteEPP,"À planifier","À jour"))))))</f>
        <v/>
      </c>
      <c r="T179" s="46" t="str">
        <f aca="false">IF(OR($B179="",$S179="Sorti"),"",MID(IF($H179=""," | Date d'embauche manquante","")&amp;IF(AND($K179="Plus d'un an",$N179="")," | Précédent entretien à renseigner (ancienneté &gt; 1 an)","")&amp;IF($O179="Retard antérieur à la réforme"," | Ancien délai de 2 ans expiré avant la réforme","")&amp;IF(AND($N179&lt;&gt;"",$H179&lt;&gt;"",$N179&lt;$H179)," | Entretien antérieur à l'embauche ?","")&amp;IF(AND($N179&lt;&gt;"",$N179&gt;DateRef)," | Entretien daté dans le futur ?","")&amp;IF(AND($Q179&lt;&gt;"",$P179&lt;&gt;"",$Q179&gt;$P179)," | Date prévue après l'échéance","")&amp;IF(AND($Q179&lt;&gt;"",$Q179&lt;DateRef,OR($N179="",$N179&lt;$Q179))," | Entretien prévu passé : le consigner au Journal","")&amp;IF(AND($G179&lt;&gt;"",$X179="",YEAR(DateRef)-YEAR($G179)&gt;=AgeMiCarriere-1,YEAR(DateRef)-YEAR($G179)&lt;=AgeMiCarriere+1)," | Visite de mi-carrière à vérifier",""),4,1000))</f>
        <v/>
      </c>
      <c r="U179" s="39"/>
      <c r="V179" s="40"/>
      <c r="W179" s="42" t="str">
        <f aca="false">IF(OR($B179="",$V179=""),"",IF(AND($I179&lt;&gt;"",$I179&lt;=DateRef),"",IF(AND($N179&lt;&gt;"",$N179&gt;=$V179),"Réalisé",IF(AND($N179&lt;&gt;"",$N179&gt;=EDATE($V179,-FenetreRetour)),"Dispensé (EPP récent)",IF($V179&gt;DateRef,"À prévoir à la reprise","À proposer (reprise passée)")))))</f>
        <v/>
      </c>
      <c r="X179" s="40"/>
      <c r="Y179" s="43" t="str">
        <f aca="false">IF(OR($B179="",$X179=""),"",EDATE($X179,DelaiMiCarriere))</f>
        <v/>
      </c>
      <c r="Z179" s="42" t="str">
        <f aca="false">IF(OR($B179="",$X179=""),"",IF(AND($I179&lt;&gt;"",$I179&lt;=DateRef),"",IF(AND($N179&lt;&gt;"",$N179&gt;=$X179),"Réalisé",IF($Y179&lt;DateRef,"En retard","À planifier"))))</f>
        <v/>
      </c>
      <c r="AA179" s="47" t="str">
        <f aca="false">IF(OR($B179="",$G179=""),"",IF($G179&gt;DateRef,"",DATEDIF($G179,DateRef,"y")))</f>
        <v/>
      </c>
      <c r="AB179" s="43" t="str">
        <f aca="false">IF(OR($B179="",$G179=""),"",EDATE($G179,AgeFinCarriere*12))</f>
        <v/>
      </c>
      <c r="AC179" s="42" t="str">
        <f aca="false">IF(OR($B179="",$G179="",$H179=""),"",IF(AND($I179&lt;&gt;"",$I179&lt;=DateRef),"",IF($AB179&lt;DateVigueur,"Non concerné",IF(AND($N179&lt;&gt;"",$N179&gt;=MAX(EDATE($AB179,-FenetreFinCarriere*12),DateVigueur),$N179&lt;=$AB179),"Réalisé",IF(DateRef&gt;$AB179,"Non réalisé",IF(AND($Q179&lt;&gt;"",$Q179&gt;=EDATE($AB179,-FenetreFinCarriere*12),$Q179&lt;=$AB179),"Planifié dans la fenêtre",IF(AND(MAX($P179,DateRef)&gt;=EDATE($AB179,-FenetreFinCarriere*12),MAX($P179,DateRef)&lt;=$AB179),"Prochain EPP dans la fenêtre",IF(MAX($P179,DateRef)&gt;$AB179,"À programmer avant 60 ans",""))))))))</f>
        <v/>
      </c>
      <c r="AD179" s="40"/>
      <c r="AE179" s="43" t="str">
        <f aca="false">IF(OR($B179="",$H179="",AND($I179&lt;&gt;"",$I179&lt;=DateRef)),"",MAX($H179,$AD179,IF($A179="",0,SUMPRODUCT(MAX((Journal!$A$6:$A$1005=$A179)*((Journal!$D$6:$D$1005=TypeEDL)+(Journal!$D$6:$D$1005=TypeBilan6))*Journal!$C$6:$C$1005)))))</f>
        <v/>
      </c>
      <c r="AF179" s="43" t="str">
        <f aca="false">IF($AE179="","",IF(AND(ReglesTransitoires="Oui",EDATE($AE179,AnciennePeriodiciteEDL*12)&lt;DateVigueur),EDATE($AE179,AnciennePeriodiciteEDL*12),EDATE($AE179,PeriodiciteEDL*12)))</f>
        <v/>
      </c>
      <c r="AG179" s="42" t="str">
        <f aca="false">IF($AF179="","",IF(AND($I179&lt;&gt;"",$I179&lt;=DateRef),"",IF($AF179&lt;DateRef,"En retard",IF($AF179-DateRef&lt;=SeuilAlerteEDL,"À prévoir","À jour"))))</f>
        <v/>
      </c>
      <c r="AH179" s="39"/>
      <c r="AI179" s="39"/>
      <c r="AJ179" s="42" t="str">
        <f aca="false">IF(OR($B179="",$H179=""),"",IF(AND($I179&lt;&gt;"",$I179&lt;=DateRef),"",IF(Effectif&lt;SeuilEffectif,"Non concerné (&lt; "&amp;SeuilEffectif&amp;" salariés)",IF($AH179="Oui","Pas de risque",IF(AND(OR($AI179="Non",$S179="En retard"),$AH179="Non"),"Risque abondement",IF(OR($AI179="Non",$S179="En retard"),"À vérifier (formation ?)",IF($AI179="Oui","Pas de risque","À compléter")))))))</f>
        <v/>
      </c>
      <c r="AK179" s="39"/>
    </row>
    <row r="180" customFormat="false" ht="15" hidden="false" customHeight="false" outlineLevel="0" collapsed="false">
      <c r="A180" s="39"/>
      <c r="B180" s="39"/>
      <c r="C180" s="39"/>
      <c r="D180" s="39"/>
      <c r="E180" s="39"/>
      <c r="F180" s="39"/>
      <c r="G180" s="40"/>
      <c r="H180" s="40"/>
      <c r="I180" s="40"/>
      <c r="J180" s="41" t="str">
        <f aca="false">IF(OR($B180="",$H180=""),"",IF($H180&gt;DateRef,0,YEARFRAC($H180,DateRef,1)))</f>
        <v/>
      </c>
      <c r="K180" s="42" t="str">
        <f aca="false">IF(OR($B180="",$H180=""),"",IF(EDATE($H180,12)&lt;=DateRef,"Plus d'un an","Moins d'un an"))</f>
        <v/>
      </c>
      <c r="L180" s="40"/>
      <c r="M180" s="43" t="str">
        <f aca="false">IF(OR($B180="",$A180=""),"",IF(SUMPRODUCT(MAX((Journal!$A$6:$A$1005=$A180)*Journal!$C$6:$C$1005))=0,"",SUMPRODUCT(MAX((Journal!$A$6:$A$1005=$A180)*Journal!$C$6:$C$1005))))</f>
        <v/>
      </c>
      <c r="N180" s="43" t="str">
        <f aca="false">IF($B180="","",IF(MAX($L180,$M180)=0,"",MAX($L180,$M180)))</f>
        <v/>
      </c>
      <c r="O180" s="44" t="str">
        <f aca="false">IF(OR($B180="",$H180=""),"",IF($N180="",IF(EDATE($H180,DelaiPremierEPP)&gt;DateRef,"1er EPP (1re année)","Aucun entretien renseigné"),IF(AND(ReglesTransitoires="Oui",EDATE($N180,AnciennePeriodiciteEP*12)&lt;DateVigueur),"Retard antérieur à la réforme","Périodicité "&amp;PeriodiciteEPP&amp;" ans")))</f>
        <v/>
      </c>
      <c r="P180" s="43" t="str">
        <f aca="false">IF(OR($B180="",$H180=""),"",IF($N180="",EDATE($H180,DelaiPremierEPP),IF(AND(ReglesTransitoires="Oui",EDATE($N180,AnciennePeriodiciteEP*12)&lt;DateVigueur),EDATE($N180,AnciennePeriodiciteEP*12),EDATE($N180,PeriodiciteEPP*12))))</f>
        <v/>
      </c>
      <c r="Q180" s="40"/>
      <c r="R180" s="45" t="str">
        <f aca="false">IF(OR($P180="",AND($I180&lt;&gt;"",$I180&lt;=DateRef)),"",$P180-DateRef)</f>
        <v/>
      </c>
      <c r="S180" s="42" t="str">
        <f aca="false">IF($B180="","",IF(AND($I180&lt;&gt;"",$I180&lt;=DateRef),"Sorti",IF($H180="","À compléter",IF(AND($Q180&lt;&gt;"",$Q180&gt;=DateRef,$Q180&lt;=$P180),"Planifié",IF($R180&lt;0,"En retard",IF($R180&lt;=SeuilAlerteEPP,"À planifier","À jour"))))))</f>
        <v/>
      </c>
      <c r="T180" s="46" t="str">
        <f aca="false">IF(OR($B180="",$S180="Sorti"),"",MID(IF($H180=""," | Date d'embauche manquante","")&amp;IF(AND($K180="Plus d'un an",$N180="")," | Précédent entretien à renseigner (ancienneté &gt; 1 an)","")&amp;IF($O180="Retard antérieur à la réforme"," | Ancien délai de 2 ans expiré avant la réforme","")&amp;IF(AND($N180&lt;&gt;"",$H180&lt;&gt;"",$N180&lt;$H180)," | Entretien antérieur à l'embauche ?","")&amp;IF(AND($N180&lt;&gt;"",$N180&gt;DateRef)," | Entretien daté dans le futur ?","")&amp;IF(AND($Q180&lt;&gt;"",$P180&lt;&gt;"",$Q180&gt;$P180)," | Date prévue après l'échéance","")&amp;IF(AND($Q180&lt;&gt;"",$Q180&lt;DateRef,OR($N180="",$N180&lt;$Q180))," | Entretien prévu passé : le consigner au Journal","")&amp;IF(AND($G180&lt;&gt;"",$X180="",YEAR(DateRef)-YEAR($G180)&gt;=AgeMiCarriere-1,YEAR(DateRef)-YEAR($G180)&lt;=AgeMiCarriere+1)," | Visite de mi-carrière à vérifier",""),4,1000))</f>
        <v/>
      </c>
      <c r="U180" s="39"/>
      <c r="V180" s="40"/>
      <c r="W180" s="42" t="str">
        <f aca="false">IF(OR($B180="",$V180=""),"",IF(AND($I180&lt;&gt;"",$I180&lt;=DateRef),"",IF(AND($N180&lt;&gt;"",$N180&gt;=$V180),"Réalisé",IF(AND($N180&lt;&gt;"",$N180&gt;=EDATE($V180,-FenetreRetour)),"Dispensé (EPP récent)",IF($V180&gt;DateRef,"À prévoir à la reprise","À proposer (reprise passée)")))))</f>
        <v/>
      </c>
      <c r="X180" s="40"/>
      <c r="Y180" s="43" t="str">
        <f aca="false">IF(OR($B180="",$X180=""),"",EDATE($X180,DelaiMiCarriere))</f>
        <v/>
      </c>
      <c r="Z180" s="42" t="str">
        <f aca="false">IF(OR($B180="",$X180=""),"",IF(AND($I180&lt;&gt;"",$I180&lt;=DateRef),"",IF(AND($N180&lt;&gt;"",$N180&gt;=$X180),"Réalisé",IF($Y180&lt;DateRef,"En retard","À planifier"))))</f>
        <v/>
      </c>
      <c r="AA180" s="47" t="str">
        <f aca="false">IF(OR($B180="",$G180=""),"",IF($G180&gt;DateRef,"",DATEDIF($G180,DateRef,"y")))</f>
        <v/>
      </c>
      <c r="AB180" s="43" t="str">
        <f aca="false">IF(OR($B180="",$G180=""),"",EDATE($G180,AgeFinCarriere*12))</f>
        <v/>
      </c>
      <c r="AC180" s="42" t="str">
        <f aca="false">IF(OR($B180="",$G180="",$H180=""),"",IF(AND($I180&lt;&gt;"",$I180&lt;=DateRef),"",IF($AB180&lt;DateVigueur,"Non concerné",IF(AND($N180&lt;&gt;"",$N180&gt;=MAX(EDATE($AB180,-FenetreFinCarriere*12),DateVigueur),$N180&lt;=$AB180),"Réalisé",IF(DateRef&gt;$AB180,"Non réalisé",IF(AND($Q180&lt;&gt;"",$Q180&gt;=EDATE($AB180,-FenetreFinCarriere*12),$Q180&lt;=$AB180),"Planifié dans la fenêtre",IF(AND(MAX($P180,DateRef)&gt;=EDATE($AB180,-FenetreFinCarriere*12),MAX($P180,DateRef)&lt;=$AB180),"Prochain EPP dans la fenêtre",IF(MAX($P180,DateRef)&gt;$AB180,"À programmer avant 60 ans",""))))))))</f>
        <v/>
      </c>
      <c r="AD180" s="40"/>
      <c r="AE180" s="43" t="str">
        <f aca="false">IF(OR($B180="",$H180="",AND($I180&lt;&gt;"",$I180&lt;=DateRef)),"",MAX($H180,$AD180,IF($A180="",0,SUMPRODUCT(MAX((Journal!$A$6:$A$1005=$A180)*((Journal!$D$6:$D$1005=TypeEDL)+(Journal!$D$6:$D$1005=TypeBilan6))*Journal!$C$6:$C$1005)))))</f>
        <v/>
      </c>
      <c r="AF180" s="43" t="str">
        <f aca="false">IF($AE180="","",IF(AND(ReglesTransitoires="Oui",EDATE($AE180,AnciennePeriodiciteEDL*12)&lt;DateVigueur),EDATE($AE180,AnciennePeriodiciteEDL*12),EDATE($AE180,PeriodiciteEDL*12)))</f>
        <v/>
      </c>
      <c r="AG180" s="42" t="str">
        <f aca="false">IF($AF180="","",IF(AND($I180&lt;&gt;"",$I180&lt;=DateRef),"",IF($AF180&lt;DateRef,"En retard",IF($AF180-DateRef&lt;=SeuilAlerteEDL,"À prévoir","À jour"))))</f>
        <v/>
      </c>
      <c r="AH180" s="39"/>
      <c r="AI180" s="39"/>
      <c r="AJ180" s="42" t="str">
        <f aca="false">IF(OR($B180="",$H180=""),"",IF(AND($I180&lt;&gt;"",$I180&lt;=DateRef),"",IF(Effectif&lt;SeuilEffectif,"Non concerné (&lt; "&amp;SeuilEffectif&amp;" salariés)",IF($AH180="Oui","Pas de risque",IF(AND(OR($AI180="Non",$S180="En retard"),$AH180="Non"),"Risque abondement",IF(OR($AI180="Non",$S180="En retard"),"À vérifier (formation ?)",IF($AI180="Oui","Pas de risque","À compléter")))))))</f>
        <v/>
      </c>
      <c r="AK180" s="39"/>
    </row>
    <row r="181" customFormat="false" ht="15" hidden="false" customHeight="false" outlineLevel="0" collapsed="false">
      <c r="A181" s="39"/>
      <c r="B181" s="39"/>
      <c r="C181" s="39"/>
      <c r="D181" s="39"/>
      <c r="E181" s="39"/>
      <c r="F181" s="39"/>
      <c r="G181" s="40"/>
      <c r="H181" s="40"/>
      <c r="I181" s="40"/>
      <c r="J181" s="41" t="str">
        <f aca="false">IF(OR($B181="",$H181=""),"",IF($H181&gt;DateRef,0,YEARFRAC($H181,DateRef,1)))</f>
        <v/>
      </c>
      <c r="K181" s="42" t="str">
        <f aca="false">IF(OR($B181="",$H181=""),"",IF(EDATE($H181,12)&lt;=DateRef,"Plus d'un an","Moins d'un an"))</f>
        <v/>
      </c>
      <c r="L181" s="40"/>
      <c r="M181" s="43" t="str">
        <f aca="false">IF(OR($B181="",$A181=""),"",IF(SUMPRODUCT(MAX((Journal!$A$6:$A$1005=$A181)*Journal!$C$6:$C$1005))=0,"",SUMPRODUCT(MAX((Journal!$A$6:$A$1005=$A181)*Journal!$C$6:$C$1005))))</f>
        <v/>
      </c>
      <c r="N181" s="43" t="str">
        <f aca="false">IF($B181="","",IF(MAX($L181,$M181)=0,"",MAX($L181,$M181)))</f>
        <v/>
      </c>
      <c r="O181" s="44" t="str">
        <f aca="false">IF(OR($B181="",$H181=""),"",IF($N181="",IF(EDATE($H181,DelaiPremierEPP)&gt;DateRef,"1er EPP (1re année)","Aucun entretien renseigné"),IF(AND(ReglesTransitoires="Oui",EDATE($N181,AnciennePeriodiciteEP*12)&lt;DateVigueur),"Retard antérieur à la réforme","Périodicité "&amp;PeriodiciteEPP&amp;" ans")))</f>
        <v/>
      </c>
      <c r="P181" s="43" t="str">
        <f aca="false">IF(OR($B181="",$H181=""),"",IF($N181="",EDATE($H181,DelaiPremierEPP),IF(AND(ReglesTransitoires="Oui",EDATE($N181,AnciennePeriodiciteEP*12)&lt;DateVigueur),EDATE($N181,AnciennePeriodiciteEP*12),EDATE($N181,PeriodiciteEPP*12))))</f>
        <v/>
      </c>
      <c r="Q181" s="40"/>
      <c r="R181" s="45" t="str">
        <f aca="false">IF(OR($P181="",AND($I181&lt;&gt;"",$I181&lt;=DateRef)),"",$P181-DateRef)</f>
        <v/>
      </c>
      <c r="S181" s="42" t="str">
        <f aca="false">IF($B181="","",IF(AND($I181&lt;&gt;"",$I181&lt;=DateRef),"Sorti",IF($H181="","À compléter",IF(AND($Q181&lt;&gt;"",$Q181&gt;=DateRef,$Q181&lt;=$P181),"Planifié",IF($R181&lt;0,"En retard",IF($R181&lt;=SeuilAlerteEPP,"À planifier","À jour"))))))</f>
        <v/>
      </c>
      <c r="T181" s="46" t="str">
        <f aca="false">IF(OR($B181="",$S181="Sorti"),"",MID(IF($H181=""," | Date d'embauche manquante","")&amp;IF(AND($K181="Plus d'un an",$N181="")," | Précédent entretien à renseigner (ancienneté &gt; 1 an)","")&amp;IF($O181="Retard antérieur à la réforme"," | Ancien délai de 2 ans expiré avant la réforme","")&amp;IF(AND($N181&lt;&gt;"",$H181&lt;&gt;"",$N181&lt;$H181)," | Entretien antérieur à l'embauche ?","")&amp;IF(AND($N181&lt;&gt;"",$N181&gt;DateRef)," | Entretien daté dans le futur ?","")&amp;IF(AND($Q181&lt;&gt;"",$P181&lt;&gt;"",$Q181&gt;$P181)," | Date prévue après l'échéance","")&amp;IF(AND($Q181&lt;&gt;"",$Q181&lt;DateRef,OR($N181="",$N181&lt;$Q181))," | Entretien prévu passé : le consigner au Journal","")&amp;IF(AND($G181&lt;&gt;"",$X181="",YEAR(DateRef)-YEAR($G181)&gt;=AgeMiCarriere-1,YEAR(DateRef)-YEAR($G181)&lt;=AgeMiCarriere+1)," | Visite de mi-carrière à vérifier",""),4,1000))</f>
        <v/>
      </c>
      <c r="U181" s="39"/>
      <c r="V181" s="40"/>
      <c r="W181" s="42" t="str">
        <f aca="false">IF(OR($B181="",$V181=""),"",IF(AND($I181&lt;&gt;"",$I181&lt;=DateRef),"",IF(AND($N181&lt;&gt;"",$N181&gt;=$V181),"Réalisé",IF(AND($N181&lt;&gt;"",$N181&gt;=EDATE($V181,-FenetreRetour)),"Dispensé (EPP récent)",IF($V181&gt;DateRef,"À prévoir à la reprise","À proposer (reprise passée)")))))</f>
        <v/>
      </c>
      <c r="X181" s="40"/>
      <c r="Y181" s="43" t="str">
        <f aca="false">IF(OR($B181="",$X181=""),"",EDATE($X181,DelaiMiCarriere))</f>
        <v/>
      </c>
      <c r="Z181" s="42" t="str">
        <f aca="false">IF(OR($B181="",$X181=""),"",IF(AND($I181&lt;&gt;"",$I181&lt;=DateRef),"",IF(AND($N181&lt;&gt;"",$N181&gt;=$X181),"Réalisé",IF($Y181&lt;DateRef,"En retard","À planifier"))))</f>
        <v/>
      </c>
      <c r="AA181" s="47" t="str">
        <f aca="false">IF(OR($B181="",$G181=""),"",IF($G181&gt;DateRef,"",DATEDIF($G181,DateRef,"y")))</f>
        <v/>
      </c>
      <c r="AB181" s="43" t="str">
        <f aca="false">IF(OR($B181="",$G181=""),"",EDATE($G181,AgeFinCarriere*12))</f>
        <v/>
      </c>
      <c r="AC181" s="42" t="str">
        <f aca="false">IF(OR($B181="",$G181="",$H181=""),"",IF(AND($I181&lt;&gt;"",$I181&lt;=DateRef),"",IF($AB181&lt;DateVigueur,"Non concerné",IF(AND($N181&lt;&gt;"",$N181&gt;=MAX(EDATE($AB181,-FenetreFinCarriere*12),DateVigueur),$N181&lt;=$AB181),"Réalisé",IF(DateRef&gt;$AB181,"Non réalisé",IF(AND($Q181&lt;&gt;"",$Q181&gt;=EDATE($AB181,-FenetreFinCarriere*12),$Q181&lt;=$AB181),"Planifié dans la fenêtre",IF(AND(MAX($P181,DateRef)&gt;=EDATE($AB181,-FenetreFinCarriere*12),MAX($P181,DateRef)&lt;=$AB181),"Prochain EPP dans la fenêtre",IF(MAX($P181,DateRef)&gt;$AB181,"À programmer avant 60 ans",""))))))))</f>
        <v/>
      </c>
      <c r="AD181" s="40"/>
      <c r="AE181" s="43" t="str">
        <f aca="false">IF(OR($B181="",$H181="",AND($I181&lt;&gt;"",$I181&lt;=DateRef)),"",MAX($H181,$AD181,IF($A181="",0,SUMPRODUCT(MAX((Journal!$A$6:$A$1005=$A181)*((Journal!$D$6:$D$1005=TypeEDL)+(Journal!$D$6:$D$1005=TypeBilan6))*Journal!$C$6:$C$1005)))))</f>
        <v/>
      </c>
      <c r="AF181" s="43" t="str">
        <f aca="false">IF($AE181="","",IF(AND(ReglesTransitoires="Oui",EDATE($AE181,AnciennePeriodiciteEDL*12)&lt;DateVigueur),EDATE($AE181,AnciennePeriodiciteEDL*12),EDATE($AE181,PeriodiciteEDL*12)))</f>
        <v/>
      </c>
      <c r="AG181" s="42" t="str">
        <f aca="false">IF($AF181="","",IF(AND($I181&lt;&gt;"",$I181&lt;=DateRef),"",IF($AF181&lt;DateRef,"En retard",IF($AF181-DateRef&lt;=SeuilAlerteEDL,"À prévoir","À jour"))))</f>
        <v/>
      </c>
      <c r="AH181" s="39"/>
      <c r="AI181" s="39"/>
      <c r="AJ181" s="42" t="str">
        <f aca="false">IF(OR($B181="",$H181=""),"",IF(AND($I181&lt;&gt;"",$I181&lt;=DateRef),"",IF(Effectif&lt;SeuilEffectif,"Non concerné (&lt; "&amp;SeuilEffectif&amp;" salariés)",IF($AH181="Oui","Pas de risque",IF(AND(OR($AI181="Non",$S181="En retard"),$AH181="Non"),"Risque abondement",IF(OR($AI181="Non",$S181="En retard"),"À vérifier (formation ?)",IF($AI181="Oui","Pas de risque","À compléter")))))))</f>
        <v/>
      </c>
      <c r="AK181" s="39"/>
    </row>
    <row r="182" customFormat="false" ht="15" hidden="false" customHeight="false" outlineLevel="0" collapsed="false">
      <c r="A182" s="39"/>
      <c r="B182" s="39"/>
      <c r="C182" s="39"/>
      <c r="D182" s="39"/>
      <c r="E182" s="39"/>
      <c r="F182" s="39"/>
      <c r="G182" s="40"/>
      <c r="H182" s="40"/>
      <c r="I182" s="40"/>
      <c r="J182" s="41" t="str">
        <f aca="false">IF(OR($B182="",$H182=""),"",IF($H182&gt;DateRef,0,YEARFRAC($H182,DateRef,1)))</f>
        <v/>
      </c>
      <c r="K182" s="42" t="str">
        <f aca="false">IF(OR($B182="",$H182=""),"",IF(EDATE($H182,12)&lt;=DateRef,"Plus d'un an","Moins d'un an"))</f>
        <v/>
      </c>
      <c r="L182" s="40"/>
      <c r="M182" s="43" t="str">
        <f aca="false">IF(OR($B182="",$A182=""),"",IF(SUMPRODUCT(MAX((Journal!$A$6:$A$1005=$A182)*Journal!$C$6:$C$1005))=0,"",SUMPRODUCT(MAX((Journal!$A$6:$A$1005=$A182)*Journal!$C$6:$C$1005))))</f>
        <v/>
      </c>
      <c r="N182" s="43" t="str">
        <f aca="false">IF($B182="","",IF(MAX($L182,$M182)=0,"",MAX($L182,$M182)))</f>
        <v/>
      </c>
      <c r="O182" s="44" t="str">
        <f aca="false">IF(OR($B182="",$H182=""),"",IF($N182="",IF(EDATE($H182,DelaiPremierEPP)&gt;DateRef,"1er EPP (1re année)","Aucun entretien renseigné"),IF(AND(ReglesTransitoires="Oui",EDATE($N182,AnciennePeriodiciteEP*12)&lt;DateVigueur),"Retard antérieur à la réforme","Périodicité "&amp;PeriodiciteEPP&amp;" ans")))</f>
        <v/>
      </c>
      <c r="P182" s="43" t="str">
        <f aca="false">IF(OR($B182="",$H182=""),"",IF($N182="",EDATE($H182,DelaiPremierEPP),IF(AND(ReglesTransitoires="Oui",EDATE($N182,AnciennePeriodiciteEP*12)&lt;DateVigueur),EDATE($N182,AnciennePeriodiciteEP*12),EDATE($N182,PeriodiciteEPP*12))))</f>
        <v/>
      </c>
      <c r="Q182" s="40"/>
      <c r="R182" s="45" t="str">
        <f aca="false">IF(OR($P182="",AND($I182&lt;&gt;"",$I182&lt;=DateRef)),"",$P182-DateRef)</f>
        <v/>
      </c>
      <c r="S182" s="42" t="str">
        <f aca="false">IF($B182="","",IF(AND($I182&lt;&gt;"",$I182&lt;=DateRef),"Sorti",IF($H182="","À compléter",IF(AND($Q182&lt;&gt;"",$Q182&gt;=DateRef,$Q182&lt;=$P182),"Planifié",IF($R182&lt;0,"En retard",IF($R182&lt;=SeuilAlerteEPP,"À planifier","À jour"))))))</f>
        <v/>
      </c>
      <c r="T182" s="46" t="str">
        <f aca="false">IF(OR($B182="",$S182="Sorti"),"",MID(IF($H182=""," | Date d'embauche manquante","")&amp;IF(AND($K182="Plus d'un an",$N182="")," | Précédent entretien à renseigner (ancienneté &gt; 1 an)","")&amp;IF($O182="Retard antérieur à la réforme"," | Ancien délai de 2 ans expiré avant la réforme","")&amp;IF(AND($N182&lt;&gt;"",$H182&lt;&gt;"",$N182&lt;$H182)," | Entretien antérieur à l'embauche ?","")&amp;IF(AND($N182&lt;&gt;"",$N182&gt;DateRef)," | Entretien daté dans le futur ?","")&amp;IF(AND($Q182&lt;&gt;"",$P182&lt;&gt;"",$Q182&gt;$P182)," | Date prévue après l'échéance","")&amp;IF(AND($Q182&lt;&gt;"",$Q182&lt;DateRef,OR($N182="",$N182&lt;$Q182))," | Entretien prévu passé : le consigner au Journal","")&amp;IF(AND($G182&lt;&gt;"",$X182="",YEAR(DateRef)-YEAR($G182)&gt;=AgeMiCarriere-1,YEAR(DateRef)-YEAR($G182)&lt;=AgeMiCarriere+1)," | Visite de mi-carrière à vérifier",""),4,1000))</f>
        <v/>
      </c>
      <c r="U182" s="39"/>
      <c r="V182" s="40"/>
      <c r="W182" s="42" t="str">
        <f aca="false">IF(OR($B182="",$V182=""),"",IF(AND($I182&lt;&gt;"",$I182&lt;=DateRef),"",IF(AND($N182&lt;&gt;"",$N182&gt;=$V182),"Réalisé",IF(AND($N182&lt;&gt;"",$N182&gt;=EDATE($V182,-FenetreRetour)),"Dispensé (EPP récent)",IF($V182&gt;DateRef,"À prévoir à la reprise","À proposer (reprise passée)")))))</f>
        <v/>
      </c>
      <c r="X182" s="40"/>
      <c r="Y182" s="43" t="str">
        <f aca="false">IF(OR($B182="",$X182=""),"",EDATE($X182,DelaiMiCarriere))</f>
        <v/>
      </c>
      <c r="Z182" s="42" t="str">
        <f aca="false">IF(OR($B182="",$X182=""),"",IF(AND($I182&lt;&gt;"",$I182&lt;=DateRef),"",IF(AND($N182&lt;&gt;"",$N182&gt;=$X182),"Réalisé",IF($Y182&lt;DateRef,"En retard","À planifier"))))</f>
        <v/>
      </c>
      <c r="AA182" s="47" t="str">
        <f aca="false">IF(OR($B182="",$G182=""),"",IF($G182&gt;DateRef,"",DATEDIF($G182,DateRef,"y")))</f>
        <v/>
      </c>
      <c r="AB182" s="43" t="str">
        <f aca="false">IF(OR($B182="",$G182=""),"",EDATE($G182,AgeFinCarriere*12))</f>
        <v/>
      </c>
      <c r="AC182" s="42" t="str">
        <f aca="false">IF(OR($B182="",$G182="",$H182=""),"",IF(AND($I182&lt;&gt;"",$I182&lt;=DateRef),"",IF($AB182&lt;DateVigueur,"Non concerné",IF(AND($N182&lt;&gt;"",$N182&gt;=MAX(EDATE($AB182,-FenetreFinCarriere*12),DateVigueur),$N182&lt;=$AB182),"Réalisé",IF(DateRef&gt;$AB182,"Non réalisé",IF(AND($Q182&lt;&gt;"",$Q182&gt;=EDATE($AB182,-FenetreFinCarriere*12),$Q182&lt;=$AB182),"Planifié dans la fenêtre",IF(AND(MAX($P182,DateRef)&gt;=EDATE($AB182,-FenetreFinCarriere*12),MAX($P182,DateRef)&lt;=$AB182),"Prochain EPP dans la fenêtre",IF(MAX($P182,DateRef)&gt;$AB182,"À programmer avant 60 ans",""))))))))</f>
        <v/>
      </c>
      <c r="AD182" s="40"/>
      <c r="AE182" s="43" t="str">
        <f aca="false">IF(OR($B182="",$H182="",AND($I182&lt;&gt;"",$I182&lt;=DateRef)),"",MAX($H182,$AD182,IF($A182="",0,SUMPRODUCT(MAX((Journal!$A$6:$A$1005=$A182)*((Journal!$D$6:$D$1005=TypeEDL)+(Journal!$D$6:$D$1005=TypeBilan6))*Journal!$C$6:$C$1005)))))</f>
        <v/>
      </c>
      <c r="AF182" s="43" t="str">
        <f aca="false">IF($AE182="","",IF(AND(ReglesTransitoires="Oui",EDATE($AE182,AnciennePeriodiciteEDL*12)&lt;DateVigueur),EDATE($AE182,AnciennePeriodiciteEDL*12),EDATE($AE182,PeriodiciteEDL*12)))</f>
        <v/>
      </c>
      <c r="AG182" s="42" t="str">
        <f aca="false">IF($AF182="","",IF(AND($I182&lt;&gt;"",$I182&lt;=DateRef),"",IF($AF182&lt;DateRef,"En retard",IF($AF182-DateRef&lt;=SeuilAlerteEDL,"À prévoir","À jour"))))</f>
        <v/>
      </c>
      <c r="AH182" s="39"/>
      <c r="AI182" s="39"/>
      <c r="AJ182" s="42" t="str">
        <f aca="false">IF(OR($B182="",$H182=""),"",IF(AND($I182&lt;&gt;"",$I182&lt;=DateRef),"",IF(Effectif&lt;SeuilEffectif,"Non concerné (&lt; "&amp;SeuilEffectif&amp;" salariés)",IF($AH182="Oui","Pas de risque",IF(AND(OR($AI182="Non",$S182="En retard"),$AH182="Non"),"Risque abondement",IF(OR($AI182="Non",$S182="En retard"),"À vérifier (formation ?)",IF($AI182="Oui","Pas de risque","À compléter")))))))</f>
        <v/>
      </c>
      <c r="AK182" s="39"/>
    </row>
    <row r="183" customFormat="false" ht="15" hidden="false" customHeight="false" outlineLevel="0" collapsed="false">
      <c r="A183" s="39"/>
      <c r="B183" s="39"/>
      <c r="C183" s="39"/>
      <c r="D183" s="39"/>
      <c r="E183" s="39"/>
      <c r="F183" s="39"/>
      <c r="G183" s="40"/>
      <c r="H183" s="40"/>
      <c r="I183" s="40"/>
      <c r="J183" s="41" t="str">
        <f aca="false">IF(OR($B183="",$H183=""),"",IF($H183&gt;DateRef,0,YEARFRAC($H183,DateRef,1)))</f>
        <v/>
      </c>
      <c r="K183" s="42" t="str">
        <f aca="false">IF(OR($B183="",$H183=""),"",IF(EDATE($H183,12)&lt;=DateRef,"Plus d'un an","Moins d'un an"))</f>
        <v/>
      </c>
      <c r="L183" s="40"/>
      <c r="M183" s="43" t="str">
        <f aca="false">IF(OR($B183="",$A183=""),"",IF(SUMPRODUCT(MAX((Journal!$A$6:$A$1005=$A183)*Journal!$C$6:$C$1005))=0,"",SUMPRODUCT(MAX((Journal!$A$6:$A$1005=$A183)*Journal!$C$6:$C$1005))))</f>
        <v/>
      </c>
      <c r="N183" s="43" t="str">
        <f aca="false">IF($B183="","",IF(MAX($L183,$M183)=0,"",MAX($L183,$M183)))</f>
        <v/>
      </c>
      <c r="O183" s="44" t="str">
        <f aca="false">IF(OR($B183="",$H183=""),"",IF($N183="",IF(EDATE($H183,DelaiPremierEPP)&gt;DateRef,"1er EPP (1re année)","Aucun entretien renseigné"),IF(AND(ReglesTransitoires="Oui",EDATE($N183,AnciennePeriodiciteEP*12)&lt;DateVigueur),"Retard antérieur à la réforme","Périodicité "&amp;PeriodiciteEPP&amp;" ans")))</f>
        <v/>
      </c>
      <c r="P183" s="43" t="str">
        <f aca="false">IF(OR($B183="",$H183=""),"",IF($N183="",EDATE($H183,DelaiPremierEPP),IF(AND(ReglesTransitoires="Oui",EDATE($N183,AnciennePeriodiciteEP*12)&lt;DateVigueur),EDATE($N183,AnciennePeriodiciteEP*12),EDATE($N183,PeriodiciteEPP*12))))</f>
        <v/>
      </c>
      <c r="Q183" s="40"/>
      <c r="R183" s="45" t="str">
        <f aca="false">IF(OR($P183="",AND($I183&lt;&gt;"",$I183&lt;=DateRef)),"",$P183-DateRef)</f>
        <v/>
      </c>
      <c r="S183" s="42" t="str">
        <f aca="false">IF($B183="","",IF(AND($I183&lt;&gt;"",$I183&lt;=DateRef),"Sorti",IF($H183="","À compléter",IF(AND($Q183&lt;&gt;"",$Q183&gt;=DateRef,$Q183&lt;=$P183),"Planifié",IF($R183&lt;0,"En retard",IF($R183&lt;=SeuilAlerteEPP,"À planifier","À jour"))))))</f>
        <v/>
      </c>
      <c r="T183" s="46" t="str">
        <f aca="false">IF(OR($B183="",$S183="Sorti"),"",MID(IF($H183=""," | Date d'embauche manquante","")&amp;IF(AND($K183="Plus d'un an",$N183="")," | Précédent entretien à renseigner (ancienneté &gt; 1 an)","")&amp;IF($O183="Retard antérieur à la réforme"," | Ancien délai de 2 ans expiré avant la réforme","")&amp;IF(AND($N183&lt;&gt;"",$H183&lt;&gt;"",$N183&lt;$H183)," | Entretien antérieur à l'embauche ?","")&amp;IF(AND($N183&lt;&gt;"",$N183&gt;DateRef)," | Entretien daté dans le futur ?","")&amp;IF(AND($Q183&lt;&gt;"",$P183&lt;&gt;"",$Q183&gt;$P183)," | Date prévue après l'échéance","")&amp;IF(AND($Q183&lt;&gt;"",$Q183&lt;DateRef,OR($N183="",$N183&lt;$Q183))," | Entretien prévu passé : le consigner au Journal","")&amp;IF(AND($G183&lt;&gt;"",$X183="",YEAR(DateRef)-YEAR($G183)&gt;=AgeMiCarriere-1,YEAR(DateRef)-YEAR($G183)&lt;=AgeMiCarriere+1)," | Visite de mi-carrière à vérifier",""),4,1000))</f>
        <v/>
      </c>
      <c r="U183" s="39"/>
      <c r="V183" s="40"/>
      <c r="W183" s="42" t="str">
        <f aca="false">IF(OR($B183="",$V183=""),"",IF(AND($I183&lt;&gt;"",$I183&lt;=DateRef),"",IF(AND($N183&lt;&gt;"",$N183&gt;=$V183),"Réalisé",IF(AND($N183&lt;&gt;"",$N183&gt;=EDATE($V183,-FenetreRetour)),"Dispensé (EPP récent)",IF($V183&gt;DateRef,"À prévoir à la reprise","À proposer (reprise passée)")))))</f>
        <v/>
      </c>
      <c r="X183" s="40"/>
      <c r="Y183" s="43" t="str">
        <f aca="false">IF(OR($B183="",$X183=""),"",EDATE($X183,DelaiMiCarriere))</f>
        <v/>
      </c>
      <c r="Z183" s="42" t="str">
        <f aca="false">IF(OR($B183="",$X183=""),"",IF(AND($I183&lt;&gt;"",$I183&lt;=DateRef),"",IF(AND($N183&lt;&gt;"",$N183&gt;=$X183),"Réalisé",IF($Y183&lt;DateRef,"En retard","À planifier"))))</f>
        <v/>
      </c>
      <c r="AA183" s="47" t="str">
        <f aca="false">IF(OR($B183="",$G183=""),"",IF($G183&gt;DateRef,"",DATEDIF($G183,DateRef,"y")))</f>
        <v/>
      </c>
      <c r="AB183" s="43" t="str">
        <f aca="false">IF(OR($B183="",$G183=""),"",EDATE($G183,AgeFinCarriere*12))</f>
        <v/>
      </c>
      <c r="AC183" s="42" t="str">
        <f aca="false">IF(OR($B183="",$G183="",$H183=""),"",IF(AND($I183&lt;&gt;"",$I183&lt;=DateRef),"",IF($AB183&lt;DateVigueur,"Non concerné",IF(AND($N183&lt;&gt;"",$N183&gt;=MAX(EDATE($AB183,-FenetreFinCarriere*12),DateVigueur),$N183&lt;=$AB183),"Réalisé",IF(DateRef&gt;$AB183,"Non réalisé",IF(AND($Q183&lt;&gt;"",$Q183&gt;=EDATE($AB183,-FenetreFinCarriere*12),$Q183&lt;=$AB183),"Planifié dans la fenêtre",IF(AND(MAX($P183,DateRef)&gt;=EDATE($AB183,-FenetreFinCarriere*12),MAX($P183,DateRef)&lt;=$AB183),"Prochain EPP dans la fenêtre",IF(MAX($P183,DateRef)&gt;$AB183,"À programmer avant 60 ans",""))))))))</f>
        <v/>
      </c>
      <c r="AD183" s="40"/>
      <c r="AE183" s="43" t="str">
        <f aca="false">IF(OR($B183="",$H183="",AND($I183&lt;&gt;"",$I183&lt;=DateRef)),"",MAX($H183,$AD183,IF($A183="",0,SUMPRODUCT(MAX((Journal!$A$6:$A$1005=$A183)*((Journal!$D$6:$D$1005=TypeEDL)+(Journal!$D$6:$D$1005=TypeBilan6))*Journal!$C$6:$C$1005)))))</f>
        <v/>
      </c>
      <c r="AF183" s="43" t="str">
        <f aca="false">IF($AE183="","",IF(AND(ReglesTransitoires="Oui",EDATE($AE183,AnciennePeriodiciteEDL*12)&lt;DateVigueur),EDATE($AE183,AnciennePeriodiciteEDL*12),EDATE($AE183,PeriodiciteEDL*12)))</f>
        <v/>
      </c>
      <c r="AG183" s="42" t="str">
        <f aca="false">IF($AF183="","",IF(AND($I183&lt;&gt;"",$I183&lt;=DateRef),"",IF($AF183&lt;DateRef,"En retard",IF($AF183-DateRef&lt;=SeuilAlerteEDL,"À prévoir","À jour"))))</f>
        <v/>
      </c>
      <c r="AH183" s="39"/>
      <c r="AI183" s="39"/>
      <c r="AJ183" s="42" t="str">
        <f aca="false">IF(OR($B183="",$H183=""),"",IF(AND($I183&lt;&gt;"",$I183&lt;=DateRef),"",IF(Effectif&lt;SeuilEffectif,"Non concerné (&lt; "&amp;SeuilEffectif&amp;" salariés)",IF($AH183="Oui","Pas de risque",IF(AND(OR($AI183="Non",$S183="En retard"),$AH183="Non"),"Risque abondement",IF(OR($AI183="Non",$S183="En retard"),"À vérifier (formation ?)",IF($AI183="Oui","Pas de risque","À compléter")))))))</f>
        <v/>
      </c>
      <c r="AK183" s="39"/>
    </row>
    <row r="184" customFormat="false" ht="15" hidden="false" customHeight="false" outlineLevel="0" collapsed="false">
      <c r="A184" s="39"/>
      <c r="B184" s="39"/>
      <c r="C184" s="39"/>
      <c r="D184" s="39"/>
      <c r="E184" s="39"/>
      <c r="F184" s="39"/>
      <c r="G184" s="40"/>
      <c r="H184" s="40"/>
      <c r="I184" s="40"/>
      <c r="J184" s="41" t="str">
        <f aca="false">IF(OR($B184="",$H184=""),"",IF($H184&gt;DateRef,0,YEARFRAC($H184,DateRef,1)))</f>
        <v/>
      </c>
      <c r="K184" s="42" t="str">
        <f aca="false">IF(OR($B184="",$H184=""),"",IF(EDATE($H184,12)&lt;=DateRef,"Plus d'un an","Moins d'un an"))</f>
        <v/>
      </c>
      <c r="L184" s="40"/>
      <c r="M184" s="43" t="str">
        <f aca="false">IF(OR($B184="",$A184=""),"",IF(SUMPRODUCT(MAX((Journal!$A$6:$A$1005=$A184)*Journal!$C$6:$C$1005))=0,"",SUMPRODUCT(MAX((Journal!$A$6:$A$1005=$A184)*Journal!$C$6:$C$1005))))</f>
        <v/>
      </c>
      <c r="N184" s="43" t="str">
        <f aca="false">IF($B184="","",IF(MAX($L184,$M184)=0,"",MAX($L184,$M184)))</f>
        <v/>
      </c>
      <c r="O184" s="44" t="str">
        <f aca="false">IF(OR($B184="",$H184=""),"",IF($N184="",IF(EDATE($H184,DelaiPremierEPP)&gt;DateRef,"1er EPP (1re année)","Aucun entretien renseigné"),IF(AND(ReglesTransitoires="Oui",EDATE($N184,AnciennePeriodiciteEP*12)&lt;DateVigueur),"Retard antérieur à la réforme","Périodicité "&amp;PeriodiciteEPP&amp;" ans")))</f>
        <v/>
      </c>
      <c r="P184" s="43" t="str">
        <f aca="false">IF(OR($B184="",$H184=""),"",IF($N184="",EDATE($H184,DelaiPremierEPP),IF(AND(ReglesTransitoires="Oui",EDATE($N184,AnciennePeriodiciteEP*12)&lt;DateVigueur),EDATE($N184,AnciennePeriodiciteEP*12),EDATE($N184,PeriodiciteEPP*12))))</f>
        <v/>
      </c>
      <c r="Q184" s="40"/>
      <c r="R184" s="45" t="str">
        <f aca="false">IF(OR($P184="",AND($I184&lt;&gt;"",$I184&lt;=DateRef)),"",$P184-DateRef)</f>
        <v/>
      </c>
      <c r="S184" s="42" t="str">
        <f aca="false">IF($B184="","",IF(AND($I184&lt;&gt;"",$I184&lt;=DateRef),"Sorti",IF($H184="","À compléter",IF(AND($Q184&lt;&gt;"",$Q184&gt;=DateRef,$Q184&lt;=$P184),"Planifié",IF($R184&lt;0,"En retard",IF($R184&lt;=SeuilAlerteEPP,"À planifier","À jour"))))))</f>
        <v/>
      </c>
      <c r="T184" s="46" t="str">
        <f aca="false">IF(OR($B184="",$S184="Sorti"),"",MID(IF($H184=""," | Date d'embauche manquante","")&amp;IF(AND($K184="Plus d'un an",$N184="")," | Précédent entretien à renseigner (ancienneté &gt; 1 an)","")&amp;IF($O184="Retard antérieur à la réforme"," | Ancien délai de 2 ans expiré avant la réforme","")&amp;IF(AND($N184&lt;&gt;"",$H184&lt;&gt;"",$N184&lt;$H184)," | Entretien antérieur à l'embauche ?","")&amp;IF(AND($N184&lt;&gt;"",$N184&gt;DateRef)," | Entretien daté dans le futur ?","")&amp;IF(AND($Q184&lt;&gt;"",$P184&lt;&gt;"",$Q184&gt;$P184)," | Date prévue après l'échéance","")&amp;IF(AND($Q184&lt;&gt;"",$Q184&lt;DateRef,OR($N184="",$N184&lt;$Q184))," | Entretien prévu passé : le consigner au Journal","")&amp;IF(AND($G184&lt;&gt;"",$X184="",YEAR(DateRef)-YEAR($G184)&gt;=AgeMiCarriere-1,YEAR(DateRef)-YEAR($G184)&lt;=AgeMiCarriere+1)," | Visite de mi-carrière à vérifier",""),4,1000))</f>
        <v/>
      </c>
      <c r="U184" s="39"/>
      <c r="V184" s="40"/>
      <c r="W184" s="42" t="str">
        <f aca="false">IF(OR($B184="",$V184=""),"",IF(AND($I184&lt;&gt;"",$I184&lt;=DateRef),"",IF(AND($N184&lt;&gt;"",$N184&gt;=$V184),"Réalisé",IF(AND($N184&lt;&gt;"",$N184&gt;=EDATE($V184,-FenetreRetour)),"Dispensé (EPP récent)",IF($V184&gt;DateRef,"À prévoir à la reprise","À proposer (reprise passée)")))))</f>
        <v/>
      </c>
      <c r="X184" s="40"/>
      <c r="Y184" s="43" t="str">
        <f aca="false">IF(OR($B184="",$X184=""),"",EDATE($X184,DelaiMiCarriere))</f>
        <v/>
      </c>
      <c r="Z184" s="42" t="str">
        <f aca="false">IF(OR($B184="",$X184=""),"",IF(AND($I184&lt;&gt;"",$I184&lt;=DateRef),"",IF(AND($N184&lt;&gt;"",$N184&gt;=$X184),"Réalisé",IF($Y184&lt;DateRef,"En retard","À planifier"))))</f>
        <v/>
      </c>
      <c r="AA184" s="47" t="str">
        <f aca="false">IF(OR($B184="",$G184=""),"",IF($G184&gt;DateRef,"",DATEDIF($G184,DateRef,"y")))</f>
        <v/>
      </c>
      <c r="AB184" s="43" t="str">
        <f aca="false">IF(OR($B184="",$G184=""),"",EDATE($G184,AgeFinCarriere*12))</f>
        <v/>
      </c>
      <c r="AC184" s="42" t="str">
        <f aca="false">IF(OR($B184="",$G184="",$H184=""),"",IF(AND($I184&lt;&gt;"",$I184&lt;=DateRef),"",IF($AB184&lt;DateVigueur,"Non concerné",IF(AND($N184&lt;&gt;"",$N184&gt;=MAX(EDATE($AB184,-FenetreFinCarriere*12),DateVigueur),$N184&lt;=$AB184),"Réalisé",IF(DateRef&gt;$AB184,"Non réalisé",IF(AND($Q184&lt;&gt;"",$Q184&gt;=EDATE($AB184,-FenetreFinCarriere*12),$Q184&lt;=$AB184),"Planifié dans la fenêtre",IF(AND(MAX($P184,DateRef)&gt;=EDATE($AB184,-FenetreFinCarriere*12),MAX($P184,DateRef)&lt;=$AB184),"Prochain EPP dans la fenêtre",IF(MAX($P184,DateRef)&gt;$AB184,"À programmer avant 60 ans",""))))))))</f>
        <v/>
      </c>
      <c r="AD184" s="40"/>
      <c r="AE184" s="43" t="str">
        <f aca="false">IF(OR($B184="",$H184="",AND($I184&lt;&gt;"",$I184&lt;=DateRef)),"",MAX($H184,$AD184,IF($A184="",0,SUMPRODUCT(MAX((Journal!$A$6:$A$1005=$A184)*((Journal!$D$6:$D$1005=TypeEDL)+(Journal!$D$6:$D$1005=TypeBilan6))*Journal!$C$6:$C$1005)))))</f>
        <v/>
      </c>
      <c r="AF184" s="43" t="str">
        <f aca="false">IF($AE184="","",IF(AND(ReglesTransitoires="Oui",EDATE($AE184,AnciennePeriodiciteEDL*12)&lt;DateVigueur),EDATE($AE184,AnciennePeriodiciteEDL*12),EDATE($AE184,PeriodiciteEDL*12)))</f>
        <v/>
      </c>
      <c r="AG184" s="42" t="str">
        <f aca="false">IF($AF184="","",IF(AND($I184&lt;&gt;"",$I184&lt;=DateRef),"",IF($AF184&lt;DateRef,"En retard",IF($AF184-DateRef&lt;=SeuilAlerteEDL,"À prévoir","À jour"))))</f>
        <v/>
      </c>
      <c r="AH184" s="39"/>
      <c r="AI184" s="39"/>
      <c r="AJ184" s="42" t="str">
        <f aca="false">IF(OR($B184="",$H184=""),"",IF(AND($I184&lt;&gt;"",$I184&lt;=DateRef),"",IF(Effectif&lt;SeuilEffectif,"Non concerné (&lt; "&amp;SeuilEffectif&amp;" salariés)",IF($AH184="Oui","Pas de risque",IF(AND(OR($AI184="Non",$S184="En retard"),$AH184="Non"),"Risque abondement",IF(OR($AI184="Non",$S184="En retard"),"À vérifier (formation ?)",IF($AI184="Oui","Pas de risque","À compléter")))))))</f>
        <v/>
      </c>
      <c r="AK184" s="39"/>
    </row>
    <row r="185" customFormat="false" ht="15" hidden="false" customHeight="false" outlineLevel="0" collapsed="false">
      <c r="A185" s="39"/>
      <c r="B185" s="39"/>
      <c r="C185" s="39"/>
      <c r="D185" s="39"/>
      <c r="E185" s="39"/>
      <c r="F185" s="39"/>
      <c r="G185" s="40"/>
      <c r="H185" s="40"/>
      <c r="I185" s="40"/>
      <c r="J185" s="41" t="str">
        <f aca="false">IF(OR($B185="",$H185=""),"",IF($H185&gt;DateRef,0,YEARFRAC($H185,DateRef,1)))</f>
        <v/>
      </c>
      <c r="K185" s="42" t="str">
        <f aca="false">IF(OR($B185="",$H185=""),"",IF(EDATE($H185,12)&lt;=DateRef,"Plus d'un an","Moins d'un an"))</f>
        <v/>
      </c>
      <c r="L185" s="40"/>
      <c r="M185" s="43" t="str">
        <f aca="false">IF(OR($B185="",$A185=""),"",IF(SUMPRODUCT(MAX((Journal!$A$6:$A$1005=$A185)*Journal!$C$6:$C$1005))=0,"",SUMPRODUCT(MAX((Journal!$A$6:$A$1005=$A185)*Journal!$C$6:$C$1005))))</f>
        <v/>
      </c>
      <c r="N185" s="43" t="str">
        <f aca="false">IF($B185="","",IF(MAX($L185,$M185)=0,"",MAX($L185,$M185)))</f>
        <v/>
      </c>
      <c r="O185" s="44" t="str">
        <f aca="false">IF(OR($B185="",$H185=""),"",IF($N185="",IF(EDATE($H185,DelaiPremierEPP)&gt;DateRef,"1er EPP (1re année)","Aucun entretien renseigné"),IF(AND(ReglesTransitoires="Oui",EDATE($N185,AnciennePeriodiciteEP*12)&lt;DateVigueur),"Retard antérieur à la réforme","Périodicité "&amp;PeriodiciteEPP&amp;" ans")))</f>
        <v/>
      </c>
      <c r="P185" s="43" t="str">
        <f aca="false">IF(OR($B185="",$H185=""),"",IF($N185="",EDATE($H185,DelaiPremierEPP),IF(AND(ReglesTransitoires="Oui",EDATE($N185,AnciennePeriodiciteEP*12)&lt;DateVigueur),EDATE($N185,AnciennePeriodiciteEP*12),EDATE($N185,PeriodiciteEPP*12))))</f>
        <v/>
      </c>
      <c r="Q185" s="40"/>
      <c r="R185" s="45" t="str">
        <f aca="false">IF(OR($P185="",AND($I185&lt;&gt;"",$I185&lt;=DateRef)),"",$P185-DateRef)</f>
        <v/>
      </c>
      <c r="S185" s="42" t="str">
        <f aca="false">IF($B185="","",IF(AND($I185&lt;&gt;"",$I185&lt;=DateRef),"Sorti",IF($H185="","À compléter",IF(AND($Q185&lt;&gt;"",$Q185&gt;=DateRef,$Q185&lt;=$P185),"Planifié",IF($R185&lt;0,"En retard",IF($R185&lt;=SeuilAlerteEPP,"À planifier","À jour"))))))</f>
        <v/>
      </c>
      <c r="T185" s="46" t="str">
        <f aca="false">IF(OR($B185="",$S185="Sorti"),"",MID(IF($H185=""," | Date d'embauche manquante","")&amp;IF(AND($K185="Plus d'un an",$N185="")," | Précédent entretien à renseigner (ancienneté &gt; 1 an)","")&amp;IF($O185="Retard antérieur à la réforme"," | Ancien délai de 2 ans expiré avant la réforme","")&amp;IF(AND($N185&lt;&gt;"",$H185&lt;&gt;"",$N185&lt;$H185)," | Entretien antérieur à l'embauche ?","")&amp;IF(AND($N185&lt;&gt;"",$N185&gt;DateRef)," | Entretien daté dans le futur ?","")&amp;IF(AND($Q185&lt;&gt;"",$P185&lt;&gt;"",$Q185&gt;$P185)," | Date prévue après l'échéance","")&amp;IF(AND($Q185&lt;&gt;"",$Q185&lt;DateRef,OR($N185="",$N185&lt;$Q185))," | Entretien prévu passé : le consigner au Journal","")&amp;IF(AND($G185&lt;&gt;"",$X185="",YEAR(DateRef)-YEAR($G185)&gt;=AgeMiCarriere-1,YEAR(DateRef)-YEAR($G185)&lt;=AgeMiCarriere+1)," | Visite de mi-carrière à vérifier",""),4,1000))</f>
        <v/>
      </c>
      <c r="U185" s="39"/>
      <c r="V185" s="40"/>
      <c r="W185" s="42" t="str">
        <f aca="false">IF(OR($B185="",$V185=""),"",IF(AND($I185&lt;&gt;"",$I185&lt;=DateRef),"",IF(AND($N185&lt;&gt;"",$N185&gt;=$V185),"Réalisé",IF(AND($N185&lt;&gt;"",$N185&gt;=EDATE($V185,-FenetreRetour)),"Dispensé (EPP récent)",IF($V185&gt;DateRef,"À prévoir à la reprise","À proposer (reprise passée)")))))</f>
        <v/>
      </c>
      <c r="X185" s="40"/>
      <c r="Y185" s="43" t="str">
        <f aca="false">IF(OR($B185="",$X185=""),"",EDATE($X185,DelaiMiCarriere))</f>
        <v/>
      </c>
      <c r="Z185" s="42" t="str">
        <f aca="false">IF(OR($B185="",$X185=""),"",IF(AND($I185&lt;&gt;"",$I185&lt;=DateRef),"",IF(AND($N185&lt;&gt;"",$N185&gt;=$X185),"Réalisé",IF($Y185&lt;DateRef,"En retard","À planifier"))))</f>
        <v/>
      </c>
      <c r="AA185" s="47" t="str">
        <f aca="false">IF(OR($B185="",$G185=""),"",IF($G185&gt;DateRef,"",DATEDIF($G185,DateRef,"y")))</f>
        <v/>
      </c>
      <c r="AB185" s="43" t="str">
        <f aca="false">IF(OR($B185="",$G185=""),"",EDATE($G185,AgeFinCarriere*12))</f>
        <v/>
      </c>
      <c r="AC185" s="42" t="str">
        <f aca="false">IF(OR($B185="",$G185="",$H185=""),"",IF(AND($I185&lt;&gt;"",$I185&lt;=DateRef),"",IF($AB185&lt;DateVigueur,"Non concerné",IF(AND($N185&lt;&gt;"",$N185&gt;=MAX(EDATE($AB185,-FenetreFinCarriere*12),DateVigueur),$N185&lt;=$AB185),"Réalisé",IF(DateRef&gt;$AB185,"Non réalisé",IF(AND($Q185&lt;&gt;"",$Q185&gt;=EDATE($AB185,-FenetreFinCarriere*12),$Q185&lt;=$AB185),"Planifié dans la fenêtre",IF(AND(MAX($P185,DateRef)&gt;=EDATE($AB185,-FenetreFinCarriere*12),MAX($P185,DateRef)&lt;=$AB185),"Prochain EPP dans la fenêtre",IF(MAX($P185,DateRef)&gt;$AB185,"À programmer avant 60 ans",""))))))))</f>
        <v/>
      </c>
      <c r="AD185" s="40"/>
      <c r="AE185" s="43" t="str">
        <f aca="false">IF(OR($B185="",$H185="",AND($I185&lt;&gt;"",$I185&lt;=DateRef)),"",MAX($H185,$AD185,IF($A185="",0,SUMPRODUCT(MAX((Journal!$A$6:$A$1005=$A185)*((Journal!$D$6:$D$1005=TypeEDL)+(Journal!$D$6:$D$1005=TypeBilan6))*Journal!$C$6:$C$1005)))))</f>
        <v/>
      </c>
      <c r="AF185" s="43" t="str">
        <f aca="false">IF($AE185="","",IF(AND(ReglesTransitoires="Oui",EDATE($AE185,AnciennePeriodiciteEDL*12)&lt;DateVigueur),EDATE($AE185,AnciennePeriodiciteEDL*12),EDATE($AE185,PeriodiciteEDL*12)))</f>
        <v/>
      </c>
      <c r="AG185" s="42" t="str">
        <f aca="false">IF($AF185="","",IF(AND($I185&lt;&gt;"",$I185&lt;=DateRef),"",IF($AF185&lt;DateRef,"En retard",IF($AF185-DateRef&lt;=SeuilAlerteEDL,"À prévoir","À jour"))))</f>
        <v/>
      </c>
      <c r="AH185" s="39"/>
      <c r="AI185" s="39"/>
      <c r="AJ185" s="42" t="str">
        <f aca="false">IF(OR($B185="",$H185=""),"",IF(AND($I185&lt;&gt;"",$I185&lt;=DateRef),"",IF(Effectif&lt;SeuilEffectif,"Non concerné (&lt; "&amp;SeuilEffectif&amp;" salariés)",IF($AH185="Oui","Pas de risque",IF(AND(OR($AI185="Non",$S185="En retard"),$AH185="Non"),"Risque abondement",IF(OR($AI185="Non",$S185="En retard"),"À vérifier (formation ?)",IF($AI185="Oui","Pas de risque","À compléter")))))))</f>
        <v/>
      </c>
      <c r="AK185" s="39"/>
    </row>
    <row r="186" customFormat="false" ht="15" hidden="false" customHeight="false" outlineLevel="0" collapsed="false">
      <c r="A186" s="39"/>
      <c r="B186" s="39"/>
      <c r="C186" s="39"/>
      <c r="D186" s="39"/>
      <c r="E186" s="39"/>
      <c r="F186" s="39"/>
      <c r="G186" s="40"/>
      <c r="H186" s="40"/>
      <c r="I186" s="40"/>
      <c r="J186" s="41" t="str">
        <f aca="false">IF(OR($B186="",$H186=""),"",IF($H186&gt;DateRef,0,YEARFRAC($H186,DateRef,1)))</f>
        <v/>
      </c>
      <c r="K186" s="42" t="str">
        <f aca="false">IF(OR($B186="",$H186=""),"",IF(EDATE($H186,12)&lt;=DateRef,"Plus d'un an","Moins d'un an"))</f>
        <v/>
      </c>
      <c r="L186" s="40"/>
      <c r="M186" s="43" t="str">
        <f aca="false">IF(OR($B186="",$A186=""),"",IF(SUMPRODUCT(MAX((Journal!$A$6:$A$1005=$A186)*Journal!$C$6:$C$1005))=0,"",SUMPRODUCT(MAX((Journal!$A$6:$A$1005=$A186)*Journal!$C$6:$C$1005))))</f>
        <v/>
      </c>
      <c r="N186" s="43" t="str">
        <f aca="false">IF($B186="","",IF(MAX($L186,$M186)=0,"",MAX($L186,$M186)))</f>
        <v/>
      </c>
      <c r="O186" s="44" t="str">
        <f aca="false">IF(OR($B186="",$H186=""),"",IF($N186="",IF(EDATE($H186,DelaiPremierEPP)&gt;DateRef,"1er EPP (1re année)","Aucun entretien renseigné"),IF(AND(ReglesTransitoires="Oui",EDATE($N186,AnciennePeriodiciteEP*12)&lt;DateVigueur),"Retard antérieur à la réforme","Périodicité "&amp;PeriodiciteEPP&amp;" ans")))</f>
        <v/>
      </c>
      <c r="P186" s="43" t="str">
        <f aca="false">IF(OR($B186="",$H186=""),"",IF($N186="",EDATE($H186,DelaiPremierEPP),IF(AND(ReglesTransitoires="Oui",EDATE($N186,AnciennePeriodiciteEP*12)&lt;DateVigueur),EDATE($N186,AnciennePeriodiciteEP*12),EDATE($N186,PeriodiciteEPP*12))))</f>
        <v/>
      </c>
      <c r="Q186" s="40"/>
      <c r="R186" s="45" t="str">
        <f aca="false">IF(OR($P186="",AND($I186&lt;&gt;"",$I186&lt;=DateRef)),"",$P186-DateRef)</f>
        <v/>
      </c>
      <c r="S186" s="42" t="str">
        <f aca="false">IF($B186="","",IF(AND($I186&lt;&gt;"",$I186&lt;=DateRef),"Sorti",IF($H186="","À compléter",IF(AND($Q186&lt;&gt;"",$Q186&gt;=DateRef,$Q186&lt;=$P186),"Planifié",IF($R186&lt;0,"En retard",IF($R186&lt;=SeuilAlerteEPP,"À planifier","À jour"))))))</f>
        <v/>
      </c>
      <c r="T186" s="46" t="str">
        <f aca="false">IF(OR($B186="",$S186="Sorti"),"",MID(IF($H186=""," | Date d'embauche manquante","")&amp;IF(AND($K186="Plus d'un an",$N186="")," | Précédent entretien à renseigner (ancienneté &gt; 1 an)","")&amp;IF($O186="Retard antérieur à la réforme"," | Ancien délai de 2 ans expiré avant la réforme","")&amp;IF(AND($N186&lt;&gt;"",$H186&lt;&gt;"",$N186&lt;$H186)," | Entretien antérieur à l'embauche ?","")&amp;IF(AND($N186&lt;&gt;"",$N186&gt;DateRef)," | Entretien daté dans le futur ?","")&amp;IF(AND($Q186&lt;&gt;"",$P186&lt;&gt;"",$Q186&gt;$P186)," | Date prévue après l'échéance","")&amp;IF(AND($Q186&lt;&gt;"",$Q186&lt;DateRef,OR($N186="",$N186&lt;$Q186))," | Entretien prévu passé : le consigner au Journal","")&amp;IF(AND($G186&lt;&gt;"",$X186="",YEAR(DateRef)-YEAR($G186)&gt;=AgeMiCarriere-1,YEAR(DateRef)-YEAR($G186)&lt;=AgeMiCarriere+1)," | Visite de mi-carrière à vérifier",""),4,1000))</f>
        <v/>
      </c>
      <c r="U186" s="39"/>
      <c r="V186" s="40"/>
      <c r="W186" s="42" t="str">
        <f aca="false">IF(OR($B186="",$V186=""),"",IF(AND($I186&lt;&gt;"",$I186&lt;=DateRef),"",IF(AND($N186&lt;&gt;"",$N186&gt;=$V186),"Réalisé",IF(AND($N186&lt;&gt;"",$N186&gt;=EDATE($V186,-FenetreRetour)),"Dispensé (EPP récent)",IF($V186&gt;DateRef,"À prévoir à la reprise","À proposer (reprise passée)")))))</f>
        <v/>
      </c>
      <c r="X186" s="40"/>
      <c r="Y186" s="43" t="str">
        <f aca="false">IF(OR($B186="",$X186=""),"",EDATE($X186,DelaiMiCarriere))</f>
        <v/>
      </c>
      <c r="Z186" s="42" t="str">
        <f aca="false">IF(OR($B186="",$X186=""),"",IF(AND($I186&lt;&gt;"",$I186&lt;=DateRef),"",IF(AND($N186&lt;&gt;"",$N186&gt;=$X186),"Réalisé",IF($Y186&lt;DateRef,"En retard","À planifier"))))</f>
        <v/>
      </c>
      <c r="AA186" s="47" t="str">
        <f aca="false">IF(OR($B186="",$G186=""),"",IF($G186&gt;DateRef,"",DATEDIF($G186,DateRef,"y")))</f>
        <v/>
      </c>
      <c r="AB186" s="43" t="str">
        <f aca="false">IF(OR($B186="",$G186=""),"",EDATE($G186,AgeFinCarriere*12))</f>
        <v/>
      </c>
      <c r="AC186" s="42" t="str">
        <f aca="false">IF(OR($B186="",$G186="",$H186=""),"",IF(AND($I186&lt;&gt;"",$I186&lt;=DateRef),"",IF($AB186&lt;DateVigueur,"Non concerné",IF(AND($N186&lt;&gt;"",$N186&gt;=MAX(EDATE($AB186,-FenetreFinCarriere*12),DateVigueur),$N186&lt;=$AB186),"Réalisé",IF(DateRef&gt;$AB186,"Non réalisé",IF(AND($Q186&lt;&gt;"",$Q186&gt;=EDATE($AB186,-FenetreFinCarriere*12),$Q186&lt;=$AB186),"Planifié dans la fenêtre",IF(AND(MAX($P186,DateRef)&gt;=EDATE($AB186,-FenetreFinCarriere*12),MAX($P186,DateRef)&lt;=$AB186),"Prochain EPP dans la fenêtre",IF(MAX($P186,DateRef)&gt;$AB186,"À programmer avant 60 ans",""))))))))</f>
        <v/>
      </c>
      <c r="AD186" s="40"/>
      <c r="AE186" s="43" t="str">
        <f aca="false">IF(OR($B186="",$H186="",AND($I186&lt;&gt;"",$I186&lt;=DateRef)),"",MAX($H186,$AD186,IF($A186="",0,SUMPRODUCT(MAX((Journal!$A$6:$A$1005=$A186)*((Journal!$D$6:$D$1005=TypeEDL)+(Journal!$D$6:$D$1005=TypeBilan6))*Journal!$C$6:$C$1005)))))</f>
        <v/>
      </c>
      <c r="AF186" s="43" t="str">
        <f aca="false">IF($AE186="","",IF(AND(ReglesTransitoires="Oui",EDATE($AE186,AnciennePeriodiciteEDL*12)&lt;DateVigueur),EDATE($AE186,AnciennePeriodiciteEDL*12),EDATE($AE186,PeriodiciteEDL*12)))</f>
        <v/>
      </c>
      <c r="AG186" s="42" t="str">
        <f aca="false">IF($AF186="","",IF(AND($I186&lt;&gt;"",$I186&lt;=DateRef),"",IF($AF186&lt;DateRef,"En retard",IF($AF186-DateRef&lt;=SeuilAlerteEDL,"À prévoir","À jour"))))</f>
        <v/>
      </c>
      <c r="AH186" s="39"/>
      <c r="AI186" s="39"/>
      <c r="AJ186" s="42" t="str">
        <f aca="false">IF(OR($B186="",$H186=""),"",IF(AND($I186&lt;&gt;"",$I186&lt;=DateRef),"",IF(Effectif&lt;SeuilEffectif,"Non concerné (&lt; "&amp;SeuilEffectif&amp;" salariés)",IF($AH186="Oui","Pas de risque",IF(AND(OR($AI186="Non",$S186="En retard"),$AH186="Non"),"Risque abondement",IF(OR($AI186="Non",$S186="En retard"),"À vérifier (formation ?)",IF($AI186="Oui","Pas de risque","À compléter")))))))</f>
        <v/>
      </c>
      <c r="AK186" s="39"/>
    </row>
    <row r="187" customFormat="false" ht="15" hidden="false" customHeight="false" outlineLevel="0" collapsed="false">
      <c r="A187" s="39"/>
      <c r="B187" s="39"/>
      <c r="C187" s="39"/>
      <c r="D187" s="39"/>
      <c r="E187" s="39"/>
      <c r="F187" s="39"/>
      <c r="G187" s="40"/>
      <c r="H187" s="40"/>
      <c r="I187" s="40"/>
      <c r="J187" s="41" t="str">
        <f aca="false">IF(OR($B187="",$H187=""),"",IF($H187&gt;DateRef,0,YEARFRAC($H187,DateRef,1)))</f>
        <v/>
      </c>
      <c r="K187" s="42" t="str">
        <f aca="false">IF(OR($B187="",$H187=""),"",IF(EDATE($H187,12)&lt;=DateRef,"Plus d'un an","Moins d'un an"))</f>
        <v/>
      </c>
      <c r="L187" s="40"/>
      <c r="M187" s="43" t="str">
        <f aca="false">IF(OR($B187="",$A187=""),"",IF(SUMPRODUCT(MAX((Journal!$A$6:$A$1005=$A187)*Journal!$C$6:$C$1005))=0,"",SUMPRODUCT(MAX((Journal!$A$6:$A$1005=$A187)*Journal!$C$6:$C$1005))))</f>
        <v/>
      </c>
      <c r="N187" s="43" t="str">
        <f aca="false">IF($B187="","",IF(MAX($L187,$M187)=0,"",MAX($L187,$M187)))</f>
        <v/>
      </c>
      <c r="O187" s="44" t="str">
        <f aca="false">IF(OR($B187="",$H187=""),"",IF($N187="",IF(EDATE($H187,DelaiPremierEPP)&gt;DateRef,"1er EPP (1re année)","Aucun entretien renseigné"),IF(AND(ReglesTransitoires="Oui",EDATE($N187,AnciennePeriodiciteEP*12)&lt;DateVigueur),"Retard antérieur à la réforme","Périodicité "&amp;PeriodiciteEPP&amp;" ans")))</f>
        <v/>
      </c>
      <c r="P187" s="43" t="str">
        <f aca="false">IF(OR($B187="",$H187=""),"",IF($N187="",EDATE($H187,DelaiPremierEPP),IF(AND(ReglesTransitoires="Oui",EDATE($N187,AnciennePeriodiciteEP*12)&lt;DateVigueur),EDATE($N187,AnciennePeriodiciteEP*12),EDATE($N187,PeriodiciteEPP*12))))</f>
        <v/>
      </c>
      <c r="Q187" s="40"/>
      <c r="R187" s="45" t="str">
        <f aca="false">IF(OR($P187="",AND($I187&lt;&gt;"",$I187&lt;=DateRef)),"",$P187-DateRef)</f>
        <v/>
      </c>
      <c r="S187" s="42" t="str">
        <f aca="false">IF($B187="","",IF(AND($I187&lt;&gt;"",$I187&lt;=DateRef),"Sorti",IF($H187="","À compléter",IF(AND($Q187&lt;&gt;"",$Q187&gt;=DateRef,$Q187&lt;=$P187),"Planifié",IF($R187&lt;0,"En retard",IF($R187&lt;=SeuilAlerteEPP,"À planifier","À jour"))))))</f>
        <v/>
      </c>
      <c r="T187" s="46" t="str">
        <f aca="false">IF(OR($B187="",$S187="Sorti"),"",MID(IF($H187=""," | Date d'embauche manquante","")&amp;IF(AND($K187="Plus d'un an",$N187="")," | Précédent entretien à renseigner (ancienneté &gt; 1 an)","")&amp;IF($O187="Retard antérieur à la réforme"," | Ancien délai de 2 ans expiré avant la réforme","")&amp;IF(AND($N187&lt;&gt;"",$H187&lt;&gt;"",$N187&lt;$H187)," | Entretien antérieur à l'embauche ?","")&amp;IF(AND($N187&lt;&gt;"",$N187&gt;DateRef)," | Entretien daté dans le futur ?","")&amp;IF(AND($Q187&lt;&gt;"",$P187&lt;&gt;"",$Q187&gt;$P187)," | Date prévue après l'échéance","")&amp;IF(AND($Q187&lt;&gt;"",$Q187&lt;DateRef,OR($N187="",$N187&lt;$Q187))," | Entretien prévu passé : le consigner au Journal","")&amp;IF(AND($G187&lt;&gt;"",$X187="",YEAR(DateRef)-YEAR($G187)&gt;=AgeMiCarriere-1,YEAR(DateRef)-YEAR($G187)&lt;=AgeMiCarriere+1)," | Visite de mi-carrière à vérifier",""),4,1000))</f>
        <v/>
      </c>
      <c r="U187" s="39"/>
      <c r="V187" s="40"/>
      <c r="W187" s="42" t="str">
        <f aca="false">IF(OR($B187="",$V187=""),"",IF(AND($I187&lt;&gt;"",$I187&lt;=DateRef),"",IF(AND($N187&lt;&gt;"",$N187&gt;=$V187),"Réalisé",IF(AND($N187&lt;&gt;"",$N187&gt;=EDATE($V187,-FenetreRetour)),"Dispensé (EPP récent)",IF($V187&gt;DateRef,"À prévoir à la reprise","À proposer (reprise passée)")))))</f>
        <v/>
      </c>
      <c r="X187" s="40"/>
      <c r="Y187" s="43" t="str">
        <f aca="false">IF(OR($B187="",$X187=""),"",EDATE($X187,DelaiMiCarriere))</f>
        <v/>
      </c>
      <c r="Z187" s="42" t="str">
        <f aca="false">IF(OR($B187="",$X187=""),"",IF(AND($I187&lt;&gt;"",$I187&lt;=DateRef),"",IF(AND($N187&lt;&gt;"",$N187&gt;=$X187),"Réalisé",IF($Y187&lt;DateRef,"En retard","À planifier"))))</f>
        <v/>
      </c>
      <c r="AA187" s="47" t="str">
        <f aca="false">IF(OR($B187="",$G187=""),"",IF($G187&gt;DateRef,"",DATEDIF($G187,DateRef,"y")))</f>
        <v/>
      </c>
      <c r="AB187" s="43" t="str">
        <f aca="false">IF(OR($B187="",$G187=""),"",EDATE($G187,AgeFinCarriere*12))</f>
        <v/>
      </c>
      <c r="AC187" s="42" t="str">
        <f aca="false">IF(OR($B187="",$G187="",$H187=""),"",IF(AND($I187&lt;&gt;"",$I187&lt;=DateRef),"",IF($AB187&lt;DateVigueur,"Non concerné",IF(AND($N187&lt;&gt;"",$N187&gt;=MAX(EDATE($AB187,-FenetreFinCarriere*12),DateVigueur),$N187&lt;=$AB187),"Réalisé",IF(DateRef&gt;$AB187,"Non réalisé",IF(AND($Q187&lt;&gt;"",$Q187&gt;=EDATE($AB187,-FenetreFinCarriere*12),$Q187&lt;=$AB187),"Planifié dans la fenêtre",IF(AND(MAX($P187,DateRef)&gt;=EDATE($AB187,-FenetreFinCarriere*12),MAX($P187,DateRef)&lt;=$AB187),"Prochain EPP dans la fenêtre",IF(MAX($P187,DateRef)&gt;$AB187,"À programmer avant 60 ans",""))))))))</f>
        <v/>
      </c>
      <c r="AD187" s="40"/>
      <c r="AE187" s="43" t="str">
        <f aca="false">IF(OR($B187="",$H187="",AND($I187&lt;&gt;"",$I187&lt;=DateRef)),"",MAX($H187,$AD187,IF($A187="",0,SUMPRODUCT(MAX((Journal!$A$6:$A$1005=$A187)*((Journal!$D$6:$D$1005=TypeEDL)+(Journal!$D$6:$D$1005=TypeBilan6))*Journal!$C$6:$C$1005)))))</f>
        <v/>
      </c>
      <c r="AF187" s="43" t="str">
        <f aca="false">IF($AE187="","",IF(AND(ReglesTransitoires="Oui",EDATE($AE187,AnciennePeriodiciteEDL*12)&lt;DateVigueur),EDATE($AE187,AnciennePeriodiciteEDL*12),EDATE($AE187,PeriodiciteEDL*12)))</f>
        <v/>
      </c>
      <c r="AG187" s="42" t="str">
        <f aca="false">IF($AF187="","",IF(AND($I187&lt;&gt;"",$I187&lt;=DateRef),"",IF($AF187&lt;DateRef,"En retard",IF($AF187-DateRef&lt;=SeuilAlerteEDL,"À prévoir","À jour"))))</f>
        <v/>
      </c>
      <c r="AH187" s="39"/>
      <c r="AI187" s="39"/>
      <c r="AJ187" s="42" t="str">
        <f aca="false">IF(OR($B187="",$H187=""),"",IF(AND($I187&lt;&gt;"",$I187&lt;=DateRef),"",IF(Effectif&lt;SeuilEffectif,"Non concerné (&lt; "&amp;SeuilEffectif&amp;" salariés)",IF($AH187="Oui","Pas de risque",IF(AND(OR($AI187="Non",$S187="En retard"),$AH187="Non"),"Risque abondement",IF(OR($AI187="Non",$S187="En retard"),"À vérifier (formation ?)",IF($AI187="Oui","Pas de risque","À compléter")))))))</f>
        <v/>
      </c>
      <c r="AK187" s="39"/>
    </row>
    <row r="188" customFormat="false" ht="15" hidden="false" customHeight="false" outlineLevel="0" collapsed="false">
      <c r="A188" s="39"/>
      <c r="B188" s="39"/>
      <c r="C188" s="39"/>
      <c r="D188" s="39"/>
      <c r="E188" s="39"/>
      <c r="F188" s="39"/>
      <c r="G188" s="40"/>
      <c r="H188" s="40"/>
      <c r="I188" s="40"/>
      <c r="J188" s="41" t="str">
        <f aca="false">IF(OR($B188="",$H188=""),"",IF($H188&gt;DateRef,0,YEARFRAC($H188,DateRef,1)))</f>
        <v/>
      </c>
      <c r="K188" s="42" t="str">
        <f aca="false">IF(OR($B188="",$H188=""),"",IF(EDATE($H188,12)&lt;=DateRef,"Plus d'un an","Moins d'un an"))</f>
        <v/>
      </c>
      <c r="L188" s="40"/>
      <c r="M188" s="43" t="str">
        <f aca="false">IF(OR($B188="",$A188=""),"",IF(SUMPRODUCT(MAX((Journal!$A$6:$A$1005=$A188)*Journal!$C$6:$C$1005))=0,"",SUMPRODUCT(MAX((Journal!$A$6:$A$1005=$A188)*Journal!$C$6:$C$1005))))</f>
        <v/>
      </c>
      <c r="N188" s="43" t="str">
        <f aca="false">IF($B188="","",IF(MAX($L188,$M188)=0,"",MAX($L188,$M188)))</f>
        <v/>
      </c>
      <c r="O188" s="44" t="str">
        <f aca="false">IF(OR($B188="",$H188=""),"",IF($N188="",IF(EDATE($H188,DelaiPremierEPP)&gt;DateRef,"1er EPP (1re année)","Aucun entretien renseigné"),IF(AND(ReglesTransitoires="Oui",EDATE($N188,AnciennePeriodiciteEP*12)&lt;DateVigueur),"Retard antérieur à la réforme","Périodicité "&amp;PeriodiciteEPP&amp;" ans")))</f>
        <v/>
      </c>
      <c r="P188" s="43" t="str">
        <f aca="false">IF(OR($B188="",$H188=""),"",IF($N188="",EDATE($H188,DelaiPremierEPP),IF(AND(ReglesTransitoires="Oui",EDATE($N188,AnciennePeriodiciteEP*12)&lt;DateVigueur),EDATE($N188,AnciennePeriodiciteEP*12),EDATE($N188,PeriodiciteEPP*12))))</f>
        <v/>
      </c>
      <c r="Q188" s="40"/>
      <c r="R188" s="45" t="str">
        <f aca="false">IF(OR($P188="",AND($I188&lt;&gt;"",$I188&lt;=DateRef)),"",$P188-DateRef)</f>
        <v/>
      </c>
      <c r="S188" s="42" t="str">
        <f aca="false">IF($B188="","",IF(AND($I188&lt;&gt;"",$I188&lt;=DateRef),"Sorti",IF($H188="","À compléter",IF(AND($Q188&lt;&gt;"",$Q188&gt;=DateRef,$Q188&lt;=$P188),"Planifié",IF($R188&lt;0,"En retard",IF($R188&lt;=SeuilAlerteEPP,"À planifier","À jour"))))))</f>
        <v/>
      </c>
      <c r="T188" s="46" t="str">
        <f aca="false">IF(OR($B188="",$S188="Sorti"),"",MID(IF($H188=""," | Date d'embauche manquante","")&amp;IF(AND($K188="Plus d'un an",$N188="")," | Précédent entretien à renseigner (ancienneté &gt; 1 an)","")&amp;IF($O188="Retard antérieur à la réforme"," | Ancien délai de 2 ans expiré avant la réforme","")&amp;IF(AND($N188&lt;&gt;"",$H188&lt;&gt;"",$N188&lt;$H188)," | Entretien antérieur à l'embauche ?","")&amp;IF(AND($N188&lt;&gt;"",$N188&gt;DateRef)," | Entretien daté dans le futur ?","")&amp;IF(AND($Q188&lt;&gt;"",$P188&lt;&gt;"",$Q188&gt;$P188)," | Date prévue après l'échéance","")&amp;IF(AND($Q188&lt;&gt;"",$Q188&lt;DateRef,OR($N188="",$N188&lt;$Q188))," | Entretien prévu passé : le consigner au Journal","")&amp;IF(AND($G188&lt;&gt;"",$X188="",YEAR(DateRef)-YEAR($G188)&gt;=AgeMiCarriere-1,YEAR(DateRef)-YEAR($G188)&lt;=AgeMiCarriere+1)," | Visite de mi-carrière à vérifier",""),4,1000))</f>
        <v/>
      </c>
      <c r="U188" s="39"/>
      <c r="V188" s="40"/>
      <c r="W188" s="42" t="str">
        <f aca="false">IF(OR($B188="",$V188=""),"",IF(AND($I188&lt;&gt;"",$I188&lt;=DateRef),"",IF(AND($N188&lt;&gt;"",$N188&gt;=$V188),"Réalisé",IF(AND($N188&lt;&gt;"",$N188&gt;=EDATE($V188,-FenetreRetour)),"Dispensé (EPP récent)",IF($V188&gt;DateRef,"À prévoir à la reprise","À proposer (reprise passée)")))))</f>
        <v/>
      </c>
      <c r="X188" s="40"/>
      <c r="Y188" s="43" t="str">
        <f aca="false">IF(OR($B188="",$X188=""),"",EDATE($X188,DelaiMiCarriere))</f>
        <v/>
      </c>
      <c r="Z188" s="42" t="str">
        <f aca="false">IF(OR($B188="",$X188=""),"",IF(AND($I188&lt;&gt;"",$I188&lt;=DateRef),"",IF(AND($N188&lt;&gt;"",$N188&gt;=$X188),"Réalisé",IF($Y188&lt;DateRef,"En retard","À planifier"))))</f>
        <v/>
      </c>
      <c r="AA188" s="47" t="str">
        <f aca="false">IF(OR($B188="",$G188=""),"",IF($G188&gt;DateRef,"",DATEDIF($G188,DateRef,"y")))</f>
        <v/>
      </c>
      <c r="AB188" s="43" t="str">
        <f aca="false">IF(OR($B188="",$G188=""),"",EDATE($G188,AgeFinCarriere*12))</f>
        <v/>
      </c>
      <c r="AC188" s="42" t="str">
        <f aca="false">IF(OR($B188="",$G188="",$H188=""),"",IF(AND($I188&lt;&gt;"",$I188&lt;=DateRef),"",IF($AB188&lt;DateVigueur,"Non concerné",IF(AND($N188&lt;&gt;"",$N188&gt;=MAX(EDATE($AB188,-FenetreFinCarriere*12),DateVigueur),$N188&lt;=$AB188),"Réalisé",IF(DateRef&gt;$AB188,"Non réalisé",IF(AND($Q188&lt;&gt;"",$Q188&gt;=EDATE($AB188,-FenetreFinCarriere*12),$Q188&lt;=$AB188),"Planifié dans la fenêtre",IF(AND(MAX($P188,DateRef)&gt;=EDATE($AB188,-FenetreFinCarriere*12),MAX($P188,DateRef)&lt;=$AB188),"Prochain EPP dans la fenêtre",IF(MAX($P188,DateRef)&gt;$AB188,"À programmer avant 60 ans",""))))))))</f>
        <v/>
      </c>
      <c r="AD188" s="40"/>
      <c r="AE188" s="43" t="str">
        <f aca="false">IF(OR($B188="",$H188="",AND($I188&lt;&gt;"",$I188&lt;=DateRef)),"",MAX($H188,$AD188,IF($A188="",0,SUMPRODUCT(MAX((Journal!$A$6:$A$1005=$A188)*((Journal!$D$6:$D$1005=TypeEDL)+(Journal!$D$6:$D$1005=TypeBilan6))*Journal!$C$6:$C$1005)))))</f>
        <v/>
      </c>
      <c r="AF188" s="43" t="str">
        <f aca="false">IF($AE188="","",IF(AND(ReglesTransitoires="Oui",EDATE($AE188,AnciennePeriodiciteEDL*12)&lt;DateVigueur),EDATE($AE188,AnciennePeriodiciteEDL*12),EDATE($AE188,PeriodiciteEDL*12)))</f>
        <v/>
      </c>
      <c r="AG188" s="42" t="str">
        <f aca="false">IF($AF188="","",IF(AND($I188&lt;&gt;"",$I188&lt;=DateRef),"",IF($AF188&lt;DateRef,"En retard",IF($AF188-DateRef&lt;=SeuilAlerteEDL,"À prévoir","À jour"))))</f>
        <v/>
      </c>
      <c r="AH188" s="39"/>
      <c r="AI188" s="39"/>
      <c r="AJ188" s="42" t="str">
        <f aca="false">IF(OR($B188="",$H188=""),"",IF(AND($I188&lt;&gt;"",$I188&lt;=DateRef),"",IF(Effectif&lt;SeuilEffectif,"Non concerné (&lt; "&amp;SeuilEffectif&amp;" salariés)",IF($AH188="Oui","Pas de risque",IF(AND(OR($AI188="Non",$S188="En retard"),$AH188="Non"),"Risque abondement",IF(OR($AI188="Non",$S188="En retard"),"À vérifier (formation ?)",IF($AI188="Oui","Pas de risque","À compléter")))))))</f>
        <v/>
      </c>
      <c r="AK188" s="39"/>
    </row>
    <row r="189" customFormat="false" ht="15" hidden="false" customHeight="false" outlineLevel="0" collapsed="false">
      <c r="A189" s="39"/>
      <c r="B189" s="39"/>
      <c r="C189" s="39"/>
      <c r="D189" s="39"/>
      <c r="E189" s="39"/>
      <c r="F189" s="39"/>
      <c r="G189" s="40"/>
      <c r="H189" s="40"/>
      <c r="I189" s="40"/>
      <c r="J189" s="41" t="str">
        <f aca="false">IF(OR($B189="",$H189=""),"",IF($H189&gt;DateRef,0,YEARFRAC($H189,DateRef,1)))</f>
        <v/>
      </c>
      <c r="K189" s="42" t="str">
        <f aca="false">IF(OR($B189="",$H189=""),"",IF(EDATE($H189,12)&lt;=DateRef,"Plus d'un an","Moins d'un an"))</f>
        <v/>
      </c>
      <c r="L189" s="40"/>
      <c r="M189" s="43" t="str">
        <f aca="false">IF(OR($B189="",$A189=""),"",IF(SUMPRODUCT(MAX((Journal!$A$6:$A$1005=$A189)*Journal!$C$6:$C$1005))=0,"",SUMPRODUCT(MAX((Journal!$A$6:$A$1005=$A189)*Journal!$C$6:$C$1005))))</f>
        <v/>
      </c>
      <c r="N189" s="43" t="str">
        <f aca="false">IF($B189="","",IF(MAX($L189,$M189)=0,"",MAX($L189,$M189)))</f>
        <v/>
      </c>
      <c r="O189" s="44" t="str">
        <f aca="false">IF(OR($B189="",$H189=""),"",IF($N189="",IF(EDATE($H189,DelaiPremierEPP)&gt;DateRef,"1er EPP (1re année)","Aucun entretien renseigné"),IF(AND(ReglesTransitoires="Oui",EDATE($N189,AnciennePeriodiciteEP*12)&lt;DateVigueur),"Retard antérieur à la réforme","Périodicité "&amp;PeriodiciteEPP&amp;" ans")))</f>
        <v/>
      </c>
      <c r="P189" s="43" t="str">
        <f aca="false">IF(OR($B189="",$H189=""),"",IF($N189="",EDATE($H189,DelaiPremierEPP),IF(AND(ReglesTransitoires="Oui",EDATE($N189,AnciennePeriodiciteEP*12)&lt;DateVigueur),EDATE($N189,AnciennePeriodiciteEP*12),EDATE($N189,PeriodiciteEPP*12))))</f>
        <v/>
      </c>
      <c r="Q189" s="40"/>
      <c r="R189" s="45" t="str">
        <f aca="false">IF(OR($P189="",AND($I189&lt;&gt;"",$I189&lt;=DateRef)),"",$P189-DateRef)</f>
        <v/>
      </c>
      <c r="S189" s="42" t="str">
        <f aca="false">IF($B189="","",IF(AND($I189&lt;&gt;"",$I189&lt;=DateRef),"Sorti",IF($H189="","À compléter",IF(AND($Q189&lt;&gt;"",$Q189&gt;=DateRef,$Q189&lt;=$P189),"Planifié",IF($R189&lt;0,"En retard",IF($R189&lt;=SeuilAlerteEPP,"À planifier","À jour"))))))</f>
        <v/>
      </c>
      <c r="T189" s="46" t="str">
        <f aca="false">IF(OR($B189="",$S189="Sorti"),"",MID(IF($H189=""," | Date d'embauche manquante","")&amp;IF(AND($K189="Plus d'un an",$N189="")," | Précédent entretien à renseigner (ancienneté &gt; 1 an)","")&amp;IF($O189="Retard antérieur à la réforme"," | Ancien délai de 2 ans expiré avant la réforme","")&amp;IF(AND($N189&lt;&gt;"",$H189&lt;&gt;"",$N189&lt;$H189)," | Entretien antérieur à l'embauche ?","")&amp;IF(AND($N189&lt;&gt;"",$N189&gt;DateRef)," | Entretien daté dans le futur ?","")&amp;IF(AND($Q189&lt;&gt;"",$P189&lt;&gt;"",$Q189&gt;$P189)," | Date prévue après l'échéance","")&amp;IF(AND($Q189&lt;&gt;"",$Q189&lt;DateRef,OR($N189="",$N189&lt;$Q189))," | Entretien prévu passé : le consigner au Journal","")&amp;IF(AND($G189&lt;&gt;"",$X189="",YEAR(DateRef)-YEAR($G189)&gt;=AgeMiCarriere-1,YEAR(DateRef)-YEAR($G189)&lt;=AgeMiCarriere+1)," | Visite de mi-carrière à vérifier",""),4,1000))</f>
        <v/>
      </c>
      <c r="U189" s="39"/>
      <c r="V189" s="40"/>
      <c r="W189" s="42" t="str">
        <f aca="false">IF(OR($B189="",$V189=""),"",IF(AND($I189&lt;&gt;"",$I189&lt;=DateRef),"",IF(AND($N189&lt;&gt;"",$N189&gt;=$V189),"Réalisé",IF(AND($N189&lt;&gt;"",$N189&gt;=EDATE($V189,-FenetreRetour)),"Dispensé (EPP récent)",IF($V189&gt;DateRef,"À prévoir à la reprise","À proposer (reprise passée)")))))</f>
        <v/>
      </c>
      <c r="X189" s="40"/>
      <c r="Y189" s="43" t="str">
        <f aca="false">IF(OR($B189="",$X189=""),"",EDATE($X189,DelaiMiCarriere))</f>
        <v/>
      </c>
      <c r="Z189" s="42" t="str">
        <f aca="false">IF(OR($B189="",$X189=""),"",IF(AND($I189&lt;&gt;"",$I189&lt;=DateRef),"",IF(AND($N189&lt;&gt;"",$N189&gt;=$X189),"Réalisé",IF($Y189&lt;DateRef,"En retard","À planifier"))))</f>
        <v/>
      </c>
      <c r="AA189" s="47" t="str">
        <f aca="false">IF(OR($B189="",$G189=""),"",IF($G189&gt;DateRef,"",DATEDIF($G189,DateRef,"y")))</f>
        <v/>
      </c>
      <c r="AB189" s="43" t="str">
        <f aca="false">IF(OR($B189="",$G189=""),"",EDATE($G189,AgeFinCarriere*12))</f>
        <v/>
      </c>
      <c r="AC189" s="42" t="str">
        <f aca="false">IF(OR($B189="",$G189="",$H189=""),"",IF(AND($I189&lt;&gt;"",$I189&lt;=DateRef),"",IF($AB189&lt;DateVigueur,"Non concerné",IF(AND($N189&lt;&gt;"",$N189&gt;=MAX(EDATE($AB189,-FenetreFinCarriere*12),DateVigueur),$N189&lt;=$AB189),"Réalisé",IF(DateRef&gt;$AB189,"Non réalisé",IF(AND($Q189&lt;&gt;"",$Q189&gt;=EDATE($AB189,-FenetreFinCarriere*12),$Q189&lt;=$AB189),"Planifié dans la fenêtre",IF(AND(MAX($P189,DateRef)&gt;=EDATE($AB189,-FenetreFinCarriere*12),MAX($P189,DateRef)&lt;=$AB189),"Prochain EPP dans la fenêtre",IF(MAX($P189,DateRef)&gt;$AB189,"À programmer avant 60 ans",""))))))))</f>
        <v/>
      </c>
      <c r="AD189" s="40"/>
      <c r="AE189" s="43" t="str">
        <f aca="false">IF(OR($B189="",$H189="",AND($I189&lt;&gt;"",$I189&lt;=DateRef)),"",MAX($H189,$AD189,IF($A189="",0,SUMPRODUCT(MAX((Journal!$A$6:$A$1005=$A189)*((Journal!$D$6:$D$1005=TypeEDL)+(Journal!$D$6:$D$1005=TypeBilan6))*Journal!$C$6:$C$1005)))))</f>
        <v/>
      </c>
      <c r="AF189" s="43" t="str">
        <f aca="false">IF($AE189="","",IF(AND(ReglesTransitoires="Oui",EDATE($AE189,AnciennePeriodiciteEDL*12)&lt;DateVigueur),EDATE($AE189,AnciennePeriodiciteEDL*12),EDATE($AE189,PeriodiciteEDL*12)))</f>
        <v/>
      </c>
      <c r="AG189" s="42" t="str">
        <f aca="false">IF($AF189="","",IF(AND($I189&lt;&gt;"",$I189&lt;=DateRef),"",IF($AF189&lt;DateRef,"En retard",IF($AF189-DateRef&lt;=SeuilAlerteEDL,"À prévoir","À jour"))))</f>
        <v/>
      </c>
      <c r="AH189" s="39"/>
      <c r="AI189" s="39"/>
      <c r="AJ189" s="42" t="str">
        <f aca="false">IF(OR($B189="",$H189=""),"",IF(AND($I189&lt;&gt;"",$I189&lt;=DateRef),"",IF(Effectif&lt;SeuilEffectif,"Non concerné (&lt; "&amp;SeuilEffectif&amp;" salariés)",IF($AH189="Oui","Pas de risque",IF(AND(OR($AI189="Non",$S189="En retard"),$AH189="Non"),"Risque abondement",IF(OR($AI189="Non",$S189="En retard"),"À vérifier (formation ?)",IF($AI189="Oui","Pas de risque","À compléter")))))))</f>
        <v/>
      </c>
      <c r="AK189" s="39"/>
    </row>
    <row r="190" customFormat="false" ht="15" hidden="false" customHeight="false" outlineLevel="0" collapsed="false">
      <c r="A190" s="39"/>
      <c r="B190" s="39"/>
      <c r="C190" s="39"/>
      <c r="D190" s="39"/>
      <c r="E190" s="39"/>
      <c r="F190" s="39"/>
      <c r="G190" s="40"/>
      <c r="H190" s="40"/>
      <c r="I190" s="40"/>
      <c r="J190" s="41" t="str">
        <f aca="false">IF(OR($B190="",$H190=""),"",IF($H190&gt;DateRef,0,YEARFRAC($H190,DateRef,1)))</f>
        <v/>
      </c>
      <c r="K190" s="42" t="str">
        <f aca="false">IF(OR($B190="",$H190=""),"",IF(EDATE($H190,12)&lt;=DateRef,"Plus d'un an","Moins d'un an"))</f>
        <v/>
      </c>
      <c r="L190" s="40"/>
      <c r="M190" s="43" t="str">
        <f aca="false">IF(OR($B190="",$A190=""),"",IF(SUMPRODUCT(MAX((Journal!$A$6:$A$1005=$A190)*Journal!$C$6:$C$1005))=0,"",SUMPRODUCT(MAX((Journal!$A$6:$A$1005=$A190)*Journal!$C$6:$C$1005))))</f>
        <v/>
      </c>
      <c r="N190" s="43" t="str">
        <f aca="false">IF($B190="","",IF(MAX($L190,$M190)=0,"",MAX($L190,$M190)))</f>
        <v/>
      </c>
      <c r="O190" s="44" t="str">
        <f aca="false">IF(OR($B190="",$H190=""),"",IF($N190="",IF(EDATE($H190,DelaiPremierEPP)&gt;DateRef,"1er EPP (1re année)","Aucun entretien renseigné"),IF(AND(ReglesTransitoires="Oui",EDATE($N190,AnciennePeriodiciteEP*12)&lt;DateVigueur),"Retard antérieur à la réforme","Périodicité "&amp;PeriodiciteEPP&amp;" ans")))</f>
        <v/>
      </c>
      <c r="P190" s="43" t="str">
        <f aca="false">IF(OR($B190="",$H190=""),"",IF($N190="",EDATE($H190,DelaiPremierEPP),IF(AND(ReglesTransitoires="Oui",EDATE($N190,AnciennePeriodiciteEP*12)&lt;DateVigueur),EDATE($N190,AnciennePeriodiciteEP*12),EDATE($N190,PeriodiciteEPP*12))))</f>
        <v/>
      </c>
      <c r="Q190" s="40"/>
      <c r="R190" s="45" t="str">
        <f aca="false">IF(OR($P190="",AND($I190&lt;&gt;"",$I190&lt;=DateRef)),"",$P190-DateRef)</f>
        <v/>
      </c>
      <c r="S190" s="42" t="str">
        <f aca="false">IF($B190="","",IF(AND($I190&lt;&gt;"",$I190&lt;=DateRef),"Sorti",IF($H190="","À compléter",IF(AND($Q190&lt;&gt;"",$Q190&gt;=DateRef,$Q190&lt;=$P190),"Planifié",IF($R190&lt;0,"En retard",IF($R190&lt;=SeuilAlerteEPP,"À planifier","À jour"))))))</f>
        <v/>
      </c>
      <c r="T190" s="46" t="str">
        <f aca="false">IF(OR($B190="",$S190="Sorti"),"",MID(IF($H190=""," | Date d'embauche manquante","")&amp;IF(AND($K190="Plus d'un an",$N190="")," | Précédent entretien à renseigner (ancienneté &gt; 1 an)","")&amp;IF($O190="Retard antérieur à la réforme"," | Ancien délai de 2 ans expiré avant la réforme","")&amp;IF(AND($N190&lt;&gt;"",$H190&lt;&gt;"",$N190&lt;$H190)," | Entretien antérieur à l'embauche ?","")&amp;IF(AND($N190&lt;&gt;"",$N190&gt;DateRef)," | Entretien daté dans le futur ?","")&amp;IF(AND($Q190&lt;&gt;"",$P190&lt;&gt;"",$Q190&gt;$P190)," | Date prévue après l'échéance","")&amp;IF(AND($Q190&lt;&gt;"",$Q190&lt;DateRef,OR($N190="",$N190&lt;$Q190))," | Entretien prévu passé : le consigner au Journal","")&amp;IF(AND($G190&lt;&gt;"",$X190="",YEAR(DateRef)-YEAR($G190)&gt;=AgeMiCarriere-1,YEAR(DateRef)-YEAR($G190)&lt;=AgeMiCarriere+1)," | Visite de mi-carrière à vérifier",""),4,1000))</f>
        <v/>
      </c>
      <c r="U190" s="39"/>
      <c r="V190" s="40"/>
      <c r="W190" s="42" t="str">
        <f aca="false">IF(OR($B190="",$V190=""),"",IF(AND($I190&lt;&gt;"",$I190&lt;=DateRef),"",IF(AND($N190&lt;&gt;"",$N190&gt;=$V190),"Réalisé",IF(AND($N190&lt;&gt;"",$N190&gt;=EDATE($V190,-FenetreRetour)),"Dispensé (EPP récent)",IF($V190&gt;DateRef,"À prévoir à la reprise","À proposer (reprise passée)")))))</f>
        <v/>
      </c>
      <c r="X190" s="40"/>
      <c r="Y190" s="43" t="str">
        <f aca="false">IF(OR($B190="",$X190=""),"",EDATE($X190,DelaiMiCarriere))</f>
        <v/>
      </c>
      <c r="Z190" s="42" t="str">
        <f aca="false">IF(OR($B190="",$X190=""),"",IF(AND($I190&lt;&gt;"",$I190&lt;=DateRef),"",IF(AND($N190&lt;&gt;"",$N190&gt;=$X190),"Réalisé",IF($Y190&lt;DateRef,"En retard","À planifier"))))</f>
        <v/>
      </c>
      <c r="AA190" s="47" t="str">
        <f aca="false">IF(OR($B190="",$G190=""),"",IF($G190&gt;DateRef,"",DATEDIF($G190,DateRef,"y")))</f>
        <v/>
      </c>
      <c r="AB190" s="43" t="str">
        <f aca="false">IF(OR($B190="",$G190=""),"",EDATE($G190,AgeFinCarriere*12))</f>
        <v/>
      </c>
      <c r="AC190" s="42" t="str">
        <f aca="false">IF(OR($B190="",$G190="",$H190=""),"",IF(AND($I190&lt;&gt;"",$I190&lt;=DateRef),"",IF($AB190&lt;DateVigueur,"Non concerné",IF(AND($N190&lt;&gt;"",$N190&gt;=MAX(EDATE($AB190,-FenetreFinCarriere*12),DateVigueur),$N190&lt;=$AB190),"Réalisé",IF(DateRef&gt;$AB190,"Non réalisé",IF(AND($Q190&lt;&gt;"",$Q190&gt;=EDATE($AB190,-FenetreFinCarriere*12),$Q190&lt;=$AB190),"Planifié dans la fenêtre",IF(AND(MAX($P190,DateRef)&gt;=EDATE($AB190,-FenetreFinCarriere*12),MAX($P190,DateRef)&lt;=$AB190),"Prochain EPP dans la fenêtre",IF(MAX($P190,DateRef)&gt;$AB190,"À programmer avant 60 ans",""))))))))</f>
        <v/>
      </c>
      <c r="AD190" s="40"/>
      <c r="AE190" s="43" t="str">
        <f aca="false">IF(OR($B190="",$H190="",AND($I190&lt;&gt;"",$I190&lt;=DateRef)),"",MAX($H190,$AD190,IF($A190="",0,SUMPRODUCT(MAX((Journal!$A$6:$A$1005=$A190)*((Journal!$D$6:$D$1005=TypeEDL)+(Journal!$D$6:$D$1005=TypeBilan6))*Journal!$C$6:$C$1005)))))</f>
        <v/>
      </c>
      <c r="AF190" s="43" t="str">
        <f aca="false">IF($AE190="","",IF(AND(ReglesTransitoires="Oui",EDATE($AE190,AnciennePeriodiciteEDL*12)&lt;DateVigueur),EDATE($AE190,AnciennePeriodiciteEDL*12),EDATE($AE190,PeriodiciteEDL*12)))</f>
        <v/>
      </c>
      <c r="AG190" s="42" t="str">
        <f aca="false">IF($AF190="","",IF(AND($I190&lt;&gt;"",$I190&lt;=DateRef),"",IF($AF190&lt;DateRef,"En retard",IF($AF190-DateRef&lt;=SeuilAlerteEDL,"À prévoir","À jour"))))</f>
        <v/>
      </c>
      <c r="AH190" s="39"/>
      <c r="AI190" s="39"/>
      <c r="AJ190" s="42" t="str">
        <f aca="false">IF(OR($B190="",$H190=""),"",IF(AND($I190&lt;&gt;"",$I190&lt;=DateRef),"",IF(Effectif&lt;SeuilEffectif,"Non concerné (&lt; "&amp;SeuilEffectif&amp;" salariés)",IF($AH190="Oui","Pas de risque",IF(AND(OR($AI190="Non",$S190="En retard"),$AH190="Non"),"Risque abondement",IF(OR($AI190="Non",$S190="En retard"),"À vérifier (formation ?)",IF($AI190="Oui","Pas de risque","À compléter")))))))</f>
        <v/>
      </c>
      <c r="AK190" s="39"/>
    </row>
    <row r="191" customFormat="false" ht="15" hidden="false" customHeight="false" outlineLevel="0" collapsed="false">
      <c r="A191" s="39"/>
      <c r="B191" s="39"/>
      <c r="C191" s="39"/>
      <c r="D191" s="39"/>
      <c r="E191" s="39"/>
      <c r="F191" s="39"/>
      <c r="G191" s="40"/>
      <c r="H191" s="40"/>
      <c r="I191" s="40"/>
      <c r="J191" s="41" t="str">
        <f aca="false">IF(OR($B191="",$H191=""),"",IF($H191&gt;DateRef,0,YEARFRAC($H191,DateRef,1)))</f>
        <v/>
      </c>
      <c r="K191" s="42" t="str">
        <f aca="false">IF(OR($B191="",$H191=""),"",IF(EDATE($H191,12)&lt;=DateRef,"Plus d'un an","Moins d'un an"))</f>
        <v/>
      </c>
      <c r="L191" s="40"/>
      <c r="M191" s="43" t="str">
        <f aca="false">IF(OR($B191="",$A191=""),"",IF(SUMPRODUCT(MAX((Journal!$A$6:$A$1005=$A191)*Journal!$C$6:$C$1005))=0,"",SUMPRODUCT(MAX((Journal!$A$6:$A$1005=$A191)*Journal!$C$6:$C$1005))))</f>
        <v/>
      </c>
      <c r="N191" s="43" t="str">
        <f aca="false">IF($B191="","",IF(MAX($L191,$M191)=0,"",MAX($L191,$M191)))</f>
        <v/>
      </c>
      <c r="O191" s="44" t="str">
        <f aca="false">IF(OR($B191="",$H191=""),"",IF($N191="",IF(EDATE($H191,DelaiPremierEPP)&gt;DateRef,"1er EPP (1re année)","Aucun entretien renseigné"),IF(AND(ReglesTransitoires="Oui",EDATE($N191,AnciennePeriodiciteEP*12)&lt;DateVigueur),"Retard antérieur à la réforme","Périodicité "&amp;PeriodiciteEPP&amp;" ans")))</f>
        <v/>
      </c>
      <c r="P191" s="43" t="str">
        <f aca="false">IF(OR($B191="",$H191=""),"",IF($N191="",EDATE($H191,DelaiPremierEPP),IF(AND(ReglesTransitoires="Oui",EDATE($N191,AnciennePeriodiciteEP*12)&lt;DateVigueur),EDATE($N191,AnciennePeriodiciteEP*12),EDATE($N191,PeriodiciteEPP*12))))</f>
        <v/>
      </c>
      <c r="Q191" s="40"/>
      <c r="R191" s="45" t="str">
        <f aca="false">IF(OR($P191="",AND($I191&lt;&gt;"",$I191&lt;=DateRef)),"",$P191-DateRef)</f>
        <v/>
      </c>
      <c r="S191" s="42" t="str">
        <f aca="false">IF($B191="","",IF(AND($I191&lt;&gt;"",$I191&lt;=DateRef),"Sorti",IF($H191="","À compléter",IF(AND($Q191&lt;&gt;"",$Q191&gt;=DateRef,$Q191&lt;=$P191),"Planifié",IF($R191&lt;0,"En retard",IF($R191&lt;=SeuilAlerteEPP,"À planifier","À jour"))))))</f>
        <v/>
      </c>
      <c r="T191" s="46" t="str">
        <f aca="false">IF(OR($B191="",$S191="Sorti"),"",MID(IF($H191=""," | Date d'embauche manquante","")&amp;IF(AND($K191="Plus d'un an",$N191="")," | Précédent entretien à renseigner (ancienneté &gt; 1 an)","")&amp;IF($O191="Retard antérieur à la réforme"," | Ancien délai de 2 ans expiré avant la réforme","")&amp;IF(AND($N191&lt;&gt;"",$H191&lt;&gt;"",$N191&lt;$H191)," | Entretien antérieur à l'embauche ?","")&amp;IF(AND($N191&lt;&gt;"",$N191&gt;DateRef)," | Entretien daté dans le futur ?","")&amp;IF(AND($Q191&lt;&gt;"",$P191&lt;&gt;"",$Q191&gt;$P191)," | Date prévue après l'échéance","")&amp;IF(AND($Q191&lt;&gt;"",$Q191&lt;DateRef,OR($N191="",$N191&lt;$Q191))," | Entretien prévu passé : le consigner au Journal","")&amp;IF(AND($G191&lt;&gt;"",$X191="",YEAR(DateRef)-YEAR($G191)&gt;=AgeMiCarriere-1,YEAR(DateRef)-YEAR($G191)&lt;=AgeMiCarriere+1)," | Visite de mi-carrière à vérifier",""),4,1000))</f>
        <v/>
      </c>
      <c r="U191" s="39"/>
      <c r="V191" s="40"/>
      <c r="W191" s="42" t="str">
        <f aca="false">IF(OR($B191="",$V191=""),"",IF(AND($I191&lt;&gt;"",$I191&lt;=DateRef),"",IF(AND($N191&lt;&gt;"",$N191&gt;=$V191),"Réalisé",IF(AND($N191&lt;&gt;"",$N191&gt;=EDATE($V191,-FenetreRetour)),"Dispensé (EPP récent)",IF($V191&gt;DateRef,"À prévoir à la reprise","À proposer (reprise passée)")))))</f>
        <v/>
      </c>
      <c r="X191" s="40"/>
      <c r="Y191" s="43" t="str">
        <f aca="false">IF(OR($B191="",$X191=""),"",EDATE($X191,DelaiMiCarriere))</f>
        <v/>
      </c>
      <c r="Z191" s="42" t="str">
        <f aca="false">IF(OR($B191="",$X191=""),"",IF(AND($I191&lt;&gt;"",$I191&lt;=DateRef),"",IF(AND($N191&lt;&gt;"",$N191&gt;=$X191),"Réalisé",IF($Y191&lt;DateRef,"En retard","À planifier"))))</f>
        <v/>
      </c>
      <c r="AA191" s="47" t="str">
        <f aca="false">IF(OR($B191="",$G191=""),"",IF($G191&gt;DateRef,"",DATEDIF($G191,DateRef,"y")))</f>
        <v/>
      </c>
      <c r="AB191" s="43" t="str">
        <f aca="false">IF(OR($B191="",$G191=""),"",EDATE($G191,AgeFinCarriere*12))</f>
        <v/>
      </c>
      <c r="AC191" s="42" t="str">
        <f aca="false">IF(OR($B191="",$G191="",$H191=""),"",IF(AND($I191&lt;&gt;"",$I191&lt;=DateRef),"",IF($AB191&lt;DateVigueur,"Non concerné",IF(AND($N191&lt;&gt;"",$N191&gt;=MAX(EDATE($AB191,-FenetreFinCarriere*12),DateVigueur),$N191&lt;=$AB191),"Réalisé",IF(DateRef&gt;$AB191,"Non réalisé",IF(AND($Q191&lt;&gt;"",$Q191&gt;=EDATE($AB191,-FenetreFinCarriere*12),$Q191&lt;=$AB191),"Planifié dans la fenêtre",IF(AND(MAX($P191,DateRef)&gt;=EDATE($AB191,-FenetreFinCarriere*12),MAX($P191,DateRef)&lt;=$AB191),"Prochain EPP dans la fenêtre",IF(MAX($P191,DateRef)&gt;$AB191,"À programmer avant 60 ans",""))))))))</f>
        <v/>
      </c>
      <c r="AD191" s="40"/>
      <c r="AE191" s="43" t="str">
        <f aca="false">IF(OR($B191="",$H191="",AND($I191&lt;&gt;"",$I191&lt;=DateRef)),"",MAX($H191,$AD191,IF($A191="",0,SUMPRODUCT(MAX((Journal!$A$6:$A$1005=$A191)*((Journal!$D$6:$D$1005=TypeEDL)+(Journal!$D$6:$D$1005=TypeBilan6))*Journal!$C$6:$C$1005)))))</f>
        <v/>
      </c>
      <c r="AF191" s="43" t="str">
        <f aca="false">IF($AE191="","",IF(AND(ReglesTransitoires="Oui",EDATE($AE191,AnciennePeriodiciteEDL*12)&lt;DateVigueur),EDATE($AE191,AnciennePeriodiciteEDL*12),EDATE($AE191,PeriodiciteEDL*12)))</f>
        <v/>
      </c>
      <c r="AG191" s="42" t="str">
        <f aca="false">IF($AF191="","",IF(AND($I191&lt;&gt;"",$I191&lt;=DateRef),"",IF($AF191&lt;DateRef,"En retard",IF($AF191-DateRef&lt;=SeuilAlerteEDL,"À prévoir","À jour"))))</f>
        <v/>
      </c>
      <c r="AH191" s="39"/>
      <c r="AI191" s="39"/>
      <c r="AJ191" s="42" t="str">
        <f aca="false">IF(OR($B191="",$H191=""),"",IF(AND($I191&lt;&gt;"",$I191&lt;=DateRef),"",IF(Effectif&lt;SeuilEffectif,"Non concerné (&lt; "&amp;SeuilEffectif&amp;" salariés)",IF($AH191="Oui","Pas de risque",IF(AND(OR($AI191="Non",$S191="En retard"),$AH191="Non"),"Risque abondement",IF(OR($AI191="Non",$S191="En retard"),"À vérifier (formation ?)",IF($AI191="Oui","Pas de risque","À compléter")))))))</f>
        <v/>
      </c>
      <c r="AK191" s="39"/>
    </row>
    <row r="192" customFormat="false" ht="15" hidden="false" customHeight="false" outlineLevel="0" collapsed="false">
      <c r="A192" s="39"/>
      <c r="B192" s="39"/>
      <c r="C192" s="39"/>
      <c r="D192" s="39"/>
      <c r="E192" s="39"/>
      <c r="F192" s="39"/>
      <c r="G192" s="40"/>
      <c r="H192" s="40"/>
      <c r="I192" s="40"/>
      <c r="J192" s="41" t="str">
        <f aca="false">IF(OR($B192="",$H192=""),"",IF($H192&gt;DateRef,0,YEARFRAC($H192,DateRef,1)))</f>
        <v/>
      </c>
      <c r="K192" s="42" t="str">
        <f aca="false">IF(OR($B192="",$H192=""),"",IF(EDATE($H192,12)&lt;=DateRef,"Plus d'un an","Moins d'un an"))</f>
        <v/>
      </c>
      <c r="L192" s="40"/>
      <c r="M192" s="43" t="str">
        <f aca="false">IF(OR($B192="",$A192=""),"",IF(SUMPRODUCT(MAX((Journal!$A$6:$A$1005=$A192)*Journal!$C$6:$C$1005))=0,"",SUMPRODUCT(MAX((Journal!$A$6:$A$1005=$A192)*Journal!$C$6:$C$1005))))</f>
        <v/>
      </c>
      <c r="N192" s="43" t="str">
        <f aca="false">IF($B192="","",IF(MAX($L192,$M192)=0,"",MAX($L192,$M192)))</f>
        <v/>
      </c>
      <c r="O192" s="44" t="str">
        <f aca="false">IF(OR($B192="",$H192=""),"",IF($N192="",IF(EDATE($H192,DelaiPremierEPP)&gt;DateRef,"1er EPP (1re année)","Aucun entretien renseigné"),IF(AND(ReglesTransitoires="Oui",EDATE($N192,AnciennePeriodiciteEP*12)&lt;DateVigueur),"Retard antérieur à la réforme","Périodicité "&amp;PeriodiciteEPP&amp;" ans")))</f>
        <v/>
      </c>
      <c r="P192" s="43" t="str">
        <f aca="false">IF(OR($B192="",$H192=""),"",IF($N192="",EDATE($H192,DelaiPremierEPP),IF(AND(ReglesTransitoires="Oui",EDATE($N192,AnciennePeriodiciteEP*12)&lt;DateVigueur),EDATE($N192,AnciennePeriodiciteEP*12),EDATE($N192,PeriodiciteEPP*12))))</f>
        <v/>
      </c>
      <c r="Q192" s="40"/>
      <c r="R192" s="45" t="str">
        <f aca="false">IF(OR($P192="",AND($I192&lt;&gt;"",$I192&lt;=DateRef)),"",$P192-DateRef)</f>
        <v/>
      </c>
      <c r="S192" s="42" t="str">
        <f aca="false">IF($B192="","",IF(AND($I192&lt;&gt;"",$I192&lt;=DateRef),"Sorti",IF($H192="","À compléter",IF(AND($Q192&lt;&gt;"",$Q192&gt;=DateRef,$Q192&lt;=$P192),"Planifié",IF($R192&lt;0,"En retard",IF($R192&lt;=SeuilAlerteEPP,"À planifier","À jour"))))))</f>
        <v/>
      </c>
      <c r="T192" s="46" t="str">
        <f aca="false">IF(OR($B192="",$S192="Sorti"),"",MID(IF($H192=""," | Date d'embauche manquante","")&amp;IF(AND($K192="Plus d'un an",$N192="")," | Précédent entretien à renseigner (ancienneté &gt; 1 an)","")&amp;IF($O192="Retard antérieur à la réforme"," | Ancien délai de 2 ans expiré avant la réforme","")&amp;IF(AND($N192&lt;&gt;"",$H192&lt;&gt;"",$N192&lt;$H192)," | Entretien antérieur à l'embauche ?","")&amp;IF(AND($N192&lt;&gt;"",$N192&gt;DateRef)," | Entretien daté dans le futur ?","")&amp;IF(AND($Q192&lt;&gt;"",$P192&lt;&gt;"",$Q192&gt;$P192)," | Date prévue après l'échéance","")&amp;IF(AND($Q192&lt;&gt;"",$Q192&lt;DateRef,OR($N192="",$N192&lt;$Q192))," | Entretien prévu passé : le consigner au Journal","")&amp;IF(AND($G192&lt;&gt;"",$X192="",YEAR(DateRef)-YEAR($G192)&gt;=AgeMiCarriere-1,YEAR(DateRef)-YEAR($G192)&lt;=AgeMiCarriere+1)," | Visite de mi-carrière à vérifier",""),4,1000))</f>
        <v/>
      </c>
      <c r="U192" s="39"/>
      <c r="V192" s="40"/>
      <c r="W192" s="42" t="str">
        <f aca="false">IF(OR($B192="",$V192=""),"",IF(AND($I192&lt;&gt;"",$I192&lt;=DateRef),"",IF(AND($N192&lt;&gt;"",$N192&gt;=$V192),"Réalisé",IF(AND($N192&lt;&gt;"",$N192&gt;=EDATE($V192,-FenetreRetour)),"Dispensé (EPP récent)",IF($V192&gt;DateRef,"À prévoir à la reprise","À proposer (reprise passée)")))))</f>
        <v/>
      </c>
      <c r="X192" s="40"/>
      <c r="Y192" s="43" t="str">
        <f aca="false">IF(OR($B192="",$X192=""),"",EDATE($X192,DelaiMiCarriere))</f>
        <v/>
      </c>
      <c r="Z192" s="42" t="str">
        <f aca="false">IF(OR($B192="",$X192=""),"",IF(AND($I192&lt;&gt;"",$I192&lt;=DateRef),"",IF(AND($N192&lt;&gt;"",$N192&gt;=$X192),"Réalisé",IF($Y192&lt;DateRef,"En retard","À planifier"))))</f>
        <v/>
      </c>
      <c r="AA192" s="47" t="str">
        <f aca="false">IF(OR($B192="",$G192=""),"",IF($G192&gt;DateRef,"",DATEDIF($G192,DateRef,"y")))</f>
        <v/>
      </c>
      <c r="AB192" s="43" t="str">
        <f aca="false">IF(OR($B192="",$G192=""),"",EDATE($G192,AgeFinCarriere*12))</f>
        <v/>
      </c>
      <c r="AC192" s="42" t="str">
        <f aca="false">IF(OR($B192="",$G192="",$H192=""),"",IF(AND($I192&lt;&gt;"",$I192&lt;=DateRef),"",IF($AB192&lt;DateVigueur,"Non concerné",IF(AND($N192&lt;&gt;"",$N192&gt;=MAX(EDATE($AB192,-FenetreFinCarriere*12),DateVigueur),$N192&lt;=$AB192),"Réalisé",IF(DateRef&gt;$AB192,"Non réalisé",IF(AND($Q192&lt;&gt;"",$Q192&gt;=EDATE($AB192,-FenetreFinCarriere*12),$Q192&lt;=$AB192),"Planifié dans la fenêtre",IF(AND(MAX($P192,DateRef)&gt;=EDATE($AB192,-FenetreFinCarriere*12),MAX($P192,DateRef)&lt;=$AB192),"Prochain EPP dans la fenêtre",IF(MAX($P192,DateRef)&gt;$AB192,"À programmer avant 60 ans",""))))))))</f>
        <v/>
      </c>
      <c r="AD192" s="40"/>
      <c r="AE192" s="43" t="str">
        <f aca="false">IF(OR($B192="",$H192="",AND($I192&lt;&gt;"",$I192&lt;=DateRef)),"",MAX($H192,$AD192,IF($A192="",0,SUMPRODUCT(MAX((Journal!$A$6:$A$1005=$A192)*((Journal!$D$6:$D$1005=TypeEDL)+(Journal!$D$6:$D$1005=TypeBilan6))*Journal!$C$6:$C$1005)))))</f>
        <v/>
      </c>
      <c r="AF192" s="43" t="str">
        <f aca="false">IF($AE192="","",IF(AND(ReglesTransitoires="Oui",EDATE($AE192,AnciennePeriodiciteEDL*12)&lt;DateVigueur),EDATE($AE192,AnciennePeriodiciteEDL*12),EDATE($AE192,PeriodiciteEDL*12)))</f>
        <v/>
      </c>
      <c r="AG192" s="42" t="str">
        <f aca="false">IF($AF192="","",IF(AND($I192&lt;&gt;"",$I192&lt;=DateRef),"",IF($AF192&lt;DateRef,"En retard",IF($AF192-DateRef&lt;=SeuilAlerteEDL,"À prévoir","À jour"))))</f>
        <v/>
      </c>
      <c r="AH192" s="39"/>
      <c r="AI192" s="39"/>
      <c r="AJ192" s="42" t="str">
        <f aca="false">IF(OR($B192="",$H192=""),"",IF(AND($I192&lt;&gt;"",$I192&lt;=DateRef),"",IF(Effectif&lt;SeuilEffectif,"Non concerné (&lt; "&amp;SeuilEffectif&amp;" salariés)",IF($AH192="Oui","Pas de risque",IF(AND(OR($AI192="Non",$S192="En retard"),$AH192="Non"),"Risque abondement",IF(OR($AI192="Non",$S192="En retard"),"À vérifier (formation ?)",IF($AI192="Oui","Pas de risque","À compléter")))))))</f>
        <v/>
      </c>
      <c r="AK192" s="39"/>
    </row>
    <row r="193" customFormat="false" ht="15" hidden="false" customHeight="false" outlineLevel="0" collapsed="false">
      <c r="A193" s="39"/>
      <c r="B193" s="39"/>
      <c r="C193" s="39"/>
      <c r="D193" s="39"/>
      <c r="E193" s="39"/>
      <c r="F193" s="39"/>
      <c r="G193" s="40"/>
      <c r="H193" s="40"/>
      <c r="I193" s="40"/>
      <c r="J193" s="41" t="str">
        <f aca="false">IF(OR($B193="",$H193=""),"",IF($H193&gt;DateRef,0,YEARFRAC($H193,DateRef,1)))</f>
        <v/>
      </c>
      <c r="K193" s="42" t="str">
        <f aca="false">IF(OR($B193="",$H193=""),"",IF(EDATE($H193,12)&lt;=DateRef,"Plus d'un an","Moins d'un an"))</f>
        <v/>
      </c>
      <c r="L193" s="40"/>
      <c r="M193" s="43" t="str">
        <f aca="false">IF(OR($B193="",$A193=""),"",IF(SUMPRODUCT(MAX((Journal!$A$6:$A$1005=$A193)*Journal!$C$6:$C$1005))=0,"",SUMPRODUCT(MAX((Journal!$A$6:$A$1005=$A193)*Journal!$C$6:$C$1005))))</f>
        <v/>
      </c>
      <c r="N193" s="43" t="str">
        <f aca="false">IF($B193="","",IF(MAX($L193,$M193)=0,"",MAX($L193,$M193)))</f>
        <v/>
      </c>
      <c r="O193" s="44" t="str">
        <f aca="false">IF(OR($B193="",$H193=""),"",IF($N193="",IF(EDATE($H193,DelaiPremierEPP)&gt;DateRef,"1er EPP (1re année)","Aucun entretien renseigné"),IF(AND(ReglesTransitoires="Oui",EDATE($N193,AnciennePeriodiciteEP*12)&lt;DateVigueur),"Retard antérieur à la réforme","Périodicité "&amp;PeriodiciteEPP&amp;" ans")))</f>
        <v/>
      </c>
      <c r="P193" s="43" t="str">
        <f aca="false">IF(OR($B193="",$H193=""),"",IF($N193="",EDATE($H193,DelaiPremierEPP),IF(AND(ReglesTransitoires="Oui",EDATE($N193,AnciennePeriodiciteEP*12)&lt;DateVigueur),EDATE($N193,AnciennePeriodiciteEP*12),EDATE($N193,PeriodiciteEPP*12))))</f>
        <v/>
      </c>
      <c r="Q193" s="40"/>
      <c r="R193" s="45" t="str">
        <f aca="false">IF(OR($P193="",AND($I193&lt;&gt;"",$I193&lt;=DateRef)),"",$P193-DateRef)</f>
        <v/>
      </c>
      <c r="S193" s="42" t="str">
        <f aca="false">IF($B193="","",IF(AND($I193&lt;&gt;"",$I193&lt;=DateRef),"Sorti",IF($H193="","À compléter",IF(AND($Q193&lt;&gt;"",$Q193&gt;=DateRef,$Q193&lt;=$P193),"Planifié",IF($R193&lt;0,"En retard",IF($R193&lt;=SeuilAlerteEPP,"À planifier","À jour"))))))</f>
        <v/>
      </c>
      <c r="T193" s="46" t="str">
        <f aca="false">IF(OR($B193="",$S193="Sorti"),"",MID(IF($H193=""," | Date d'embauche manquante","")&amp;IF(AND($K193="Plus d'un an",$N193="")," | Précédent entretien à renseigner (ancienneté &gt; 1 an)","")&amp;IF($O193="Retard antérieur à la réforme"," | Ancien délai de 2 ans expiré avant la réforme","")&amp;IF(AND($N193&lt;&gt;"",$H193&lt;&gt;"",$N193&lt;$H193)," | Entretien antérieur à l'embauche ?","")&amp;IF(AND($N193&lt;&gt;"",$N193&gt;DateRef)," | Entretien daté dans le futur ?","")&amp;IF(AND($Q193&lt;&gt;"",$P193&lt;&gt;"",$Q193&gt;$P193)," | Date prévue après l'échéance","")&amp;IF(AND($Q193&lt;&gt;"",$Q193&lt;DateRef,OR($N193="",$N193&lt;$Q193))," | Entretien prévu passé : le consigner au Journal","")&amp;IF(AND($G193&lt;&gt;"",$X193="",YEAR(DateRef)-YEAR($G193)&gt;=AgeMiCarriere-1,YEAR(DateRef)-YEAR($G193)&lt;=AgeMiCarriere+1)," | Visite de mi-carrière à vérifier",""),4,1000))</f>
        <v/>
      </c>
      <c r="U193" s="39"/>
      <c r="V193" s="40"/>
      <c r="W193" s="42" t="str">
        <f aca="false">IF(OR($B193="",$V193=""),"",IF(AND($I193&lt;&gt;"",$I193&lt;=DateRef),"",IF(AND($N193&lt;&gt;"",$N193&gt;=$V193),"Réalisé",IF(AND($N193&lt;&gt;"",$N193&gt;=EDATE($V193,-FenetreRetour)),"Dispensé (EPP récent)",IF($V193&gt;DateRef,"À prévoir à la reprise","À proposer (reprise passée)")))))</f>
        <v/>
      </c>
      <c r="X193" s="40"/>
      <c r="Y193" s="43" t="str">
        <f aca="false">IF(OR($B193="",$X193=""),"",EDATE($X193,DelaiMiCarriere))</f>
        <v/>
      </c>
      <c r="Z193" s="42" t="str">
        <f aca="false">IF(OR($B193="",$X193=""),"",IF(AND($I193&lt;&gt;"",$I193&lt;=DateRef),"",IF(AND($N193&lt;&gt;"",$N193&gt;=$X193),"Réalisé",IF($Y193&lt;DateRef,"En retard","À planifier"))))</f>
        <v/>
      </c>
      <c r="AA193" s="47" t="str">
        <f aca="false">IF(OR($B193="",$G193=""),"",IF($G193&gt;DateRef,"",DATEDIF($G193,DateRef,"y")))</f>
        <v/>
      </c>
      <c r="AB193" s="43" t="str">
        <f aca="false">IF(OR($B193="",$G193=""),"",EDATE($G193,AgeFinCarriere*12))</f>
        <v/>
      </c>
      <c r="AC193" s="42" t="str">
        <f aca="false">IF(OR($B193="",$G193="",$H193=""),"",IF(AND($I193&lt;&gt;"",$I193&lt;=DateRef),"",IF($AB193&lt;DateVigueur,"Non concerné",IF(AND($N193&lt;&gt;"",$N193&gt;=MAX(EDATE($AB193,-FenetreFinCarriere*12),DateVigueur),$N193&lt;=$AB193),"Réalisé",IF(DateRef&gt;$AB193,"Non réalisé",IF(AND($Q193&lt;&gt;"",$Q193&gt;=EDATE($AB193,-FenetreFinCarriere*12),$Q193&lt;=$AB193),"Planifié dans la fenêtre",IF(AND(MAX($P193,DateRef)&gt;=EDATE($AB193,-FenetreFinCarriere*12),MAX($P193,DateRef)&lt;=$AB193),"Prochain EPP dans la fenêtre",IF(MAX($P193,DateRef)&gt;$AB193,"À programmer avant 60 ans",""))))))))</f>
        <v/>
      </c>
      <c r="AD193" s="40"/>
      <c r="AE193" s="43" t="str">
        <f aca="false">IF(OR($B193="",$H193="",AND($I193&lt;&gt;"",$I193&lt;=DateRef)),"",MAX($H193,$AD193,IF($A193="",0,SUMPRODUCT(MAX((Journal!$A$6:$A$1005=$A193)*((Journal!$D$6:$D$1005=TypeEDL)+(Journal!$D$6:$D$1005=TypeBilan6))*Journal!$C$6:$C$1005)))))</f>
        <v/>
      </c>
      <c r="AF193" s="43" t="str">
        <f aca="false">IF($AE193="","",IF(AND(ReglesTransitoires="Oui",EDATE($AE193,AnciennePeriodiciteEDL*12)&lt;DateVigueur),EDATE($AE193,AnciennePeriodiciteEDL*12),EDATE($AE193,PeriodiciteEDL*12)))</f>
        <v/>
      </c>
      <c r="AG193" s="42" t="str">
        <f aca="false">IF($AF193="","",IF(AND($I193&lt;&gt;"",$I193&lt;=DateRef),"",IF($AF193&lt;DateRef,"En retard",IF($AF193-DateRef&lt;=SeuilAlerteEDL,"À prévoir","À jour"))))</f>
        <v/>
      </c>
      <c r="AH193" s="39"/>
      <c r="AI193" s="39"/>
      <c r="AJ193" s="42" t="str">
        <f aca="false">IF(OR($B193="",$H193=""),"",IF(AND($I193&lt;&gt;"",$I193&lt;=DateRef),"",IF(Effectif&lt;SeuilEffectif,"Non concerné (&lt; "&amp;SeuilEffectif&amp;" salariés)",IF($AH193="Oui","Pas de risque",IF(AND(OR($AI193="Non",$S193="En retard"),$AH193="Non"),"Risque abondement",IF(OR($AI193="Non",$S193="En retard"),"À vérifier (formation ?)",IF($AI193="Oui","Pas de risque","À compléter")))))))</f>
        <v/>
      </c>
      <c r="AK193" s="39"/>
    </row>
    <row r="194" customFormat="false" ht="15" hidden="false" customHeight="false" outlineLevel="0" collapsed="false">
      <c r="A194" s="39"/>
      <c r="B194" s="39"/>
      <c r="C194" s="39"/>
      <c r="D194" s="39"/>
      <c r="E194" s="39"/>
      <c r="F194" s="39"/>
      <c r="G194" s="40"/>
      <c r="H194" s="40"/>
      <c r="I194" s="40"/>
      <c r="J194" s="41" t="str">
        <f aca="false">IF(OR($B194="",$H194=""),"",IF($H194&gt;DateRef,0,YEARFRAC($H194,DateRef,1)))</f>
        <v/>
      </c>
      <c r="K194" s="42" t="str">
        <f aca="false">IF(OR($B194="",$H194=""),"",IF(EDATE($H194,12)&lt;=DateRef,"Plus d'un an","Moins d'un an"))</f>
        <v/>
      </c>
      <c r="L194" s="40"/>
      <c r="M194" s="43" t="str">
        <f aca="false">IF(OR($B194="",$A194=""),"",IF(SUMPRODUCT(MAX((Journal!$A$6:$A$1005=$A194)*Journal!$C$6:$C$1005))=0,"",SUMPRODUCT(MAX((Journal!$A$6:$A$1005=$A194)*Journal!$C$6:$C$1005))))</f>
        <v/>
      </c>
      <c r="N194" s="43" t="str">
        <f aca="false">IF($B194="","",IF(MAX($L194,$M194)=0,"",MAX($L194,$M194)))</f>
        <v/>
      </c>
      <c r="O194" s="44" t="str">
        <f aca="false">IF(OR($B194="",$H194=""),"",IF($N194="",IF(EDATE($H194,DelaiPremierEPP)&gt;DateRef,"1er EPP (1re année)","Aucun entretien renseigné"),IF(AND(ReglesTransitoires="Oui",EDATE($N194,AnciennePeriodiciteEP*12)&lt;DateVigueur),"Retard antérieur à la réforme","Périodicité "&amp;PeriodiciteEPP&amp;" ans")))</f>
        <v/>
      </c>
      <c r="P194" s="43" t="str">
        <f aca="false">IF(OR($B194="",$H194=""),"",IF($N194="",EDATE($H194,DelaiPremierEPP),IF(AND(ReglesTransitoires="Oui",EDATE($N194,AnciennePeriodiciteEP*12)&lt;DateVigueur),EDATE($N194,AnciennePeriodiciteEP*12),EDATE($N194,PeriodiciteEPP*12))))</f>
        <v/>
      </c>
      <c r="Q194" s="40"/>
      <c r="R194" s="45" t="str">
        <f aca="false">IF(OR($P194="",AND($I194&lt;&gt;"",$I194&lt;=DateRef)),"",$P194-DateRef)</f>
        <v/>
      </c>
      <c r="S194" s="42" t="str">
        <f aca="false">IF($B194="","",IF(AND($I194&lt;&gt;"",$I194&lt;=DateRef),"Sorti",IF($H194="","À compléter",IF(AND($Q194&lt;&gt;"",$Q194&gt;=DateRef,$Q194&lt;=$P194),"Planifié",IF($R194&lt;0,"En retard",IF($R194&lt;=SeuilAlerteEPP,"À planifier","À jour"))))))</f>
        <v/>
      </c>
      <c r="T194" s="46" t="str">
        <f aca="false">IF(OR($B194="",$S194="Sorti"),"",MID(IF($H194=""," | Date d'embauche manquante","")&amp;IF(AND($K194="Plus d'un an",$N194="")," | Précédent entretien à renseigner (ancienneté &gt; 1 an)","")&amp;IF($O194="Retard antérieur à la réforme"," | Ancien délai de 2 ans expiré avant la réforme","")&amp;IF(AND($N194&lt;&gt;"",$H194&lt;&gt;"",$N194&lt;$H194)," | Entretien antérieur à l'embauche ?","")&amp;IF(AND($N194&lt;&gt;"",$N194&gt;DateRef)," | Entretien daté dans le futur ?","")&amp;IF(AND($Q194&lt;&gt;"",$P194&lt;&gt;"",$Q194&gt;$P194)," | Date prévue après l'échéance","")&amp;IF(AND($Q194&lt;&gt;"",$Q194&lt;DateRef,OR($N194="",$N194&lt;$Q194))," | Entretien prévu passé : le consigner au Journal","")&amp;IF(AND($G194&lt;&gt;"",$X194="",YEAR(DateRef)-YEAR($G194)&gt;=AgeMiCarriere-1,YEAR(DateRef)-YEAR($G194)&lt;=AgeMiCarriere+1)," | Visite de mi-carrière à vérifier",""),4,1000))</f>
        <v/>
      </c>
      <c r="U194" s="39"/>
      <c r="V194" s="40"/>
      <c r="W194" s="42" t="str">
        <f aca="false">IF(OR($B194="",$V194=""),"",IF(AND($I194&lt;&gt;"",$I194&lt;=DateRef),"",IF(AND($N194&lt;&gt;"",$N194&gt;=$V194),"Réalisé",IF(AND($N194&lt;&gt;"",$N194&gt;=EDATE($V194,-FenetreRetour)),"Dispensé (EPP récent)",IF($V194&gt;DateRef,"À prévoir à la reprise","À proposer (reprise passée)")))))</f>
        <v/>
      </c>
      <c r="X194" s="40"/>
      <c r="Y194" s="43" t="str">
        <f aca="false">IF(OR($B194="",$X194=""),"",EDATE($X194,DelaiMiCarriere))</f>
        <v/>
      </c>
      <c r="Z194" s="42" t="str">
        <f aca="false">IF(OR($B194="",$X194=""),"",IF(AND($I194&lt;&gt;"",$I194&lt;=DateRef),"",IF(AND($N194&lt;&gt;"",$N194&gt;=$X194),"Réalisé",IF($Y194&lt;DateRef,"En retard","À planifier"))))</f>
        <v/>
      </c>
      <c r="AA194" s="47" t="str">
        <f aca="false">IF(OR($B194="",$G194=""),"",IF($G194&gt;DateRef,"",DATEDIF($G194,DateRef,"y")))</f>
        <v/>
      </c>
      <c r="AB194" s="43" t="str">
        <f aca="false">IF(OR($B194="",$G194=""),"",EDATE($G194,AgeFinCarriere*12))</f>
        <v/>
      </c>
      <c r="AC194" s="42" t="str">
        <f aca="false">IF(OR($B194="",$G194="",$H194=""),"",IF(AND($I194&lt;&gt;"",$I194&lt;=DateRef),"",IF($AB194&lt;DateVigueur,"Non concerné",IF(AND($N194&lt;&gt;"",$N194&gt;=MAX(EDATE($AB194,-FenetreFinCarriere*12),DateVigueur),$N194&lt;=$AB194),"Réalisé",IF(DateRef&gt;$AB194,"Non réalisé",IF(AND($Q194&lt;&gt;"",$Q194&gt;=EDATE($AB194,-FenetreFinCarriere*12),$Q194&lt;=$AB194),"Planifié dans la fenêtre",IF(AND(MAX($P194,DateRef)&gt;=EDATE($AB194,-FenetreFinCarriere*12),MAX($P194,DateRef)&lt;=$AB194),"Prochain EPP dans la fenêtre",IF(MAX($P194,DateRef)&gt;$AB194,"À programmer avant 60 ans",""))))))))</f>
        <v/>
      </c>
      <c r="AD194" s="40"/>
      <c r="AE194" s="43" t="str">
        <f aca="false">IF(OR($B194="",$H194="",AND($I194&lt;&gt;"",$I194&lt;=DateRef)),"",MAX($H194,$AD194,IF($A194="",0,SUMPRODUCT(MAX((Journal!$A$6:$A$1005=$A194)*((Journal!$D$6:$D$1005=TypeEDL)+(Journal!$D$6:$D$1005=TypeBilan6))*Journal!$C$6:$C$1005)))))</f>
        <v/>
      </c>
      <c r="AF194" s="43" t="str">
        <f aca="false">IF($AE194="","",IF(AND(ReglesTransitoires="Oui",EDATE($AE194,AnciennePeriodiciteEDL*12)&lt;DateVigueur),EDATE($AE194,AnciennePeriodiciteEDL*12),EDATE($AE194,PeriodiciteEDL*12)))</f>
        <v/>
      </c>
      <c r="AG194" s="42" t="str">
        <f aca="false">IF($AF194="","",IF(AND($I194&lt;&gt;"",$I194&lt;=DateRef),"",IF($AF194&lt;DateRef,"En retard",IF($AF194-DateRef&lt;=SeuilAlerteEDL,"À prévoir","À jour"))))</f>
        <v/>
      </c>
      <c r="AH194" s="39"/>
      <c r="AI194" s="39"/>
      <c r="AJ194" s="42" t="str">
        <f aca="false">IF(OR($B194="",$H194=""),"",IF(AND($I194&lt;&gt;"",$I194&lt;=DateRef),"",IF(Effectif&lt;SeuilEffectif,"Non concerné (&lt; "&amp;SeuilEffectif&amp;" salariés)",IF($AH194="Oui","Pas de risque",IF(AND(OR($AI194="Non",$S194="En retard"),$AH194="Non"),"Risque abondement",IF(OR($AI194="Non",$S194="En retard"),"À vérifier (formation ?)",IF($AI194="Oui","Pas de risque","À compléter")))))))</f>
        <v/>
      </c>
      <c r="AK194" s="39"/>
    </row>
    <row r="195" customFormat="false" ht="15" hidden="false" customHeight="false" outlineLevel="0" collapsed="false">
      <c r="A195" s="39"/>
      <c r="B195" s="39"/>
      <c r="C195" s="39"/>
      <c r="D195" s="39"/>
      <c r="E195" s="39"/>
      <c r="F195" s="39"/>
      <c r="G195" s="40"/>
      <c r="H195" s="40"/>
      <c r="I195" s="40"/>
      <c r="J195" s="41" t="str">
        <f aca="false">IF(OR($B195="",$H195=""),"",IF($H195&gt;DateRef,0,YEARFRAC($H195,DateRef,1)))</f>
        <v/>
      </c>
      <c r="K195" s="42" t="str">
        <f aca="false">IF(OR($B195="",$H195=""),"",IF(EDATE($H195,12)&lt;=DateRef,"Plus d'un an","Moins d'un an"))</f>
        <v/>
      </c>
      <c r="L195" s="40"/>
      <c r="M195" s="43" t="str">
        <f aca="false">IF(OR($B195="",$A195=""),"",IF(SUMPRODUCT(MAX((Journal!$A$6:$A$1005=$A195)*Journal!$C$6:$C$1005))=0,"",SUMPRODUCT(MAX((Journal!$A$6:$A$1005=$A195)*Journal!$C$6:$C$1005))))</f>
        <v/>
      </c>
      <c r="N195" s="43" t="str">
        <f aca="false">IF($B195="","",IF(MAX($L195,$M195)=0,"",MAX($L195,$M195)))</f>
        <v/>
      </c>
      <c r="O195" s="44" t="str">
        <f aca="false">IF(OR($B195="",$H195=""),"",IF($N195="",IF(EDATE($H195,DelaiPremierEPP)&gt;DateRef,"1er EPP (1re année)","Aucun entretien renseigné"),IF(AND(ReglesTransitoires="Oui",EDATE($N195,AnciennePeriodiciteEP*12)&lt;DateVigueur),"Retard antérieur à la réforme","Périodicité "&amp;PeriodiciteEPP&amp;" ans")))</f>
        <v/>
      </c>
      <c r="P195" s="43" t="str">
        <f aca="false">IF(OR($B195="",$H195=""),"",IF($N195="",EDATE($H195,DelaiPremierEPP),IF(AND(ReglesTransitoires="Oui",EDATE($N195,AnciennePeriodiciteEP*12)&lt;DateVigueur),EDATE($N195,AnciennePeriodiciteEP*12),EDATE($N195,PeriodiciteEPP*12))))</f>
        <v/>
      </c>
      <c r="Q195" s="40"/>
      <c r="R195" s="45" t="str">
        <f aca="false">IF(OR($P195="",AND($I195&lt;&gt;"",$I195&lt;=DateRef)),"",$P195-DateRef)</f>
        <v/>
      </c>
      <c r="S195" s="42" t="str">
        <f aca="false">IF($B195="","",IF(AND($I195&lt;&gt;"",$I195&lt;=DateRef),"Sorti",IF($H195="","À compléter",IF(AND($Q195&lt;&gt;"",$Q195&gt;=DateRef,$Q195&lt;=$P195),"Planifié",IF($R195&lt;0,"En retard",IF($R195&lt;=SeuilAlerteEPP,"À planifier","À jour"))))))</f>
        <v/>
      </c>
      <c r="T195" s="46" t="str">
        <f aca="false">IF(OR($B195="",$S195="Sorti"),"",MID(IF($H195=""," | Date d'embauche manquante","")&amp;IF(AND($K195="Plus d'un an",$N195="")," | Précédent entretien à renseigner (ancienneté &gt; 1 an)","")&amp;IF($O195="Retard antérieur à la réforme"," | Ancien délai de 2 ans expiré avant la réforme","")&amp;IF(AND($N195&lt;&gt;"",$H195&lt;&gt;"",$N195&lt;$H195)," | Entretien antérieur à l'embauche ?","")&amp;IF(AND($N195&lt;&gt;"",$N195&gt;DateRef)," | Entretien daté dans le futur ?","")&amp;IF(AND($Q195&lt;&gt;"",$P195&lt;&gt;"",$Q195&gt;$P195)," | Date prévue après l'échéance","")&amp;IF(AND($Q195&lt;&gt;"",$Q195&lt;DateRef,OR($N195="",$N195&lt;$Q195))," | Entretien prévu passé : le consigner au Journal","")&amp;IF(AND($G195&lt;&gt;"",$X195="",YEAR(DateRef)-YEAR($G195)&gt;=AgeMiCarriere-1,YEAR(DateRef)-YEAR($G195)&lt;=AgeMiCarriere+1)," | Visite de mi-carrière à vérifier",""),4,1000))</f>
        <v/>
      </c>
      <c r="U195" s="39"/>
      <c r="V195" s="40"/>
      <c r="W195" s="42" t="str">
        <f aca="false">IF(OR($B195="",$V195=""),"",IF(AND($I195&lt;&gt;"",$I195&lt;=DateRef),"",IF(AND($N195&lt;&gt;"",$N195&gt;=$V195),"Réalisé",IF(AND($N195&lt;&gt;"",$N195&gt;=EDATE($V195,-FenetreRetour)),"Dispensé (EPP récent)",IF($V195&gt;DateRef,"À prévoir à la reprise","À proposer (reprise passée)")))))</f>
        <v/>
      </c>
      <c r="X195" s="40"/>
      <c r="Y195" s="43" t="str">
        <f aca="false">IF(OR($B195="",$X195=""),"",EDATE($X195,DelaiMiCarriere))</f>
        <v/>
      </c>
      <c r="Z195" s="42" t="str">
        <f aca="false">IF(OR($B195="",$X195=""),"",IF(AND($I195&lt;&gt;"",$I195&lt;=DateRef),"",IF(AND($N195&lt;&gt;"",$N195&gt;=$X195),"Réalisé",IF($Y195&lt;DateRef,"En retard","À planifier"))))</f>
        <v/>
      </c>
      <c r="AA195" s="47" t="str">
        <f aca="false">IF(OR($B195="",$G195=""),"",IF($G195&gt;DateRef,"",DATEDIF($G195,DateRef,"y")))</f>
        <v/>
      </c>
      <c r="AB195" s="43" t="str">
        <f aca="false">IF(OR($B195="",$G195=""),"",EDATE($G195,AgeFinCarriere*12))</f>
        <v/>
      </c>
      <c r="AC195" s="42" t="str">
        <f aca="false">IF(OR($B195="",$G195="",$H195=""),"",IF(AND($I195&lt;&gt;"",$I195&lt;=DateRef),"",IF($AB195&lt;DateVigueur,"Non concerné",IF(AND($N195&lt;&gt;"",$N195&gt;=MAX(EDATE($AB195,-FenetreFinCarriere*12),DateVigueur),$N195&lt;=$AB195),"Réalisé",IF(DateRef&gt;$AB195,"Non réalisé",IF(AND($Q195&lt;&gt;"",$Q195&gt;=EDATE($AB195,-FenetreFinCarriere*12),$Q195&lt;=$AB195),"Planifié dans la fenêtre",IF(AND(MAX($P195,DateRef)&gt;=EDATE($AB195,-FenetreFinCarriere*12),MAX($P195,DateRef)&lt;=$AB195),"Prochain EPP dans la fenêtre",IF(MAX($P195,DateRef)&gt;$AB195,"À programmer avant 60 ans",""))))))))</f>
        <v/>
      </c>
      <c r="AD195" s="40"/>
      <c r="AE195" s="43" t="str">
        <f aca="false">IF(OR($B195="",$H195="",AND($I195&lt;&gt;"",$I195&lt;=DateRef)),"",MAX($H195,$AD195,IF($A195="",0,SUMPRODUCT(MAX((Journal!$A$6:$A$1005=$A195)*((Journal!$D$6:$D$1005=TypeEDL)+(Journal!$D$6:$D$1005=TypeBilan6))*Journal!$C$6:$C$1005)))))</f>
        <v/>
      </c>
      <c r="AF195" s="43" t="str">
        <f aca="false">IF($AE195="","",IF(AND(ReglesTransitoires="Oui",EDATE($AE195,AnciennePeriodiciteEDL*12)&lt;DateVigueur),EDATE($AE195,AnciennePeriodiciteEDL*12),EDATE($AE195,PeriodiciteEDL*12)))</f>
        <v/>
      </c>
      <c r="AG195" s="42" t="str">
        <f aca="false">IF($AF195="","",IF(AND($I195&lt;&gt;"",$I195&lt;=DateRef),"",IF($AF195&lt;DateRef,"En retard",IF($AF195-DateRef&lt;=SeuilAlerteEDL,"À prévoir","À jour"))))</f>
        <v/>
      </c>
      <c r="AH195" s="39"/>
      <c r="AI195" s="39"/>
      <c r="AJ195" s="42" t="str">
        <f aca="false">IF(OR($B195="",$H195=""),"",IF(AND($I195&lt;&gt;"",$I195&lt;=DateRef),"",IF(Effectif&lt;SeuilEffectif,"Non concerné (&lt; "&amp;SeuilEffectif&amp;" salariés)",IF($AH195="Oui","Pas de risque",IF(AND(OR($AI195="Non",$S195="En retard"),$AH195="Non"),"Risque abondement",IF(OR($AI195="Non",$S195="En retard"),"À vérifier (formation ?)",IF($AI195="Oui","Pas de risque","À compléter")))))))</f>
        <v/>
      </c>
      <c r="AK195" s="39"/>
    </row>
    <row r="196" customFormat="false" ht="15" hidden="false" customHeight="false" outlineLevel="0" collapsed="false">
      <c r="A196" s="39"/>
      <c r="B196" s="39"/>
      <c r="C196" s="39"/>
      <c r="D196" s="39"/>
      <c r="E196" s="39"/>
      <c r="F196" s="39"/>
      <c r="G196" s="40"/>
      <c r="H196" s="40"/>
      <c r="I196" s="40"/>
      <c r="J196" s="41" t="str">
        <f aca="false">IF(OR($B196="",$H196=""),"",IF($H196&gt;DateRef,0,YEARFRAC($H196,DateRef,1)))</f>
        <v/>
      </c>
      <c r="K196" s="42" t="str">
        <f aca="false">IF(OR($B196="",$H196=""),"",IF(EDATE($H196,12)&lt;=DateRef,"Plus d'un an","Moins d'un an"))</f>
        <v/>
      </c>
      <c r="L196" s="40"/>
      <c r="M196" s="43" t="str">
        <f aca="false">IF(OR($B196="",$A196=""),"",IF(SUMPRODUCT(MAX((Journal!$A$6:$A$1005=$A196)*Journal!$C$6:$C$1005))=0,"",SUMPRODUCT(MAX((Journal!$A$6:$A$1005=$A196)*Journal!$C$6:$C$1005))))</f>
        <v/>
      </c>
      <c r="N196" s="43" t="str">
        <f aca="false">IF($B196="","",IF(MAX($L196,$M196)=0,"",MAX($L196,$M196)))</f>
        <v/>
      </c>
      <c r="O196" s="44" t="str">
        <f aca="false">IF(OR($B196="",$H196=""),"",IF($N196="",IF(EDATE($H196,DelaiPremierEPP)&gt;DateRef,"1er EPP (1re année)","Aucun entretien renseigné"),IF(AND(ReglesTransitoires="Oui",EDATE($N196,AnciennePeriodiciteEP*12)&lt;DateVigueur),"Retard antérieur à la réforme","Périodicité "&amp;PeriodiciteEPP&amp;" ans")))</f>
        <v/>
      </c>
      <c r="P196" s="43" t="str">
        <f aca="false">IF(OR($B196="",$H196=""),"",IF($N196="",EDATE($H196,DelaiPremierEPP),IF(AND(ReglesTransitoires="Oui",EDATE($N196,AnciennePeriodiciteEP*12)&lt;DateVigueur),EDATE($N196,AnciennePeriodiciteEP*12),EDATE($N196,PeriodiciteEPP*12))))</f>
        <v/>
      </c>
      <c r="Q196" s="40"/>
      <c r="R196" s="45" t="str">
        <f aca="false">IF(OR($P196="",AND($I196&lt;&gt;"",$I196&lt;=DateRef)),"",$P196-DateRef)</f>
        <v/>
      </c>
      <c r="S196" s="42" t="str">
        <f aca="false">IF($B196="","",IF(AND($I196&lt;&gt;"",$I196&lt;=DateRef),"Sorti",IF($H196="","À compléter",IF(AND($Q196&lt;&gt;"",$Q196&gt;=DateRef,$Q196&lt;=$P196),"Planifié",IF($R196&lt;0,"En retard",IF($R196&lt;=SeuilAlerteEPP,"À planifier","À jour"))))))</f>
        <v/>
      </c>
      <c r="T196" s="46" t="str">
        <f aca="false">IF(OR($B196="",$S196="Sorti"),"",MID(IF($H196=""," | Date d'embauche manquante","")&amp;IF(AND($K196="Plus d'un an",$N196="")," | Précédent entretien à renseigner (ancienneté &gt; 1 an)","")&amp;IF($O196="Retard antérieur à la réforme"," | Ancien délai de 2 ans expiré avant la réforme","")&amp;IF(AND($N196&lt;&gt;"",$H196&lt;&gt;"",$N196&lt;$H196)," | Entretien antérieur à l'embauche ?","")&amp;IF(AND($N196&lt;&gt;"",$N196&gt;DateRef)," | Entretien daté dans le futur ?","")&amp;IF(AND($Q196&lt;&gt;"",$P196&lt;&gt;"",$Q196&gt;$P196)," | Date prévue après l'échéance","")&amp;IF(AND($Q196&lt;&gt;"",$Q196&lt;DateRef,OR($N196="",$N196&lt;$Q196))," | Entretien prévu passé : le consigner au Journal","")&amp;IF(AND($G196&lt;&gt;"",$X196="",YEAR(DateRef)-YEAR($G196)&gt;=AgeMiCarriere-1,YEAR(DateRef)-YEAR($G196)&lt;=AgeMiCarriere+1)," | Visite de mi-carrière à vérifier",""),4,1000))</f>
        <v/>
      </c>
      <c r="U196" s="39"/>
      <c r="V196" s="40"/>
      <c r="W196" s="42" t="str">
        <f aca="false">IF(OR($B196="",$V196=""),"",IF(AND($I196&lt;&gt;"",$I196&lt;=DateRef),"",IF(AND($N196&lt;&gt;"",$N196&gt;=$V196),"Réalisé",IF(AND($N196&lt;&gt;"",$N196&gt;=EDATE($V196,-FenetreRetour)),"Dispensé (EPP récent)",IF($V196&gt;DateRef,"À prévoir à la reprise","À proposer (reprise passée)")))))</f>
        <v/>
      </c>
      <c r="X196" s="40"/>
      <c r="Y196" s="43" t="str">
        <f aca="false">IF(OR($B196="",$X196=""),"",EDATE($X196,DelaiMiCarriere))</f>
        <v/>
      </c>
      <c r="Z196" s="42" t="str">
        <f aca="false">IF(OR($B196="",$X196=""),"",IF(AND($I196&lt;&gt;"",$I196&lt;=DateRef),"",IF(AND($N196&lt;&gt;"",$N196&gt;=$X196),"Réalisé",IF($Y196&lt;DateRef,"En retard","À planifier"))))</f>
        <v/>
      </c>
      <c r="AA196" s="47" t="str">
        <f aca="false">IF(OR($B196="",$G196=""),"",IF($G196&gt;DateRef,"",DATEDIF($G196,DateRef,"y")))</f>
        <v/>
      </c>
      <c r="AB196" s="43" t="str">
        <f aca="false">IF(OR($B196="",$G196=""),"",EDATE($G196,AgeFinCarriere*12))</f>
        <v/>
      </c>
      <c r="AC196" s="42" t="str">
        <f aca="false">IF(OR($B196="",$G196="",$H196=""),"",IF(AND($I196&lt;&gt;"",$I196&lt;=DateRef),"",IF($AB196&lt;DateVigueur,"Non concerné",IF(AND($N196&lt;&gt;"",$N196&gt;=MAX(EDATE($AB196,-FenetreFinCarriere*12),DateVigueur),$N196&lt;=$AB196),"Réalisé",IF(DateRef&gt;$AB196,"Non réalisé",IF(AND($Q196&lt;&gt;"",$Q196&gt;=EDATE($AB196,-FenetreFinCarriere*12),$Q196&lt;=$AB196),"Planifié dans la fenêtre",IF(AND(MAX($P196,DateRef)&gt;=EDATE($AB196,-FenetreFinCarriere*12),MAX($P196,DateRef)&lt;=$AB196),"Prochain EPP dans la fenêtre",IF(MAX($P196,DateRef)&gt;$AB196,"À programmer avant 60 ans",""))))))))</f>
        <v/>
      </c>
      <c r="AD196" s="40"/>
      <c r="AE196" s="43" t="str">
        <f aca="false">IF(OR($B196="",$H196="",AND($I196&lt;&gt;"",$I196&lt;=DateRef)),"",MAX($H196,$AD196,IF($A196="",0,SUMPRODUCT(MAX((Journal!$A$6:$A$1005=$A196)*((Journal!$D$6:$D$1005=TypeEDL)+(Journal!$D$6:$D$1005=TypeBilan6))*Journal!$C$6:$C$1005)))))</f>
        <v/>
      </c>
      <c r="AF196" s="43" t="str">
        <f aca="false">IF($AE196="","",IF(AND(ReglesTransitoires="Oui",EDATE($AE196,AnciennePeriodiciteEDL*12)&lt;DateVigueur),EDATE($AE196,AnciennePeriodiciteEDL*12),EDATE($AE196,PeriodiciteEDL*12)))</f>
        <v/>
      </c>
      <c r="AG196" s="42" t="str">
        <f aca="false">IF($AF196="","",IF(AND($I196&lt;&gt;"",$I196&lt;=DateRef),"",IF($AF196&lt;DateRef,"En retard",IF($AF196-DateRef&lt;=SeuilAlerteEDL,"À prévoir","À jour"))))</f>
        <v/>
      </c>
      <c r="AH196" s="39"/>
      <c r="AI196" s="39"/>
      <c r="AJ196" s="42" t="str">
        <f aca="false">IF(OR($B196="",$H196=""),"",IF(AND($I196&lt;&gt;"",$I196&lt;=DateRef),"",IF(Effectif&lt;SeuilEffectif,"Non concerné (&lt; "&amp;SeuilEffectif&amp;" salariés)",IF($AH196="Oui","Pas de risque",IF(AND(OR($AI196="Non",$S196="En retard"),$AH196="Non"),"Risque abondement",IF(OR($AI196="Non",$S196="En retard"),"À vérifier (formation ?)",IF($AI196="Oui","Pas de risque","À compléter")))))))</f>
        <v/>
      </c>
      <c r="AK196" s="39"/>
    </row>
    <row r="197" customFormat="false" ht="15" hidden="false" customHeight="false" outlineLevel="0" collapsed="false">
      <c r="A197" s="39"/>
      <c r="B197" s="39"/>
      <c r="C197" s="39"/>
      <c r="D197" s="39"/>
      <c r="E197" s="39"/>
      <c r="F197" s="39"/>
      <c r="G197" s="40"/>
      <c r="H197" s="40"/>
      <c r="I197" s="40"/>
      <c r="J197" s="41" t="str">
        <f aca="false">IF(OR($B197="",$H197=""),"",IF($H197&gt;DateRef,0,YEARFRAC($H197,DateRef,1)))</f>
        <v/>
      </c>
      <c r="K197" s="42" t="str">
        <f aca="false">IF(OR($B197="",$H197=""),"",IF(EDATE($H197,12)&lt;=DateRef,"Plus d'un an","Moins d'un an"))</f>
        <v/>
      </c>
      <c r="L197" s="40"/>
      <c r="M197" s="43" t="str">
        <f aca="false">IF(OR($B197="",$A197=""),"",IF(SUMPRODUCT(MAX((Journal!$A$6:$A$1005=$A197)*Journal!$C$6:$C$1005))=0,"",SUMPRODUCT(MAX((Journal!$A$6:$A$1005=$A197)*Journal!$C$6:$C$1005))))</f>
        <v/>
      </c>
      <c r="N197" s="43" t="str">
        <f aca="false">IF($B197="","",IF(MAX($L197,$M197)=0,"",MAX($L197,$M197)))</f>
        <v/>
      </c>
      <c r="O197" s="44" t="str">
        <f aca="false">IF(OR($B197="",$H197=""),"",IF($N197="",IF(EDATE($H197,DelaiPremierEPP)&gt;DateRef,"1er EPP (1re année)","Aucun entretien renseigné"),IF(AND(ReglesTransitoires="Oui",EDATE($N197,AnciennePeriodiciteEP*12)&lt;DateVigueur),"Retard antérieur à la réforme","Périodicité "&amp;PeriodiciteEPP&amp;" ans")))</f>
        <v/>
      </c>
      <c r="P197" s="43" t="str">
        <f aca="false">IF(OR($B197="",$H197=""),"",IF($N197="",EDATE($H197,DelaiPremierEPP),IF(AND(ReglesTransitoires="Oui",EDATE($N197,AnciennePeriodiciteEP*12)&lt;DateVigueur),EDATE($N197,AnciennePeriodiciteEP*12),EDATE($N197,PeriodiciteEPP*12))))</f>
        <v/>
      </c>
      <c r="Q197" s="40"/>
      <c r="R197" s="45" t="str">
        <f aca="false">IF(OR($P197="",AND($I197&lt;&gt;"",$I197&lt;=DateRef)),"",$P197-DateRef)</f>
        <v/>
      </c>
      <c r="S197" s="42" t="str">
        <f aca="false">IF($B197="","",IF(AND($I197&lt;&gt;"",$I197&lt;=DateRef),"Sorti",IF($H197="","À compléter",IF(AND($Q197&lt;&gt;"",$Q197&gt;=DateRef,$Q197&lt;=$P197),"Planifié",IF($R197&lt;0,"En retard",IF($R197&lt;=SeuilAlerteEPP,"À planifier","À jour"))))))</f>
        <v/>
      </c>
      <c r="T197" s="46" t="str">
        <f aca="false">IF(OR($B197="",$S197="Sorti"),"",MID(IF($H197=""," | Date d'embauche manquante","")&amp;IF(AND($K197="Plus d'un an",$N197="")," | Précédent entretien à renseigner (ancienneté &gt; 1 an)","")&amp;IF($O197="Retard antérieur à la réforme"," | Ancien délai de 2 ans expiré avant la réforme","")&amp;IF(AND($N197&lt;&gt;"",$H197&lt;&gt;"",$N197&lt;$H197)," | Entretien antérieur à l'embauche ?","")&amp;IF(AND($N197&lt;&gt;"",$N197&gt;DateRef)," | Entretien daté dans le futur ?","")&amp;IF(AND($Q197&lt;&gt;"",$P197&lt;&gt;"",$Q197&gt;$P197)," | Date prévue après l'échéance","")&amp;IF(AND($Q197&lt;&gt;"",$Q197&lt;DateRef,OR($N197="",$N197&lt;$Q197))," | Entretien prévu passé : le consigner au Journal","")&amp;IF(AND($G197&lt;&gt;"",$X197="",YEAR(DateRef)-YEAR($G197)&gt;=AgeMiCarriere-1,YEAR(DateRef)-YEAR($G197)&lt;=AgeMiCarriere+1)," | Visite de mi-carrière à vérifier",""),4,1000))</f>
        <v/>
      </c>
      <c r="U197" s="39"/>
      <c r="V197" s="40"/>
      <c r="W197" s="42" t="str">
        <f aca="false">IF(OR($B197="",$V197=""),"",IF(AND($I197&lt;&gt;"",$I197&lt;=DateRef),"",IF(AND($N197&lt;&gt;"",$N197&gt;=$V197),"Réalisé",IF(AND($N197&lt;&gt;"",$N197&gt;=EDATE($V197,-FenetreRetour)),"Dispensé (EPP récent)",IF($V197&gt;DateRef,"À prévoir à la reprise","À proposer (reprise passée)")))))</f>
        <v/>
      </c>
      <c r="X197" s="40"/>
      <c r="Y197" s="43" t="str">
        <f aca="false">IF(OR($B197="",$X197=""),"",EDATE($X197,DelaiMiCarriere))</f>
        <v/>
      </c>
      <c r="Z197" s="42" t="str">
        <f aca="false">IF(OR($B197="",$X197=""),"",IF(AND($I197&lt;&gt;"",$I197&lt;=DateRef),"",IF(AND($N197&lt;&gt;"",$N197&gt;=$X197),"Réalisé",IF($Y197&lt;DateRef,"En retard","À planifier"))))</f>
        <v/>
      </c>
      <c r="AA197" s="47" t="str">
        <f aca="false">IF(OR($B197="",$G197=""),"",IF($G197&gt;DateRef,"",DATEDIF($G197,DateRef,"y")))</f>
        <v/>
      </c>
      <c r="AB197" s="43" t="str">
        <f aca="false">IF(OR($B197="",$G197=""),"",EDATE($G197,AgeFinCarriere*12))</f>
        <v/>
      </c>
      <c r="AC197" s="42" t="str">
        <f aca="false">IF(OR($B197="",$G197="",$H197=""),"",IF(AND($I197&lt;&gt;"",$I197&lt;=DateRef),"",IF($AB197&lt;DateVigueur,"Non concerné",IF(AND($N197&lt;&gt;"",$N197&gt;=MAX(EDATE($AB197,-FenetreFinCarriere*12),DateVigueur),$N197&lt;=$AB197),"Réalisé",IF(DateRef&gt;$AB197,"Non réalisé",IF(AND($Q197&lt;&gt;"",$Q197&gt;=EDATE($AB197,-FenetreFinCarriere*12),$Q197&lt;=$AB197),"Planifié dans la fenêtre",IF(AND(MAX($P197,DateRef)&gt;=EDATE($AB197,-FenetreFinCarriere*12),MAX($P197,DateRef)&lt;=$AB197),"Prochain EPP dans la fenêtre",IF(MAX($P197,DateRef)&gt;$AB197,"À programmer avant 60 ans",""))))))))</f>
        <v/>
      </c>
      <c r="AD197" s="40"/>
      <c r="AE197" s="43" t="str">
        <f aca="false">IF(OR($B197="",$H197="",AND($I197&lt;&gt;"",$I197&lt;=DateRef)),"",MAX($H197,$AD197,IF($A197="",0,SUMPRODUCT(MAX((Journal!$A$6:$A$1005=$A197)*((Journal!$D$6:$D$1005=TypeEDL)+(Journal!$D$6:$D$1005=TypeBilan6))*Journal!$C$6:$C$1005)))))</f>
        <v/>
      </c>
      <c r="AF197" s="43" t="str">
        <f aca="false">IF($AE197="","",IF(AND(ReglesTransitoires="Oui",EDATE($AE197,AnciennePeriodiciteEDL*12)&lt;DateVigueur),EDATE($AE197,AnciennePeriodiciteEDL*12),EDATE($AE197,PeriodiciteEDL*12)))</f>
        <v/>
      </c>
      <c r="AG197" s="42" t="str">
        <f aca="false">IF($AF197="","",IF(AND($I197&lt;&gt;"",$I197&lt;=DateRef),"",IF($AF197&lt;DateRef,"En retard",IF($AF197-DateRef&lt;=SeuilAlerteEDL,"À prévoir","À jour"))))</f>
        <v/>
      </c>
      <c r="AH197" s="39"/>
      <c r="AI197" s="39"/>
      <c r="AJ197" s="42" t="str">
        <f aca="false">IF(OR($B197="",$H197=""),"",IF(AND($I197&lt;&gt;"",$I197&lt;=DateRef),"",IF(Effectif&lt;SeuilEffectif,"Non concerné (&lt; "&amp;SeuilEffectif&amp;" salariés)",IF($AH197="Oui","Pas de risque",IF(AND(OR($AI197="Non",$S197="En retard"),$AH197="Non"),"Risque abondement",IF(OR($AI197="Non",$S197="En retard"),"À vérifier (formation ?)",IF($AI197="Oui","Pas de risque","À compléter")))))))</f>
        <v/>
      </c>
      <c r="AK197" s="39"/>
    </row>
    <row r="198" customFormat="false" ht="15" hidden="false" customHeight="false" outlineLevel="0" collapsed="false">
      <c r="A198" s="39"/>
      <c r="B198" s="39"/>
      <c r="C198" s="39"/>
      <c r="D198" s="39"/>
      <c r="E198" s="39"/>
      <c r="F198" s="39"/>
      <c r="G198" s="40"/>
      <c r="H198" s="40"/>
      <c r="I198" s="40"/>
      <c r="J198" s="41" t="str">
        <f aca="false">IF(OR($B198="",$H198=""),"",IF($H198&gt;DateRef,0,YEARFRAC($H198,DateRef,1)))</f>
        <v/>
      </c>
      <c r="K198" s="42" t="str">
        <f aca="false">IF(OR($B198="",$H198=""),"",IF(EDATE($H198,12)&lt;=DateRef,"Plus d'un an","Moins d'un an"))</f>
        <v/>
      </c>
      <c r="L198" s="40"/>
      <c r="M198" s="43" t="str">
        <f aca="false">IF(OR($B198="",$A198=""),"",IF(SUMPRODUCT(MAX((Journal!$A$6:$A$1005=$A198)*Journal!$C$6:$C$1005))=0,"",SUMPRODUCT(MAX((Journal!$A$6:$A$1005=$A198)*Journal!$C$6:$C$1005))))</f>
        <v/>
      </c>
      <c r="N198" s="43" t="str">
        <f aca="false">IF($B198="","",IF(MAX($L198,$M198)=0,"",MAX($L198,$M198)))</f>
        <v/>
      </c>
      <c r="O198" s="44" t="str">
        <f aca="false">IF(OR($B198="",$H198=""),"",IF($N198="",IF(EDATE($H198,DelaiPremierEPP)&gt;DateRef,"1er EPP (1re année)","Aucun entretien renseigné"),IF(AND(ReglesTransitoires="Oui",EDATE($N198,AnciennePeriodiciteEP*12)&lt;DateVigueur),"Retard antérieur à la réforme","Périodicité "&amp;PeriodiciteEPP&amp;" ans")))</f>
        <v/>
      </c>
      <c r="P198" s="43" t="str">
        <f aca="false">IF(OR($B198="",$H198=""),"",IF($N198="",EDATE($H198,DelaiPremierEPP),IF(AND(ReglesTransitoires="Oui",EDATE($N198,AnciennePeriodiciteEP*12)&lt;DateVigueur),EDATE($N198,AnciennePeriodiciteEP*12),EDATE($N198,PeriodiciteEPP*12))))</f>
        <v/>
      </c>
      <c r="Q198" s="40"/>
      <c r="R198" s="45" t="str">
        <f aca="false">IF(OR($P198="",AND($I198&lt;&gt;"",$I198&lt;=DateRef)),"",$P198-DateRef)</f>
        <v/>
      </c>
      <c r="S198" s="42" t="str">
        <f aca="false">IF($B198="","",IF(AND($I198&lt;&gt;"",$I198&lt;=DateRef),"Sorti",IF($H198="","À compléter",IF(AND($Q198&lt;&gt;"",$Q198&gt;=DateRef,$Q198&lt;=$P198),"Planifié",IF($R198&lt;0,"En retard",IF($R198&lt;=SeuilAlerteEPP,"À planifier","À jour"))))))</f>
        <v/>
      </c>
      <c r="T198" s="46" t="str">
        <f aca="false">IF(OR($B198="",$S198="Sorti"),"",MID(IF($H198=""," | Date d'embauche manquante","")&amp;IF(AND($K198="Plus d'un an",$N198="")," | Précédent entretien à renseigner (ancienneté &gt; 1 an)","")&amp;IF($O198="Retard antérieur à la réforme"," | Ancien délai de 2 ans expiré avant la réforme","")&amp;IF(AND($N198&lt;&gt;"",$H198&lt;&gt;"",$N198&lt;$H198)," | Entretien antérieur à l'embauche ?","")&amp;IF(AND($N198&lt;&gt;"",$N198&gt;DateRef)," | Entretien daté dans le futur ?","")&amp;IF(AND($Q198&lt;&gt;"",$P198&lt;&gt;"",$Q198&gt;$P198)," | Date prévue après l'échéance","")&amp;IF(AND($Q198&lt;&gt;"",$Q198&lt;DateRef,OR($N198="",$N198&lt;$Q198))," | Entretien prévu passé : le consigner au Journal","")&amp;IF(AND($G198&lt;&gt;"",$X198="",YEAR(DateRef)-YEAR($G198)&gt;=AgeMiCarriere-1,YEAR(DateRef)-YEAR($G198)&lt;=AgeMiCarriere+1)," | Visite de mi-carrière à vérifier",""),4,1000))</f>
        <v/>
      </c>
      <c r="U198" s="39"/>
      <c r="V198" s="40"/>
      <c r="W198" s="42" t="str">
        <f aca="false">IF(OR($B198="",$V198=""),"",IF(AND($I198&lt;&gt;"",$I198&lt;=DateRef),"",IF(AND($N198&lt;&gt;"",$N198&gt;=$V198),"Réalisé",IF(AND($N198&lt;&gt;"",$N198&gt;=EDATE($V198,-FenetreRetour)),"Dispensé (EPP récent)",IF($V198&gt;DateRef,"À prévoir à la reprise","À proposer (reprise passée)")))))</f>
        <v/>
      </c>
      <c r="X198" s="40"/>
      <c r="Y198" s="43" t="str">
        <f aca="false">IF(OR($B198="",$X198=""),"",EDATE($X198,DelaiMiCarriere))</f>
        <v/>
      </c>
      <c r="Z198" s="42" t="str">
        <f aca="false">IF(OR($B198="",$X198=""),"",IF(AND($I198&lt;&gt;"",$I198&lt;=DateRef),"",IF(AND($N198&lt;&gt;"",$N198&gt;=$X198),"Réalisé",IF($Y198&lt;DateRef,"En retard","À planifier"))))</f>
        <v/>
      </c>
      <c r="AA198" s="47" t="str">
        <f aca="false">IF(OR($B198="",$G198=""),"",IF($G198&gt;DateRef,"",DATEDIF($G198,DateRef,"y")))</f>
        <v/>
      </c>
      <c r="AB198" s="43" t="str">
        <f aca="false">IF(OR($B198="",$G198=""),"",EDATE($G198,AgeFinCarriere*12))</f>
        <v/>
      </c>
      <c r="AC198" s="42" t="str">
        <f aca="false">IF(OR($B198="",$G198="",$H198=""),"",IF(AND($I198&lt;&gt;"",$I198&lt;=DateRef),"",IF($AB198&lt;DateVigueur,"Non concerné",IF(AND($N198&lt;&gt;"",$N198&gt;=MAX(EDATE($AB198,-FenetreFinCarriere*12),DateVigueur),$N198&lt;=$AB198),"Réalisé",IF(DateRef&gt;$AB198,"Non réalisé",IF(AND($Q198&lt;&gt;"",$Q198&gt;=EDATE($AB198,-FenetreFinCarriere*12),$Q198&lt;=$AB198),"Planifié dans la fenêtre",IF(AND(MAX($P198,DateRef)&gt;=EDATE($AB198,-FenetreFinCarriere*12),MAX($P198,DateRef)&lt;=$AB198),"Prochain EPP dans la fenêtre",IF(MAX($P198,DateRef)&gt;$AB198,"À programmer avant 60 ans",""))))))))</f>
        <v/>
      </c>
      <c r="AD198" s="40"/>
      <c r="AE198" s="43" t="str">
        <f aca="false">IF(OR($B198="",$H198="",AND($I198&lt;&gt;"",$I198&lt;=DateRef)),"",MAX($H198,$AD198,IF($A198="",0,SUMPRODUCT(MAX((Journal!$A$6:$A$1005=$A198)*((Journal!$D$6:$D$1005=TypeEDL)+(Journal!$D$6:$D$1005=TypeBilan6))*Journal!$C$6:$C$1005)))))</f>
        <v/>
      </c>
      <c r="AF198" s="43" t="str">
        <f aca="false">IF($AE198="","",IF(AND(ReglesTransitoires="Oui",EDATE($AE198,AnciennePeriodiciteEDL*12)&lt;DateVigueur),EDATE($AE198,AnciennePeriodiciteEDL*12),EDATE($AE198,PeriodiciteEDL*12)))</f>
        <v/>
      </c>
      <c r="AG198" s="42" t="str">
        <f aca="false">IF($AF198="","",IF(AND($I198&lt;&gt;"",$I198&lt;=DateRef),"",IF($AF198&lt;DateRef,"En retard",IF($AF198-DateRef&lt;=SeuilAlerteEDL,"À prévoir","À jour"))))</f>
        <v/>
      </c>
      <c r="AH198" s="39"/>
      <c r="AI198" s="39"/>
      <c r="AJ198" s="42" t="str">
        <f aca="false">IF(OR($B198="",$H198=""),"",IF(AND($I198&lt;&gt;"",$I198&lt;=DateRef),"",IF(Effectif&lt;SeuilEffectif,"Non concerné (&lt; "&amp;SeuilEffectif&amp;" salariés)",IF($AH198="Oui","Pas de risque",IF(AND(OR($AI198="Non",$S198="En retard"),$AH198="Non"),"Risque abondement",IF(OR($AI198="Non",$S198="En retard"),"À vérifier (formation ?)",IF($AI198="Oui","Pas de risque","À compléter")))))))</f>
        <v/>
      </c>
      <c r="AK198" s="39"/>
    </row>
    <row r="199" customFormat="false" ht="15" hidden="false" customHeight="false" outlineLevel="0" collapsed="false">
      <c r="A199" s="39"/>
      <c r="B199" s="39"/>
      <c r="C199" s="39"/>
      <c r="D199" s="39"/>
      <c r="E199" s="39"/>
      <c r="F199" s="39"/>
      <c r="G199" s="40"/>
      <c r="H199" s="40"/>
      <c r="I199" s="40"/>
      <c r="J199" s="41" t="str">
        <f aca="false">IF(OR($B199="",$H199=""),"",IF($H199&gt;DateRef,0,YEARFRAC($H199,DateRef,1)))</f>
        <v/>
      </c>
      <c r="K199" s="42" t="str">
        <f aca="false">IF(OR($B199="",$H199=""),"",IF(EDATE($H199,12)&lt;=DateRef,"Plus d'un an","Moins d'un an"))</f>
        <v/>
      </c>
      <c r="L199" s="40"/>
      <c r="M199" s="43" t="str">
        <f aca="false">IF(OR($B199="",$A199=""),"",IF(SUMPRODUCT(MAX((Journal!$A$6:$A$1005=$A199)*Journal!$C$6:$C$1005))=0,"",SUMPRODUCT(MAX((Journal!$A$6:$A$1005=$A199)*Journal!$C$6:$C$1005))))</f>
        <v/>
      </c>
      <c r="N199" s="43" t="str">
        <f aca="false">IF($B199="","",IF(MAX($L199,$M199)=0,"",MAX($L199,$M199)))</f>
        <v/>
      </c>
      <c r="O199" s="44" t="str">
        <f aca="false">IF(OR($B199="",$H199=""),"",IF($N199="",IF(EDATE($H199,DelaiPremierEPP)&gt;DateRef,"1er EPP (1re année)","Aucun entretien renseigné"),IF(AND(ReglesTransitoires="Oui",EDATE($N199,AnciennePeriodiciteEP*12)&lt;DateVigueur),"Retard antérieur à la réforme","Périodicité "&amp;PeriodiciteEPP&amp;" ans")))</f>
        <v/>
      </c>
      <c r="P199" s="43" t="str">
        <f aca="false">IF(OR($B199="",$H199=""),"",IF($N199="",EDATE($H199,DelaiPremierEPP),IF(AND(ReglesTransitoires="Oui",EDATE($N199,AnciennePeriodiciteEP*12)&lt;DateVigueur),EDATE($N199,AnciennePeriodiciteEP*12),EDATE($N199,PeriodiciteEPP*12))))</f>
        <v/>
      </c>
      <c r="Q199" s="40"/>
      <c r="R199" s="45" t="str">
        <f aca="false">IF(OR($P199="",AND($I199&lt;&gt;"",$I199&lt;=DateRef)),"",$P199-DateRef)</f>
        <v/>
      </c>
      <c r="S199" s="42" t="str">
        <f aca="false">IF($B199="","",IF(AND($I199&lt;&gt;"",$I199&lt;=DateRef),"Sorti",IF($H199="","À compléter",IF(AND($Q199&lt;&gt;"",$Q199&gt;=DateRef,$Q199&lt;=$P199),"Planifié",IF($R199&lt;0,"En retard",IF($R199&lt;=SeuilAlerteEPP,"À planifier","À jour"))))))</f>
        <v/>
      </c>
      <c r="T199" s="46" t="str">
        <f aca="false">IF(OR($B199="",$S199="Sorti"),"",MID(IF($H199=""," | Date d'embauche manquante","")&amp;IF(AND($K199="Plus d'un an",$N199="")," | Précédent entretien à renseigner (ancienneté &gt; 1 an)","")&amp;IF($O199="Retard antérieur à la réforme"," | Ancien délai de 2 ans expiré avant la réforme","")&amp;IF(AND($N199&lt;&gt;"",$H199&lt;&gt;"",$N199&lt;$H199)," | Entretien antérieur à l'embauche ?","")&amp;IF(AND($N199&lt;&gt;"",$N199&gt;DateRef)," | Entretien daté dans le futur ?","")&amp;IF(AND($Q199&lt;&gt;"",$P199&lt;&gt;"",$Q199&gt;$P199)," | Date prévue après l'échéance","")&amp;IF(AND($Q199&lt;&gt;"",$Q199&lt;DateRef,OR($N199="",$N199&lt;$Q199))," | Entretien prévu passé : le consigner au Journal","")&amp;IF(AND($G199&lt;&gt;"",$X199="",YEAR(DateRef)-YEAR($G199)&gt;=AgeMiCarriere-1,YEAR(DateRef)-YEAR($G199)&lt;=AgeMiCarriere+1)," | Visite de mi-carrière à vérifier",""),4,1000))</f>
        <v/>
      </c>
      <c r="U199" s="39"/>
      <c r="V199" s="40"/>
      <c r="W199" s="42" t="str">
        <f aca="false">IF(OR($B199="",$V199=""),"",IF(AND($I199&lt;&gt;"",$I199&lt;=DateRef),"",IF(AND($N199&lt;&gt;"",$N199&gt;=$V199),"Réalisé",IF(AND($N199&lt;&gt;"",$N199&gt;=EDATE($V199,-FenetreRetour)),"Dispensé (EPP récent)",IF($V199&gt;DateRef,"À prévoir à la reprise","À proposer (reprise passée)")))))</f>
        <v/>
      </c>
      <c r="X199" s="40"/>
      <c r="Y199" s="43" t="str">
        <f aca="false">IF(OR($B199="",$X199=""),"",EDATE($X199,DelaiMiCarriere))</f>
        <v/>
      </c>
      <c r="Z199" s="42" t="str">
        <f aca="false">IF(OR($B199="",$X199=""),"",IF(AND($I199&lt;&gt;"",$I199&lt;=DateRef),"",IF(AND($N199&lt;&gt;"",$N199&gt;=$X199),"Réalisé",IF($Y199&lt;DateRef,"En retard","À planifier"))))</f>
        <v/>
      </c>
      <c r="AA199" s="47" t="str">
        <f aca="false">IF(OR($B199="",$G199=""),"",IF($G199&gt;DateRef,"",DATEDIF($G199,DateRef,"y")))</f>
        <v/>
      </c>
      <c r="AB199" s="43" t="str">
        <f aca="false">IF(OR($B199="",$G199=""),"",EDATE($G199,AgeFinCarriere*12))</f>
        <v/>
      </c>
      <c r="AC199" s="42" t="str">
        <f aca="false">IF(OR($B199="",$G199="",$H199=""),"",IF(AND($I199&lt;&gt;"",$I199&lt;=DateRef),"",IF($AB199&lt;DateVigueur,"Non concerné",IF(AND($N199&lt;&gt;"",$N199&gt;=MAX(EDATE($AB199,-FenetreFinCarriere*12),DateVigueur),$N199&lt;=$AB199),"Réalisé",IF(DateRef&gt;$AB199,"Non réalisé",IF(AND($Q199&lt;&gt;"",$Q199&gt;=EDATE($AB199,-FenetreFinCarriere*12),$Q199&lt;=$AB199),"Planifié dans la fenêtre",IF(AND(MAX($P199,DateRef)&gt;=EDATE($AB199,-FenetreFinCarriere*12),MAX($P199,DateRef)&lt;=$AB199),"Prochain EPP dans la fenêtre",IF(MAX($P199,DateRef)&gt;$AB199,"À programmer avant 60 ans",""))))))))</f>
        <v/>
      </c>
      <c r="AD199" s="40"/>
      <c r="AE199" s="43" t="str">
        <f aca="false">IF(OR($B199="",$H199="",AND($I199&lt;&gt;"",$I199&lt;=DateRef)),"",MAX($H199,$AD199,IF($A199="",0,SUMPRODUCT(MAX((Journal!$A$6:$A$1005=$A199)*((Journal!$D$6:$D$1005=TypeEDL)+(Journal!$D$6:$D$1005=TypeBilan6))*Journal!$C$6:$C$1005)))))</f>
        <v/>
      </c>
      <c r="AF199" s="43" t="str">
        <f aca="false">IF($AE199="","",IF(AND(ReglesTransitoires="Oui",EDATE($AE199,AnciennePeriodiciteEDL*12)&lt;DateVigueur),EDATE($AE199,AnciennePeriodiciteEDL*12),EDATE($AE199,PeriodiciteEDL*12)))</f>
        <v/>
      </c>
      <c r="AG199" s="42" t="str">
        <f aca="false">IF($AF199="","",IF(AND($I199&lt;&gt;"",$I199&lt;=DateRef),"",IF($AF199&lt;DateRef,"En retard",IF($AF199-DateRef&lt;=SeuilAlerteEDL,"À prévoir","À jour"))))</f>
        <v/>
      </c>
      <c r="AH199" s="39"/>
      <c r="AI199" s="39"/>
      <c r="AJ199" s="42" t="str">
        <f aca="false">IF(OR($B199="",$H199=""),"",IF(AND($I199&lt;&gt;"",$I199&lt;=DateRef),"",IF(Effectif&lt;SeuilEffectif,"Non concerné (&lt; "&amp;SeuilEffectif&amp;" salariés)",IF($AH199="Oui","Pas de risque",IF(AND(OR($AI199="Non",$S199="En retard"),$AH199="Non"),"Risque abondement",IF(OR($AI199="Non",$S199="En retard"),"À vérifier (formation ?)",IF($AI199="Oui","Pas de risque","À compléter")))))))</f>
        <v/>
      </c>
      <c r="AK199" s="39"/>
    </row>
    <row r="200" customFormat="false" ht="15" hidden="false" customHeight="false" outlineLevel="0" collapsed="false">
      <c r="A200" s="39"/>
      <c r="B200" s="39"/>
      <c r="C200" s="39"/>
      <c r="D200" s="39"/>
      <c r="E200" s="39"/>
      <c r="F200" s="39"/>
      <c r="G200" s="40"/>
      <c r="H200" s="40"/>
      <c r="I200" s="40"/>
      <c r="J200" s="41" t="str">
        <f aca="false">IF(OR($B200="",$H200=""),"",IF($H200&gt;DateRef,0,YEARFRAC($H200,DateRef,1)))</f>
        <v/>
      </c>
      <c r="K200" s="42" t="str">
        <f aca="false">IF(OR($B200="",$H200=""),"",IF(EDATE($H200,12)&lt;=DateRef,"Plus d'un an","Moins d'un an"))</f>
        <v/>
      </c>
      <c r="L200" s="40"/>
      <c r="M200" s="43" t="str">
        <f aca="false">IF(OR($B200="",$A200=""),"",IF(SUMPRODUCT(MAX((Journal!$A$6:$A$1005=$A200)*Journal!$C$6:$C$1005))=0,"",SUMPRODUCT(MAX((Journal!$A$6:$A$1005=$A200)*Journal!$C$6:$C$1005))))</f>
        <v/>
      </c>
      <c r="N200" s="43" t="str">
        <f aca="false">IF($B200="","",IF(MAX($L200,$M200)=0,"",MAX($L200,$M200)))</f>
        <v/>
      </c>
      <c r="O200" s="44" t="str">
        <f aca="false">IF(OR($B200="",$H200=""),"",IF($N200="",IF(EDATE($H200,DelaiPremierEPP)&gt;DateRef,"1er EPP (1re année)","Aucun entretien renseigné"),IF(AND(ReglesTransitoires="Oui",EDATE($N200,AnciennePeriodiciteEP*12)&lt;DateVigueur),"Retard antérieur à la réforme","Périodicité "&amp;PeriodiciteEPP&amp;" ans")))</f>
        <v/>
      </c>
      <c r="P200" s="43" t="str">
        <f aca="false">IF(OR($B200="",$H200=""),"",IF($N200="",EDATE($H200,DelaiPremierEPP),IF(AND(ReglesTransitoires="Oui",EDATE($N200,AnciennePeriodiciteEP*12)&lt;DateVigueur),EDATE($N200,AnciennePeriodiciteEP*12),EDATE($N200,PeriodiciteEPP*12))))</f>
        <v/>
      </c>
      <c r="Q200" s="40"/>
      <c r="R200" s="45" t="str">
        <f aca="false">IF(OR($P200="",AND($I200&lt;&gt;"",$I200&lt;=DateRef)),"",$P200-DateRef)</f>
        <v/>
      </c>
      <c r="S200" s="42" t="str">
        <f aca="false">IF($B200="","",IF(AND($I200&lt;&gt;"",$I200&lt;=DateRef),"Sorti",IF($H200="","À compléter",IF(AND($Q200&lt;&gt;"",$Q200&gt;=DateRef,$Q200&lt;=$P200),"Planifié",IF($R200&lt;0,"En retard",IF($R200&lt;=SeuilAlerteEPP,"À planifier","À jour"))))))</f>
        <v/>
      </c>
      <c r="T200" s="46" t="str">
        <f aca="false">IF(OR($B200="",$S200="Sorti"),"",MID(IF($H200=""," | Date d'embauche manquante","")&amp;IF(AND($K200="Plus d'un an",$N200="")," | Précédent entretien à renseigner (ancienneté &gt; 1 an)","")&amp;IF($O200="Retard antérieur à la réforme"," | Ancien délai de 2 ans expiré avant la réforme","")&amp;IF(AND($N200&lt;&gt;"",$H200&lt;&gt;"",$N200&lt;$H200)," | Entretien antérieur à l'embauche ?","")&amp;IF(AND($N200&lt;&gt;"",$N200&gt;DateRef)," | Entretien daté dans le futur ?","")&amp;IF(AND($Q200&lt;&gt;"",$P200&lt;&gt;"",$Q200&gt;$P200)," | Date prévue après l'échéance","")&amp;IF(AND($Q200&lt;&gt;"",$Q200&lt;DateRef,OR($N200="",$N200&lt;$Q200))," | Entretien prévu passé : le consigner au Journal","")&amp;IF(AND($G200&lt;&gt;"",$X200="",YEAR(DateRef)-YEAR($G200)&gt;=AgeMiCarriere-1,YEAR(DateRef)-YEAR($G200)&lt;=AgeMiCarriere+1)," | Visite de mi-carrière à vérifier",""),4,1000))</f>
        <v/>
      </c>
      <c r="U200" s="39"/>
      <c r="V200" s="40"/>
      <c r="W200" s="42" t="str">
        <f aca="false">IF(OR($B200="",$V200=""),"",IF(AND($I200&lt;&gt;"",$I200&lt;=DateRef),"",IF(AND($N200&lt;&gt;"",$N200&gt;=$V200),"Réalisé",IF(AND($N200&lt;&gt;"",$N200&gt;=EDATE($V200,-FenetreRetour)),"Dispensé (EPP récent)",IF($V200&gt;DateRef,"À prévoir à la reprise","À proposer (reprise passée)")))))</f>
        <v/>
      </c>
      <c r="X200" s="40"/>
      <c r="Y200" s="43" t="str">
        <f aca="false">IF(OR($B200="",$X200=""),"",EDATE($X200,DelaiMiCarriere))</f>
        <v/>
      </c>
      <c r="Z200" s="42" t="str">
        <f aca="false">IF(OR($B200="",$X200=""),"",IF(AND($I200&lt;&gt;"",$I200&lt;=DateRef),"",IF(AND($N200&lt;&gt;"",$N200&gt;=$X200),"Réalisé",IF($Y200&lt;DateRef,"En retard","À planifier"))))</f>
        <v/>
      </c>
      <c r="AA200" s="47" t="str">
        <f aca="false">IF(OR($B200="",$G200=""),"",IF($G200&gt;DateRef,"",DATEDIF($G200,DateRef,"y")))</f>
        <v/>
      </c>
      <c r="AB200" s="43" t="str">
        <f aca="false">IF(OR($B200="",$G200=""),"",EDATE($G200,AgeFinCarriere*12))</f>
        <v/>
      </c>
      <c r="AC200" s="42" t="str">
        <f aca="false">IF(OR($B200="",$G200="",$H200=""),"",IF(AND($I200&lt;&gt;"",$I200&lt;=DateRef),"",IF($AB200&lt;DateVigueur,"Non concerné",IF(AND($N200&lt;&gt;"",$N200&gt;=MAX(EDATE($AB200,-FenetreFinCarriere*12),DateVigueur),$N200&lt;=$AB200),"Réalisé",IF(DateRef&gt;$AB200,"Non réalisé",IF(AND($Q200&lt;&gt;"",$Q200&gt;=EDATE($AB200,-FenetreFinCarriere*12),$Q200&lt;=$AB200),"Planifié dans la fenêtre",IF(AND(MAX($P200,DateRef)&gt;=EDATE($AB200,-FenetreFinCarriere*12),MAX($P200,DateRef)&lt;=$AB200),"Prochain EPP dans la fenêtre",IF(MAX($P200,DateRef)&gt;$AB200,"À programmer avant 60 ans",""))))))))</f>
        <v/>
      </c>
      <c r="AD200" s="40"/>
      <c r="AE200" s="43" t="str">
        <f aca="false">IF(OR($B200="",$H200="",AND($I200&lt;&gt;"",$I200&lt;=DateRef)),"",MAX($H200,$AD200,IF($A200="",0,SUMPRODUCT(MAX((Journal!$A$6:$A$1005=$A200)*((Journal!$D$6:$D$1005=TypeEDL)+(Journal!$D$6:$D$1005=TypeBilan6))*Journal!$C$6:$C$1005)))))</f>
        <v/>
      </c>
      <c r="AF200" s="43" t="str">
        <f aca="false">IF($AE200="","",IF(AND(ReglesTransitoires="Oui",EDATE($AE200,AnciennePeriodiciteEDL*12)&lt;DateVigueur),EDATE($AE200,AnciennePeriodiciteEDL*12),EDATE($AE200,PeriodiciteEDL*12)))</f>
        <v/>
      </c>
      <c r="AG200" s="42" t="str">
        <f aca="false">IF($AF200="","",IF(AND($I200&lt;&gt;"",$I200&lt;=DateRef),"",IF($AF200&lt;DateRef,"En retard",IF($AF200-DateRef&lt;=SeuilAlerteEDL,"À prévoir","À jour"))))</f>
        <v/>
      </c>
      <c r="AH200" s="39"/>
      <c r="AI200" s="39"/>
      <c r="AJ200" s="42" t="str">
        <f aca="false">IF(OR($B200="",$H200=""),"",IF(AND($I200&lt;&gt;"",$I200&lt;=DateRef),"",IF(Effectif&lt;SeuilEffectif,"Non concerné (&lt; "&amp;SeuilEffectif&amp;" salariés)",IF($AH200="Oui","Pas de risque",IF(AND(OR($AI200="Non",$S200="En retard"),$AH200="Non"),"Risque abondement",IF(OR($AI200="Non",$S200="En retard"),"À vérifier (formation ?)",IF($AI200="Oui","Pas de risque","À compléter")))))))</f>
        <v/>
      </c>
      <c r="AK200" s="39"/>
    </row>
    <row r="201" customFormat="false" ht="15" hidden="false" customHeight="false" outlineLevel="0" collapsed="false">
      <c r="A201" s="39"/>
      <c r="B201" s="39"/>
      <c r="C201" s="39"/>
      <c r="D201" s="39"/>
      <c r="E201" s="39"/>
      <c r="F201" s="39"/>
      <c r="G201" s="40"/>
      <c r="H201" s="40"/>
      <c r="I201" s="40"/>
      <c r="J201" s="41" t="str">
        <f aca="false">IF(OR($B201="",$H201=""),"",IF($H201&gt;DateRef,0,YEARFRAC($H201,DateRef,1)))</f>
        <v/>
      </c>
      <c r="K201" s="42" t="str">
        <f aca="false">IF(OR($B201="",$H201=""),"",IF(EDATE($H201,12)&lt;=DateRef,"Plus d'un an","Moins d'un an"))</f>
        <v/>
      </c>
      <c r="L201" s="40"/>
      <c r="M201" s="43" t="str">
        <f aca="false">IF(OR($B201="",$A201=""),"",IF(SUMPRODUCT(MAX((Journal!$A$6:$A$1005=$A201)*Journal!$C$6:$C$1005))=0,"",SUMPRODUCT(MAX((Journal!$A$6:$A$1005=$A201)*Journal!$C$6:$C$1005))))</f>
        <v/>
      </c>
      <c r="N201" s="43" t="str">
        <f aca="false">IF($B201="","",IF(MAX($L201,$M201)=0,"",MAX($L201,$M201)))</f>
        <v/>
      </c>
      <c r="O201" s="44" t="str">
        <f aca="false">IF(OR($B201="",$H201=""),"",IF($N201="",IF(EDATE($H201,DelaiPremierEPP)&gt;DateRef,"1er EPP (1re année)","Aucun entretien renseigné"),IF(AND(ReglesTransitoires="Oui",EDATE($N201,AnciennePeriodiciteEP*12)&lt;DateVigueur),"Retard antérieur à la réforme","Périodicité "&amp;PeriodiciteEPP&amp;" ans")))</f>
        <v/>
      </c>
      <c r="P201" s="43" t="str">
        <f aca="false">IF(OR($B201="",$H201=""),"",IF($N201="",EDATE($H201,DelaiPremierEPP),IF(AND(ReglesTransitoires="Oui",EDATE($N201,AnciennePeriodiciteEP*12)&lt;DateVigueur),EDATE($N201,AnciennePeriodiciteEP*12),EDATE($N201,PeriodiciteEPP*12))))</f>
        <v/>
      </c>
      <c r="Q201" s="40"/>
      <c r="R201" s="45" t="str">
        <f aca="false">IF(OR($P201="",AND($I201&lt;&gt;"",$I201&lt;=DateRef)),"",$P201-DateRef)</f>
        <v/>
      </c>
      <c r="S201" s="42" t="str">
        <f aca="false">IF($B201="","",IF(AND($I201&lt;&gt;"",$I201&lt;=DateRef),"Sorti",IF($H201="","À compléter",IF(AND($Q201&lt;&gt;"",$Q201&gt;=DateRef,$Q201&lt;=$P201),"Planifié",IF($R201&lt;0,"En retard",IF($R201&lt;=SeuilAlerteEPP,"À planifier","À jour"))))))</f>
        <v/>
      </c>
      <c r="T201" s="46" t="str">
        <f aca="false">IF(OR($B201="",$S201="Sorti"),"",MID(IF($H201=""," | Date d'embauche manquante","")&amp;IF(AND($K201="Plus d'un an",$N201="")," | Précédent entretien à renseigner (ancienneté &gt; 1 an)","")&amp;IF($O201="Retard antérieur à la réforme"," | Ancien délai de 2 ans expiré avant la réforme","")&amp;IF(AND($N201&lt;&gt;"",$H201&lt;&gt;"",$N201&lt;$H201)," | Entretien antérieur à l'embauche ?","")&amp;IF(AND($N201&lt;&gt;"",$N201&gt;DateRef)," | Entretien daté dans le futur ?","")&amp;IF(AND($Q201&lt;&gt;"",$P201&lt;&gt;"",$Q201&gt;$P201)," | Date prévue après l'échéance","")&amp;IF(AND($Q201&lt;&gt;"",$Q201&lt;DateRef,OR($N201="",$N201&lt;$Q201))," | Entretien prévu passé : le consigner au Journal","")&amp;IF(AND($G201&lt;&gt;"",$X201="",YEAR(DateRef)-YEAR($G201)&gt;=AgeMiCarriere-1,YEAR(DateRef)-YEAR($G201)&lt;=AgeMiCarriere+1)," | Visite de mi-carrière à vérifier",""),4,1000))</f>
        <v/>
      </c>
      <c r="U201" s="39"/>
      <c r="V201" s="40"/>
      <c r="W201" s="42" t="str">
        <f aca="false">IF(OR($B201="",$V201=""),"",IF(AND($I201&lt;&gt;"",$I201&lt;=DateRef),"",IF(AND($N201&lt;&gt;"",$N201&gt;=$V201),"Réalisé",IF(AND($N201&lt;&gt;"",$N201&gt;=EDATE($V201,-FenetreRetour)),"Dispensé (EPP récent)",IF($V201&gt;DateRef,"À prévoir à la reprise","À proposer (reprise passée)")))))</f>
        <v/>
      </c>
      <c r="X201" s="40"/>
      <c r="Y201" s="43" t="str">
        <f aca="false">IF(OR($B201="",$X201=""),"",EDATE($X201,DelaiMiCarriere))</f>
        <v/>
      </c>
      <c r="Z201" s="42" t="str">
        <f aca="false">IF(OR($B201="",$X201=""),"",IF(AND($I201&lt;&gt;"",$I201&lt;=DateRef),"",IF(AND($N201&lt;&gt;"",$N201&gt;=$X201),"Réalisé",IF($Y201&lt;DateRef,"En retard","À planifier"))))</f>
        <v/>
      </c>
      <c r="AA201" s="47" t="str">
        <f aca="false">IF(OR($B201="",$G201=""),"",IF($G201&gt;DateRef,"",DATEDIF($G201,DateRef,"y")))</f>
        <v/>
      </c>
      <c r="AB201" s="43" t="str">
        <f aca="false">IF(OR($B201="",$G201=""),"",EDATE($G201,AgeFinCarriere*12))</f>
        <v/>
      </c>
      <c r="AC201" s="42" t="str">
        <f aca="false">IF(OR($B201="",$G201="",$H201=""),"",IF(AND($I201&lt;&gt;"",$I201&lt;=DateRef),"",IF($AB201&lt;DateVigueur,"Non concerné",IF(AND($N201&lt;&gt;"",$N201&gt;=MAX(EDATE($AB201,-FenetreFinCarriere*12),DateVigueur),$N201&lt;=$AB201),"Réalisé",IF(DateRef&gt;$AB201,"Non réalisé",IF(AND($Q201&lt;&gt;"",$Q201&gt;=EDATE($AB201,-FenetreFinCarriere*12),$Q201&lt;=$AB201),"Planifié dans la fenêtre",IF(AND(MAX($P201,DateRef)&gt;=EDATE($AB201,-FenetreFinCarriere*12),MAX($P201,DateRef)&lt;=$AB201),"Prochain EPP dans la fenêtre",IF(MAX($P201,DateRef)&gt;$AB201,"À programmer avant 60 ans",""))))))))</f>
        <v/>
      </c>
      <c r="AD201" s="40"/>
      <c r="AE201" s="43" t="str">
        <f aca="false">IF(OR($B201="",$H201="",AND($I201&lt;&gt;"",$I201&lt;=DateRef)),"",MAX($H201,$AD201,IF($A201="",0,SUMPRODUCT(MAX((Journal!$A$6:$A$1005=$A201)*((Journal!$D$6:$D$1005=TypeEDL)+(Journal!$D$6:$D$1005=TypeBilan6))*Journal!$C$6:$C$1005)))))</f>
        <v/>
      </c>
      <c r="AF201" s="43" t="str">
        <f aca="false">IF($AE201="","",IF(AND(ReglesTransitoires="Oui",EDATE($AE201,AnciennePeriodiciteEDL*12)&lt;DateVigueur),EDATE($AE201,AnciennePeriodiciteEDL*12),EDATE($AE201,PeriodiciteEDL*12)))</f>
        <v/>
      </c>
      <c r="AG201" s="42" t="str">
        <f aca="false">IF($AF201="","",IF(AND($I201&lt;&gt;"",$I201&lt;=DateRef),"",IF($AF201&lt;DateRef,"En retard",IF($AF201-DateRef&lt;=SeuilAlerteEDL,"À prévoir","À jour"))))</f>
        <v/>
      </c>
      <c r="AH201" s="39"/>
      <c r="AI201" s="39"/>
      <c r="AJ201" s="42" t="str">
        <f aca="false">IF(OR($B201="",$H201=""),"",IF(AND($I201&lt;&gt;"",$I201&lt;=DateRef),"",IF(Effectif&lt;SeuilEffectif,"Non concerné (&lt; "&amp;SeuilEffectif&amp;" salariés)",IF($AH201="Oui","Pas de risque",IF(AND(OR($AI201="Non",$S201="En retard"),$AH201="Non"),"Risque abondement",IF(OR($AI201="Non",$S201="En retard"),"À vérifier (formation ?)",IF($AI201="Oui","Pas de risque","À compléter")))))))</f>
        <v/>
      </c>
      <c r="AK201" s="39"/>
    </row>
    <row r="202" customFormat="false" ht="15" hidden="false" customHeight="false" outlineLevel="0" collapsed="false">
      <c r="A202" s="39"/>
      <c r="B202" s="39"/>
      <c r="C202" s="39"/>
      <c r="D202" s="39"/>
      <c r="E202" s="39"/>
      <c r="F202" s="39"/>
      <c r="G202" s="40"/>
      <c r="H202" s="40"/>
      <c r="I202" s="40"/>
      <c r="J202" s="41" t="str">
        <f aca="false">IF(OR($B202="",$H202=""),"",IF($H202&gt;DateRef,0,YEARFRAC($H202,DateRef,1)))</f>
        <v/>
      </c>
      <c r="K202" s="42" t="str">
        <f aca="false">IF(OR($B202="",$H202=""),"",IF(EDATE($H202,12)&lt;=DateRef,"Plus d'un an","Moins d'un an"))</f>
        <v/>
      </c>
      <c r="L202" s="40"/>
      <c r="M202" s="43" t="str">
        <f aca="false">IF(OR($B202="",$A202=""),"",IF(SUMPRODUCT(MAX((Journal!$A$6:$A$1005=$A202)*Journal!$C$6:$C$1005))=0,"",SUMPRODUCT(MAX((Journal!$A$6:$A$1005=$A202)*Journal!$C$6:$C$1005))))</f>
        <v/>
      </c>
      <c r="N202" s="43" t="str">
        <f aca="false">IF($B202="","",IF(MAX($L202,$M202)=0,"",MAX($L202,$M202)))</f>
        <v/>
      </c>
      <c r="O202" s="44" t="str">
        <f aca="false">IF(OR($B202="",$H202=""),"",IF($N202="",IF(EDATE($H202,DelaiPremierEPP)&gt;DateRef,"1er EPP (1re année)","Aucun entretien renseigné"),IF(AND(ReglesTransitoires="Oui",EDATE($N202,AnciennePeriodiciteEP*12)&lt;DateVigueur),"Retard antérieur à la réforme","Périodicité "&amp;PeriodiciteEPP&amp;" ans")))</f>
        <v/>
      </c>
      <c r="P202" s="43" t="str">
        <f aca="false">IF(OR($B202="",$H202=""),"",IF($N202="",EDATE($H202,DelaiPremierEPP),IF(AND(ReglesTransitoires="Oui",EDATE($N202,AnciennePeriodiciteEP*12)&lt;DateVigueur),EDATE($N202,AnciennePeriodiciteEP*12),EDATE($N202,PeriodiciteEPP*12))))</f>
        <v/>
      </c>
      <c r="Q202" s="40"/>
      <c r="R202" s="45" t="str">
        <f aca="false">IF(OR($P202="",AND($I202&lt;&gt;"",$I202&lt;=DateRef)),"",$P202-DateRef)</f>
        <v/>
      </c>
      <c r="S202" s="42" t="str">
        <f aca="false">IF($B202="","",IF(AND($I202&lt;&gt;"",$I202&lt;=DateRef),"Sorti",IF($H202="","À compléter",IF(AND($Q202&lt;&gt;"",$Q202&gt;=DateRef,$Q202&lt;=$P202),"Planifié",IF($R202&lt;0,"En retard",IF($R202&lt;=SeuilAlerteEPP,"À planifier","À jour"))))))</f>
        <v/>
      </c>
      <c r="T202" s="46" t="str">
        <f aca="false">IF(OR($B202="",$S202="Sorti"),"",MID(IF($H202=""," | Date d'embauche manquante","")&amp;IF(AND($K202="Plus d'un an",$N202="")," | Précédent entretien à renseigner (ancienneté &gt; 1 an)","")&amp;IF($O202="Retard antérieur à la réforme"," | Ancien délai de 2 ans expiré avant la réforme","")&amp;IF(AND($N202&lt;&gt;"",$H202&lt;&gt;"",$N202&lt;$H202)," | Entretien antérieur à l'embauche ?","")&amp;IF(AND($N202&lt;&gt;"",$N202&gt;DateRef)," | Entretien daté dans le futur ?","")&amp;IF(AND($Q202&lt;&gt;"",$P202&lt;&gt;"",$Q202&gt;$P202)," | Date prévue après l'échéance","")&amp;IF(AND($Q202&lt;&gt;"",$Q202&lt;DateRef,OR($N202="",$N202&lt;$Q202))," | Entretien prévu passé : le consigner au Journal","")&amp;IF(AND($G202&lt;&gt;"",$X202="",YEAR(DateRef)-YEAR($G202)&gt;=AgeMiCarriere-1,YEAR(DateRef)-YEAR($G202)&lt;=AgeMiCarriere+1)," | Visite de mi-carrière à vérifier",""),4,1000))</f>
        <v/>
      </c>
      <c r="U202" s="39"/>
      <c r="V202" s="40"/>
      <c r="W202" s="42" t="str">
        <f aca="false">IF(OR($B202="",$V202=""),"",IF(AND($I202&lt;&gt;"",$I202&lt;=DateRef),"",IF(AND($N202&lt;&gt;"",$N202&gt;=$V202),"Réalisé",IF(AND($N202&lt;&gt;"",$N202&gt;=EDATE($V202,-FenetreRetour)),"Dispensé (EPP récent)",IF($V202&gt;DateRef,"À prévoir à la reprise","À proposer (reprise passée)")))))</f>
        <v/>
      </c>
      <c r="X202" s="40"/>
      <c r="Y202" s="43" t="str">
        <f aca="false">IF(OR($B202="",$X202=""),"",EDATE($X202,DelaiMiCarriere))</f>
        <v/>
      </c>
      <c r="Z202" s="42" t="str">
        <f aca="false">IF(OR($B202="",$X202=""),"",IF(AND($I202&lt;&gt;"",$I202&lt;=DateRef),"",IF(AND($N202&lt;&gt;"",$N202&gt;=$X202),"Réalisé",IF($Y202&lt;DateRef,"En retard","À planifier"))))</f>
        <v/>
      </c>
      <c r="AA202" s="47" t="str">
        <f aca="false">IF(OR($B202="",$G202=""),"",IF($G202&gt;DateRef,"",DATEDIF($G202,DateRef,"y")))</f>
        <v/>
      </c>
      <c r="AB202" s="43" t="str">
        <f aca="false">IF(OR($B202="",$G202=""),"",EDATE($G202,AgeFinCarriere*12))</f>
        <v/>
      </c>
      <c r="AC202" s="42" t="str">
        <f aca="false">IF(OR($B202="",$G202="",$H202=""),"",IF(AND($I202&lt;&gt;"",$I202&lt;=DateRef),"",IF($AB202&lt;DateVigueur,"Non concerné",IF(AND($N202&lt;&gt;"",$N202&gt;=MAX(EDATE($AB202,-FenetreFinCarriere*12),DateVigueur),$N202&lt;=$AB202),"Réalisé",IF(DateRef&gt;$AB202,"Non réalisé",IF(AND($Q202&lt;&gt;"",$Q202&gt;=EDATE($AB202,-FenetreFinCarriere*12),$Q202&lt;=$AB202),"Planifié dans la fenêtre",IF(AND(MAX($P202,DateRef)&gt;=EDATE($AB202,-FenetreFinCarriere*12),MAX($P202,DateRef)&lt;=$AB202),"Prochain EPP dans la fenêtre",IF(MAX($P202,DateRef)&gt;$AB202,"À programmer avant 60 ans",""))))))))</f>
        <v/>
      </c>
      <c r="AD202" s="40"/>
      <c r="AE202" s="43" t="str">
        <f aca="false">IF(OR($B202="",$H202="",AND($I202&lt;&gt;"",$I202&lt;=DateRef)),"",MAX($H202,$AD202,IF($A202="",0,SUMPRODUCT(MAX((Journal!$A$6:$A$1005=$A202)*((Journal!$D$6:$D$1005=TypeEDL)+(Journal!$D$6:$D$1005=TypeBilan6))*Journal!$C$6:$C$1005)))))</f>
        <v/>
      </c>
      <c r="AF202" s="43" t="str">
        <f aca="false">IF($AE202="","",IF(AND(ReglesTransitoires="Oui",EDATE($AE202,AnciennePeriodiciteEDL*12)&lt;DateVigueur),EDATE($AE202,AnciennePeriodiciteEDL*12),EDATE($AE202,PeriodiciteEDL*12)))</f>
        <v/>
      </c>
      <c r="AG202" s="42" t="str">
        <f aca="false">IF($AF202="","",IF(AND($I202&lt;&gt;"",$I202&lt;=DateRef),"",IF($AF202&lt;DateRef,"En retard",IF($AF202-DateRef&lt;=SeuilAlerteEDL,"À prévoir","À jour"))))</f>
        <v/>
      </c>
      <c r="AH202" s="39"/>
      <c r="AI202" s="39"/>
      <c r="AJ202" s="42" t="str">
        <f aca="false">IF(OR($B202="",$H202=""),"",IF(AND($I202&lt;&gt;"",$I202&lt;=DateRef),"",IF(Effectif&lt;SeuilEffectif,"Non concerné (&lt; "&amp;SeuilEffectif&amp;" salariés)",IF($AH202="Oui","Pas de risque",IF(AND(OR($AI202="Non",$S202="En retard"),$AH202="Non"),"Risque abondement",IF(OR($AI202="Non",$S202="En retard"),"À vérifier (formation ?)",IF($AI202="Oui","Pas de risque","À compléter")))))))</f>
        <v/>
      </c>
      <c r="AK202" s="39"/>
    </row>
    <row r="203" customFormat="false" ht="15" hidden="false" customHeight="false" outlineLevel="0" collapsed="false">
      <c r="A203" s="39"/>
      <c r="B203" s="39"/>
      <c r="C203" s="39"/>
      <c r="D203" s="39"/>
      <c r="E203" s="39"/>
      <c r="F203" s="39"/>
      <c r="G203" s="40"/>
      <c r="H203" s="40"/>
      <c r="I203" s="40"/>
      <c r="J203" s="41" t="str">
        <f aca="false">IF(OR($B203="",$H203=""),"",IF($H203&gt;DateRef,0,YEARFRAC($H203,DateRef,1)))</f>
        <v/>
      </c>
      <c r="K203" s="42" t="str">
        <f aca="false">IF(OR($B203="",$H203=""),"",IF(EDATE($H203,12)&lt;=DateRef,"Plus d'un an","Moins d'un an"))</f>
        <v/>
      </c>
      <c r="L203" s="40"/>
      <c r="M203" s="43" t="str">
        <f aca="false">IF(OR($B203="",$A203=""),"",IF(SUMPRODUCT(MAX((Journal!$A$6:$A$1005=$A203)*Journal!$C$6:$C$1005))=0,"",SUMPRODUCT(MAX((Journal!$A$6:$A$1005=$A203)*Journal!$C$6:$C$1005))))</f>
        <v/>
      </c>
      <c r="N203" s="43" t="str">
        <f aca="false">IF($B203="","",IF(MAX($L203,$M203)=0,"",MAX($L203,$M203)))</f>
        <v/>
      </c>
      <c r="O203" s="44" t="str">
        <f aca="false">IF(OR($B203="",$H203=""),"",IF($N203="",IF(EDATE($H203,DelaiPremierEPP)&gt;DateRef,"1er EPP (1re année)","Aucun entretien renseigné"),IF(AND(ReglesTransitoires="Oui",EDATE($N203,AnciennePeriodiciteEP*12)&lt;DateVigueur),"Retard antérieur à la réforme","Périodicité "&amp;PeriodiciteEPP&amp;" ans")))</f>
        <v/>
      </c>
      <c r="P203" s="43" t="str">
        <f aca="false">IF(OR($B203="",$H203=""),"",IF($N203="",EDATE($H203,DelaiPremierEPP),IF(AND(ReglesTransitoires="Oui",EDATE($N203,AnciennePeriodiciteEP*12)&lt;DateVigueur),EDATE($N203,AnciennePeriodiciteEP*12),EDATE($N203,PeriodiciteEPP*12))))</f>
        <v/>
      </c>
      <c r="Q203" s="40"/>
      <c r="R203" s="45" t="str">
        <f aca="false">IF(OR($P203="",AND($I203&lt;&gt;"",$I203&lt;=DateRef)),"",$P203-DateRef)</f>
        <v/>
      </c>
      <c r="S203" s="42" t="str">
        <f aca="false">IF($B203="","",IF(AND($I203&lt;&gt;"",$I203&lt;=DateRef),"Sorti",IF($H203="","À compléter",IF(AND($Q203&lt;&gt;"",$Q203&gt;=DateRef,$Q203&lt;=$P203),"Planifié",IF($R203&lt;0,"En retard",IF($R203&lt;=SeuilAlerteEPP,"À planifier","À jour"))))))</f>
        <v/>
      </c>
      <c r="T203" s="46" t="str">
        <f aca="false">IF(OR($B203="",$S203="Sorti"),"",MID(IF($H203=""," | Date d'embauche manquante","")&amp;IF(AND($K203="Plus d'un an",$N203="")," | Précédent entretien à renseigner (ancienneté &gt; 1 an)","")&amp;IF($O203="Retard antérieur à la réforme"," | Ancien délai de 2 ans expiré avant la réforme","")&amp;IF(AND($N203&lt;&gt;"",$H203&lt;&gt;"",$N203&lt;$H203)," | Entretien antérieur à l'embauche ?","")&amp;IF(AND($N203&lt;&gt;"",$N203&gt;DateRef)," | Entretien daté dans le futur ?","")&amp;IF(AND($Q203&lt;&gt;"",$P203&lt;&gt;"",$Q203&gt;$P203)," | Date prévue après l'échéance","")&amp;IF(AND($Q203&lt;&gt;"",$Q203&lt;DateRef,OR($N203="",$N203&lt;$Q203))," | Entretien prévu passé : le consigner au Journal","")&amp;IF(AND($G203&lt;&gt;"",$X203="",YEAR(DateRef)-YEAR($G203)&gt;=AgeMiCarriere-1,YEAR(DateRef)-YEAR($G203)&lt;=AgeMiCarriere+1)," | Visite de mi-carrière à vérifier",""),4,1000))</f>
        <v/>
      </c>
      <c r="U203" s="39"/>
      <c r="V203" s="40"/>
      <c r="W203" s="42" t="str">
        <f aca="false">IF(OR($B203="",$V203=""),"",IF(AND($I203&lt;&gt;"",$I203&lt;=DateRef),"",IF(AND($N203&lt;&gt;"",$N203&gt;=$V203),"Réalisé",IF(AND($N203&lt;&gt;"",$N203&gt;=EDATE($V203,-FenetreRetour)),"Dispensé (EPP récent)",IF($V203&gt;DateRef,"À prévoir à la reprise","À proposer (reprise passée)")))))</f>
        <v/>
      </c>
      <c r="X203" s="40"/>
      <c r="Y203" s="43" t="str">
        <f aca="false">IF(OR($B203="",$X203=""),"",EDATE($X203,DelaiMiCarriere))</f>
        <v/>
      </c>
      <c r="Z203" s="42" t="str">
        <f aca="false">IF(OR($B203="",$X203=""),"",IF(AND($I203&lt;&gt;"",$I203&lt;=DateRef),"",IF(AND($N203&lt;&gt;"",$N203&gt;=$X203),"Réalisé",IF($Y203&lt;DateRef,"En retard","À planifier"))))</f>
        <v/>
      </c>
      <c r="AA203" s="47" t="str">
        <f aca="false">IF(OR($B203="",$G203=""),"",IF($G203&gt;DateRef,"",DATEDIF($G203,DateRef,"y")))</f>
        <v/>
      </c>
      <c r="AB203" s="43" t="str">
        <f aca="false">IF(OR($B203="",$G203=""),"",EDATE($G203,AgeFinCarriere*12))</f>
        <v/>
      </c>
      <c r="AC203" s="42" t="str">
        <f aca="false">IF(OR($B203="",$G203="",$H203=""),"",IF(AND($I203&lt;&gt;"",$I203&lt;=DateRef),"",IF($AB203&lt;DateVigueur,"Non concerné",IF(AND($N203&lt;&gt;"",$N203&gt;=MAX(EDATE($AB203,-FenetreFinCarriere*12),DateVigueur),$N203&lt;=$AB203),"Réalisé",IF(DateRef&gt;$AB203,"Non réalisé",IF(AND($Q203&lt;&gt;"",$Q203&gt;=EDATE($AB203,-FenetreFinCarriere*12),$Q203&lt;=$AB203),"Planifié dans la fenêtre",IF(AND(MAX($P203,DateRef)&gt;=EDATE($AB203,-FenetreFinCarriere*12),MAX($P203,DateRef)&lt;=$AB203),"Prochain EPP dans la fenêtre",IF(MAX($P203,DateRef)&gt;$AB203,"À programmer avant 60 ans",""))))))))</f>
        <v/>
      </c>
      <c r="AD203" s="40"/>
      <c r="AE203" s="43" t="str">
        <f aca="false">IF(OR($B203="",$H203="",AND($I203&lt;&gt;"",$I203&lt;=DateRef)),"",MAX($H203,$AD203,IF($A203="",0,SUMPRODUCT(MAX((Journal!$A$6:$A$1005=$A203)*((Journal!$D$6:$D$1005=TypeEDL)+(Journal!$D$6:$D$1005=TypeBilan6))*Journal!$C$6:$C$1005)))))</f>
        <v/>
      </c>
      <c r="AF203" s="43" t="str">
        <f aca="false">IF($AE203="","",IF(AND(ReglesTransitoires="Oui",EDATE($AE203,AnciennePeriodiciteEDL*12)&lt;DateVigueur),EDATE($AE203,AnciennePeriodiciteEDL*12),EDATE($AE203,PeriodiciteEDL*12)))</f>
        <v/>
      </c>
      <c r="AG203" s="42" t="str">
        <f aca="false">IF($AF203="","",IF(AND($I203&lt;&gt;"",$I203&lt;=DateRef),"",IF($AF203&lt;DateRef,"En retard",IF($AF203-DateRef&lt;=SeuilAlerteEDL,"À prévoir","À jour"))))</f>
        <v/>
      </c>
      <c r="AH203" s="39"/>
      <c r="AI203" s="39"/>
      <c r="AJ203" s="42" t="str">
        <f aca="false">IF(OR($B203="",$H203=""),"",IF(AND($I203&lt;&gt;"",$I203&lt;=DateRef),"",IF(Effectif&lt;SeuilEffectif,"Non concerné (&lt; "&amp;SeuilEffectif&amp;" salariés)",IF($AH203="Oui","Pas de risque",IF(AND(OR($AI203="Non",$S203="En retard"),$AH203="Non"),"Risque abondement",IF(OR($AI203="Non",$S203="En retard"),"À vérifier (formation ?)",IF($AI203="Oui","Pas de risque","À compléter")))))))</f>
        <v/>
      </c>
      <c r="AK203" s="39"/>
    </row>
    <row r="204" customFormat="false" ht="15" hidden="false" customHeight="false" outlineLevel="0" collapsed="false">
      <c r="A204" s="39"/>
      <c r="B204" s="39"/>
      <c r="C204" s="39"/>
      <c r="D204" s="39"/>
      <c r="E204" s="39"/>
      <c r="F204" s="39"/>
      <c r="G204" s="40"/>
      <c r="H204" s="40"/>
      <c r="I204" s="40"/>
      <c r="J204" s="41" t="str">
        <f aca="false">IF(OR($B204="",$H204=""),"",IF($H204&gt;DateRef,0,YEARFRAC($H204,DateRef,1)))</f>
        <v/>
      </c>
      <c r="K204" s="42" t="str">
        <f aca="false">IF(OR($B204="",$H204=""),"",IF(EDATE($H204,12)&lt;=DateRef,"Plus d'un an","Moins d'un an"))</f>
        <v/>
      </c>
      <c r="L204" s="40"/>
      <c r="M204" s="43" t="str">
        <f aca="false">IF(OR($B204="",$A204=""),"",IF(SUMPRODUCT(MAX((Journal!$A$6:$A$1005=$A204)*Journal!$C$6:$C$1005))=0,"",SUMPRODUCT(MAX((Journal!$A$6:$A$1005=$A204)*Journal!$C$6:$C$1005))))</f>
        <v/>
      </c>
      <c r="N204" s="43" t="str">
        <f aca="false">IF($B204="","",IF(MAX($L204,$M204)=0,"",MAX($L204,$M204)))</f>
        <v/>
      </c>
      <c r="O204" s="44" t="str">
        <f aca="false">IF(OR($B204="",$H204=""),"",IF($N204="",IF(EDATE($H204,DelaiPremierEPP)&gt;DateRef,"1er EPP (1re année)","Aucun entretien renseigné"),IF(AND(ReglesTransitoires="Oui",EDATE($N204,AnciennePeriodiciteEP*12)&lt;DateVigueur),"Retard antérieur à la réforme","Périodicité "&amp;PeriodiciteEPP&amp;" ans")))</f>
        <v/>
      </c>
      <c r="P204" s="43" t="str">
        <f aca="false">IF(OR($B204="",$H204=""),"",IF($N204="",EDATE($H204,DelaiPremierEPP),IF(AND(ReglesTransitoires="Oui",EDATE($N204,AnciennePeriodiciteEP*12)&lt;DateVigueur),EDATE($N204,AnciennePeriodiciteEP*12),EDATE($N204,PeriodiciteEPP*12))))</f>
        <v/>
      </c>
      <c r="Q204" s="40"/>
      <c r="R204" s="45" t="str">
        <f aca="false">IF(OR($P204="",AND($I204&lt;&gt;"",$I204&lt;=DateRef)),"",$P204-DateRef)</f>
        <v/>
      </c>
      <c r="S204" s="42" t="str">
        <f aca="false">IF($B204="","",IF(AND($I204&lt;&gt;"",$I204&lt;=DateRef),"Sorti",IF($H204="","À compléter",IF(AND($Q204&lt;&gt;"",$Q204&gt;=DateRef,$Q204&lt;=$P204),"Planifié",IF($R204&lt;0,"En retard",IF($R204&lt;=SeuilAlerteEPP,"À planifier","À jour"))))))</f>
        <v/>
      </c>
      <c r="T204" s="46" t="str">
        <f aca="false">IF(OR($B204="",$S204="Sorti"),"",MID(IF($H204=""," | Date d'embauche manquante","")&amp;IF(AND($K204="Plus d'un an",$N204="")," | Précédent entretien à renseigner (ancienneté &gt; 1 an)","")&amp;IF($O204="Retard antérieur à la réforme"," | Ancien délai de 2 ans expiré avant la réforme","")&amp;IF(AND($N204&lt;&gt;"",$H204&lt;&gt;"",$N204&lt;$H204)," | Entretien antérieur à l'embauche ?","")&amp;IF(AND($N204&lt;&gt;"",$N204&gt;DateRef)," | Entretien daté dans le futur ?","")&amp;IF(AND($Q204&lt;&gt;"",$P204&lt;&gt;"",$Q204&gt;$P204)," | Date prévue après l'échéance","")&amp;IF(AND($Q204&lt;&gt;"",$Q204&lt;DateRef,OR($N204="",$N204&lt;$Q204))," | Entretien prévu passé : le consigner au Journal","")&amp;IF(AND($G204&lt;&gt;"",$X204="",YEAR(DateRef)-YEAR($G204)&gt;=AgeMiCarriere-1,YEAR(DateRef)-YEAR($G204)&lt;=AgeMiCarriere+1)," | Visite de mi-carrière à vérifier",""),4,1000))</f>
        <v/>
      </c>
      <c r="U204" s="39"/>
      <c r="V204" s="40"/>
      <c r="W204" s="42" t="str">
        <f aca="false">IF(OR($B204="",$V204=""),"",IF(AND($I204&lt;&gt;"",$I204&lt;=DateRef),"",IF(AND($N204&lt;&gt;"",$N204&gt;=$V204),"Réalisé",IF(AND($N204&lt;&gt;"",$N204&gt;=EDATE($V204,-FenetreRetour)),"Dispensé (EPP récent)",IF($V204&gt;DateRef,"À prévoir à la reprise","À proposer (reprise passée)")))))</f>
        <v/>
      </c>
      <c r="X204" s="40"/>
      <c r="Y204" s="43" t="str">
        <f aca="false">IF(OR($B204="",$X204=""),"",EDATE($X204,DelaiMiCarriere))</f>
        <v/>
      </c>
      <c r="Z204" s="42" t="str">
        <f aca="false">IF(OR($B204="",$X204=""),"",IF(AND($I204&lt;&gt;"",$I204&lt;=DateRef),"",IF(AND($N204&lt;&gt;"",$N204&gt;=$X204),"Réalisé",IF($Y204&lt;DateRef,"En retard","À planifier"))))</f>
        <v/>
      </c>
      <c r="AA204" s="47" t="str">
        <f aca="false">IF(OR($B204="",$G204=""),"",IF($G204&gt;DateRef,"",DATEDIF($G204,DateRef,"y")))</f>
        <v/>
      </c>
      <c r="AB204" s="43" t="str">
        <f aca="false">IF(OR($B204="",$G204=""),"",EDATE($G204,AgeFinCarriere*12))</f>
        <v/>
      </c>
      <c r="AC204" s="42" t="str">
        <f aca="false">IF(OR($B204="",$G204="",$H204=""),"",IF(AND($I204&lt;&gt;"",$I204&lt;=DateRef),"",IF($AB204&lt;DateVigueur,"Non concerné",IF(AND($N204&lt;&gt;"",$N204&gt;=MAX(EDATE($AB204,-FenetreFinCarriere*12),DateVigueur),$N204&lt;=$AB204),"Réalisé",IF(DateRef&gt;$AB204,"Non réalisé",IF(AND($Q204&lt;&gt;"",$Q204&gt;=EDATE($AB204,-FenetreFinCarriere*12),$Q204&lt;=$AB204),"Planifié dans la fenêtre",IF(AND(MAX($P204,DateRef)&gt;=EDATE($AB204,-FenetreFinCarriere*12),MAX($P204,DateRef)&lt;=$AB204),"Prochain EPP dans la fenêtre",IF(MAX($P204,DateRef)&gt;$AB204,"À programmer avant 60 ans",""))))))))</f>
        <v/>
      </c>
      <c r="AD204" s="40"/>
      <c r="AE204" s="43" t="str">
        <f aca="false">IF(OR($B204="",$H204="",AND($I204&lt;&gt;"",$I204&lt;=DateRef)),"",MAX($H204,$AD204,IF($A204="",0,SUMPRODUCT(MAX((Journal!$A$6:$A$1005=$A204)*((Journal!$D$6:$D$1005=TypeEDL)+(Journal!$D$6:$D$1005=TypeBilan6))*Journal!$C$6:$C$1005)))))</f>
        <v/>
      </c>
      <c r="AF204" s="43" t="str">
        <f aca="false">IF($AE204="","",IF(AND(ReglesTransitoires="Oui",EDATE($AE204,AnciennePeriodiciteEDL*12)&lt;DateVigueur),EDATE($AE204,AnciennePeriodiciteEDL*12),EDATE($AE204,PeriodiciteEDL*12)))</f>
        <v/>
      </c>
      <c r="AG204" s="42" t="str">
        <f aca="false">IF($AF204="","",IF(AND($I204&lt;&gt;"",$I204&lt;=DateRef),"",IF($AF204&lt;DateRef,"En retard",IF($AF204-DateRef&lt;=SeuilAlerteEDL,"À prévoir","À jour"))))</f>
        <v/>
      </c>
      <c r="AH204" s="39"/>
      <c r="AI204" s="39"/>
      <c r="AJ204" s="42" t="str">
        <f aca="false">IF(OR($B204="",$H204=""),"",IF(AND($I204&lt;&gt;"",$I204&lt;=DateRef),"",IF(Effectif&lt;SeuilEffectif,"Non concerné (&lt; "&amp;SeuilEffectif&amp;" salariés)",IF($AH204="Oui","Pas de risque",IF(AND(OR($AI204="Non",$S204="En retard"),$AH204="Non"),"Risque abondement",IF(OR($AI204="Non",$S204="En retard"),"À vérifier (formation ?)",IF($AI204="Oui","Pas de risque","À compléter")))))))</f>
        <v/>
      </c>
      <c r="AK204" s="39"/>
    </row>
    <row r="205" customFormat="false" ht="15" hidden="false" customHeight="false" outlineLevel="0" collapsed="false">
      <c r="A205" s="39"/>
      <c r="B205" s="39"/>
      <c r="C205" s="39"/>
      <c r="D205" s="39"/>
      <c r="E205" s="39"/>
      <c r="F205" s="39"/>
      <c r="G205" s="40"/>
      <c r="H205" s="40"/>
      <c r="I205" s="40"/>
      <c r="J205" s="41" t="str">
        <f aca="false">IF(OR($B205="",$H205=""),"",IF($H205&gt;DateRef,0,YEARFRAC($H205,DateRef,1)))</f>
        <v/>
      </c>
      <c r="K205" s="42" t="str">
        <f aca="false">IF(OR($B205="",$H205=""),"",IF(EDATE($H205,12)&lt;=DateRef,"Plus d'un an","Moins d'un an"))</f>
        <v/>
      </c>
      <c r="L205" s="40"/>
      <c r="M205" s="43" t="str">
        <f aca="false">IF(OR($B205="",$A205=""),"",IF(SUMPRODUCT(MAX((Journal!$A$6:$A$1005=$A205)*Journal!$C$6:$C$1005))=0,"",SUMPRODUCT(MAX((Journal!$A$6:$A$1005=$A205)*Journal!$C$6:$C$1005))))</f>
        <v/>
      </c>
      <c r="N205" s="43" t="str">
        <f aca="false">IF($B205="","",IF(MAX($L205,$M205)=0,"",MAX($L205,$M205)))</f>
        <v/>
      </c>
      <c r="O205" s="44" t="str">
        <f aca="false">IF(OR($B205="",$H205=""),"",IF($N205="",IF(EDATE($H205,DelaiPremierEPP)&gt;DateRef,"1er EPP (1re année)","Aucun entretien renseigné"),IF(AND(ReglesTransitoires="Oui",EDATE($N205,AnciennePeriodiciteEP*12)&lt;DateVigueur),"Retard antérieur à la réforme","Périodicité "&amp;PeriodiciteEPP&amp;" ans")))</f>
        <v/>
      </c>
      <c r="P205" s="43" t="str">
        <f aca="false">IF(OR($B205="",$H205=""),"",IF($N205="",EDATE($H205,DelaiPremierEPP),IF(AND(ReglesTransitoires="Oui",EDATE($N205,AnciennePeriodiciteEP*12)&lt;DateVigueur),EDATE($N205,AnciennePeriodiciteEP*12),EDATE($N205,PeriodiciteEPP*12))))</f>
        <v/>
      </c>
      <c r="Q205" s="40"/>
      <c r="R205" s="45" t="str">
        <f aca="false">IF(OR($P205="",AND($I205&lt;&gt;"",$I205&lt;=DateRef)),"",$P205-DateRef)</f>
        <v/>
      </c>
      <c r="S205" s="42" t="str">
        <f aca="false">IF($B205="","",IF(AND($I205&lt;&gt;"",$I205&lt;=DateRef),"Sorti",IF($H205="","À compléter",IF(AND($Q205&lt;&gt;"",$Q205&gt;=DateRef,$Q205&lt;=$P205),"Planifié",IF($R205&lt;0,"En retard",IF($R205&lt;=SeuilAlerteEPP,"À planifier","À jour"))))))</f>
        <v/>
      </c>
      <c r="T205" s="46" t="str">
        <f aca="false">IF(OR($B205="",$S205="Sorti"),"",MID(IF($H205=""," | Date d'embauche manquante","")&amp;IF(AND($K205="Plus d'un an",$N205="")," | Précédent entretien à renseigner (ancienneté &gt; 1 an)","")&amp;IF($O205="Retard antérieur à la réforme"," | Ancien délai de 2 ans expiré avant la réforme","")&amp;IF(AND($N205&lt;&gt;"",$H205&lt;&gt;"",$N205&lt;$H205)," | Entretien antérieur à l'embauche ?","")&amp;IF(AND($N205&lt;&gt;"",$N205&gt;DateRef)," | Entretien daté dans le futur ?","")&amp;IF(AND($Q205&lt;&gt;"",$P205&lt;&gt;"",$Q205&gt;$P205)," | Date prévue après l'échéance","")&amp;IF(AND($Q205&lt;&gt;"",$Q205&lt;DateRef,OR($N205="",$N205&lt;$Q205))," | Entretien prévu passé : le consigner au Journal","")&amp;IF(AND($G205&lt;&gt;"",$X205="",YEAR(DateRef)-YEAR($G205)&gt;=AgeMiCarriere-1,YEAR(DateRef)-YEAR($G205)&lt;=AgeMiCarriere+1)," | Visite de mi-carrière à vérifier",""),4,1000))</f>
        <v/>
      </c>
      <c r="U205" s="39"/>
      <c r="V205" s="40"/>
      <c r="W205" s="42" t="str">
        <f aca="false">IF(OR($B205="",$V205=""),"",IF(AND($I205&lt;&gt;"",$I205&lt;=DateRef),"",IF(AND($N205&lt;&gt;"",$N205&gt;=$V205),"Réalisé",IF(AND($N205&lt;&gt;"",$N205&gt;=EDATE($V205,-FenetreRetour)),"Dispensé (EPP récent)",IF($V205&gt;DateRef,"À prévoir à la reprise","À proposer (reprise passée)")))))</f>
        <v/>
      </c>
      <c r="X205" s="40"/>
      <c r="Y205" s="43" t="str">
        <f aca="false">IF(OR($B205="",$X205=""),"",EDATE($X205,DelaiMiCarriere))</f>
        <v/>
      </c>
      <c r="Z205" s="42" t="str">
        <f aca="false">IF(OR($B205="",$X205=""),"",IF(AND($I205&lt;&gt;"",$I205&lt;=DateRef),"",IF(AND($N205&lt;&gt;"",$N205&gt;=$X205),"Réalisé",IF($Y205&lt;DateRef,"En retard","À planifier"))))</f>
        <v/>
      </c>
      <c r="AA205" s="47" t="str">
        <f aca="false">IF(OR($B205="",$G205=""),"",IF($G205&gt;DateRef,"",DATEDIF($G205,DateRef,"y")))</f>
        <v/>
      </c>
      <c r="AB205" s="43" t="str">
        <f aca="false">IF(OR($B205="",$G205=""),"",EDATE($G205,AgeFinCarriere*12))</f>
        <v/>
      </c>
      <c r="AC205" s="42" t="str">
        <f aca="false">IF(OR($B205="",$G205="",$H205=""),"",IF(AND($I205&lt;&gt;"",$I205&lt;=DateRef),"",IF($AB205&lt;DateVigueur,"Non concerné",IF(AND($N205&lt;&gt;"",$N205&gt;=MAX(EDATE($AB205,-FenetreFinCarriere*12),DateVigueur),$N205&lt;=$AB205),"Réalisé",IF(DateRef&gt;$AB205,"Non réalisé",IF(AND($Q205&lt;&gt;"",$Q205&gt;=EDATE($AB205,-FenetreFinCarriere*12),$Q205&lt;=$AB205),"Planifié dans la fenêtre",IF(AND(MAX($P205,DateRef)&gt;=EDATE($AB205,-FenetreFinCarriere*12),MAX($P205,DateRef)&lt;=$AB205),"Prochain EPP dans la fenêtre",IF(MAX($P205,DateRef)&gt;$AB205,"À programmer avant 60 ans",""))))))))</f>
        <v/>
      </c>
      <c r="AD205" s="40"/>
      <c r="AE205" s="43" t="str">
        <f aca="false">IF(OR($B205="",$H205="",AND($I205&lt;&gt;"",$I205&lt;=DateRef)),"",MAX($H205,$AD205,IF($A205="",0,SUMPRODUCT(MAX((Journal!$A$6:$A$1005=$A205)*((Journal!$D$6:$D$1005=TypeEDL)+(Journal!$D$6:$D$1005=TypeBilan6))*Journal!$C$6:$C$1005)))))</f>
        <v/>
      </c>
      <c r="AF205" s="43" t="str">
        <f aca="false">IF($AE205="","",IF(AND(ReglesTransitoires="Oui",EDATE($AE205,AnciennePeriodiciteEDL*12)&lt;DateVigueur),EDATE($AE205,AnciennePeriodiciteEDL*12),EDATE($AE205,PeriodiciteEDL*12)))</f>
        <v/>
      </c>
      <c r="AG205" s="42" t="str">
        <f aca="false">IF($AF205="","",IF(AND($I205&lt;&gt;"",$I205&lt;=DateRef),"",IF($AF205&lt;DateRef,"En retard",IF($AF205-DateRef&lt;=SeuilAlerteEDL,"À prévoir","À jour"))))</f>
        <v/>
      </c>
      <c r="AH205" s="39"/>
      <c r="AI205" s="39"/>
      <c r="AJ205" s="42" t="str">
        <f aca="false">IF(OR($B205="",$H205=""),"",IF(AND($I205&lt;&gt;"",$I205&lt;=DateRef),"",IF(Effectif&lt;SeuilEffectif,"Non concerné (&lt; "&amp;SeuilEffectif&amp;" salariés)",IF($AH205="Oui","Pas de risque",IF(AND(OR($AI205="Non",$S205="En retard"),$AH205="Non"),"Risque abondement",IF(OR($AI205="Non",$S205="En retard"),"À vérifier (formation ?)",IF($AI205="Oui","Pas de risque","À compléter")))))))</f>
        <v/>
      </c>
      <c r="AK205" s="39"/>
    </row>
    <row r="206" customFormat="false" ht="15" hidden="false" customHeight="false" outlineLevel="0" collapsed="false">
      <c r="A206" s="39"/>
      <c r="B206" s="39"/>
      <c r="C206" s="39"/>
      <c r="D206" s="39"/>
      <c r="E206" s="39"/>
      <c r="F206" s="39"/>
      <c r="G206" s="40"/>
      <c r="H206" s="40"/>
      <c r="I206" s="40"/>
      <c r="J206" s="41" t="str">
        <f aca="false">IF(OR($B206="",$H206=""),"",IF($H206&gt;DateRef,0,YEARFRAC($H206,DateRef,1)))</f>
        <v/>
      </c>
      <c r="K206" s="42" t="str">
        <f aca="false">IF(OR($B206="",$H206=""),"",IF(EDATE($H206,12)&lt;=DateRef,"Plus d'un an","Moins d'un an"))</f>
        <v/>
      </c>
      <c r="L206" s="40"/>
      <c r="M206" s="43" t="str">
        <f aca="false">IF(OR($B206="",$A206=""),"",IF(SUMPRODUCT(MAX((Journal!$A$6:$A$1005=$A206)*Journal!$C$6:$C$1005))=0,"",SUMPRODUCT(MAX((Journal!$A$6:$A$1005=$A206)*Journal!$C$6:$C$1005))))</f>
        <v/>
      </c>
      <c r="N206" s="43" t="str">
        <f aca="false">IF($B206="","",IF(MAX($L206,$M206)=0,"",MAX($L206,$M206)))</f>
        <v/>
      </c>
      <c r="O206" s="44" t="str">
        <f aca="false">IF(OR($B206="",$H206=""),"",IF($N206="",IF(EDATE($H206,DelaiPremierEPP)&gt;DateRef,"1er EPP (1re année)","Aucun entretien renseigné"),IF(AND(ReglesTransitoires="Oui",EDATE($N206,AnciennePeriodiciteEP*12)&lt;DateVigueur),"Retard antérieur à la réforme","Périodicité "&amp;PeriodiciteEPP&amp;" ans")))</f>
        <v/>
      </c>
      <c r="P206" s="43" t="str">
        <f aca="false">IF(OR($B206="",$H206=""),"",IF($N206="",EDATE($H206,DelaiPremierEPP),IF(AND(ReglesTransitoires="Oui",EDATE($N206,AnciennePeriodiciteEP*12)&lt;DateVigueur),EDATE($N206,AnciennePeriodiciteEP*12),EDATE($N206,PeriodiciteEPP*12))))</f>
        <v/>
      </c>
      <c r="Q206" s="40"/>
      <c r="R206" s="45" t="str">
        <f aca="false">IF(OR($P206="",AND($I206&lt;&gt;"",$I206&lt;=DateRef)),"",$P206-DateRef)</f>
        <v/>
      </c>
      <c r="S206" s="42" t="str">
        <f aca="false">IF($B206="","",IF(AND($I206&lt;&gt;"",$I206&lt;=DateRef),"Sorti",IF($H206="","À compléter",IF(AND($Q206&lt;&gt;"",$Q206&gt;=DateRef,$Q206&lt;=$P206),"Planifié",IF($R206&lt;0,"En retard",IF($R206&lt;=SeuilAlerteEPP,"À planifier","À jour"))))))</f>
        <v/>
      </c>
      <c r="T206" s="46" t="str">
        <f aca="false">IF(OR($B206="",$S206="Sorti"),"",MID(IF($H206=""," | Date d'embauche manquante","")&amp;IF(AND($K206="Plus d'un an",$N206="")," | Précédent entretien à renseigner (ancienneté &gt; 1 an)","")&amp;IF($O206="Retard antérieur à la réforme"," | Ancien délai de 2 ans expiré avant la réforme","")&amp;IF(AND($N206&lt;&gt;"",$H206&lt;&gt;"",$N206&lt;$H206)," | Entretien antérieur à l'embauche ?","")&amp;IF(AND($N206&lt;&gt;"",$N206&gt;DateRef)," | Entretien daté dans le futur ?","")&amp;IF(AND($Q206&lt;&gt;"",$P206&lt;&gt;"",$Q206&gt;$P206)," | Date prévue après l'échéance","")&amp;IF(AND($Q206&lt;&gt;"",$Q206&lt;DateRef,OR($N206="",$N206&lt;$Q206))," | Entretien prévu passé : le consigner au Journal","")&amp;IF(AND($G206&lt;&gt;"",$X206="",YEAR(DateRef)-YEAR($G206)&gt;=AgeMiCarriere-1,YEAR(DateRef)-YEAR($G206)&lt;=AgeMiCarriere+1)," | Visite de mi-carrière à vérifier",""),4,1000))</f>
        <v/>
      </c>
      <c r="U206" s="39"/>
      <c r="V206" s="40"/>
      <c r="W206" s="42" t="str">
        <f aca="false">IF(OR($B206="",$V206=""),"",IF(AND($I206&lt;&gt;"",$I206&lt;=DateRef),"",IF(AND($N206&lt;&gt;"",$N206&gt;=$V206),"Réalisé",IF(AND($N206&lt;&gt;"",$N206&gt;=EDATE($V206,-FenetreRetour)),"Dispensé (EPP récent)",IF($V206&gt;DateRef,"À prévoir à la reprise","À proposer (reprise passée)")))))</f>
        <v/>
      </c>
      <c r="X206" s="40"/>
      <c r="Y206" s="43" t="str">
        <f aca="false">IF(OR($B206="",$X206=""),"",EDATE($X206,DelaiMiCarriere))</f>
        <v/>
      </c>
      <c r="Z206" s="42" t="str">
        <f aca="false">IF(OR($B206="",$X206=""),"",IF(AND($I206&lt;&gt;"",$I206&lt;=DateRef),"",IF(AND($N206&lt;&gt;"",$N206&gt;=$X206),"Réalisé",IF($Y206&lt;DateRef,"En retard","À planifier"))))</f>
        <v/>
      </c>
      <c r="AA206" s="47" t="str">
        <f aca="false">IF(OR($B206="",$G206=""),"",IF($G206&gt;DateRef,"",DATEDIF($G206,DateRef,"y")))</f>
        <v/>
      </c>
      <c r="AB206" s="43" t="str">
        <f aca="false">IF(OR($B206="",$G206=""),"",EDATE($G206,AgeFinCarriere*12))</f>
        <v/>
      </c>
      <c r="AC206" s="42" t="str">
        <f aca="false">IF(OR($B206="",$G206="",$H206=""),"",IF(AND($I206&lt;&gt;"",$I206&lt;=DateRef),"",IF($AB206&lt;DateVigueur,"Non concerné",IF(AND($N206&lt;&gt;"",$N206&gt;=MAX(EDATE($AB206,-FenetreFinCarriere*12),DateVigueur),$N206&lt;=$AB206),"Réalisé",IF(DateRef&gt;$AB206,"Non réalisé",IF(AND($Q206&lt;&gt;"",$Q206&gt;=EDATE($AB206,-FenetreFinCarriere*12),$Q206&lt;=$AB206),"Planifié dans la fenêtre",IF(AND(MAX($P206,DateRef)&gt;=EDATE($AB206,-FenetreFinCarriere*12),MAX($P206,DateRef)&lt;=$AB206),"Prochain EPP dans la fenêtre",IF(MAX($P206,DateRef)&gt;$AB206,"À programmer avant 60 ans",""))))))))</f>
        <v/>
      </c>
      <c r="AD206" s="40"/>
      <c r="AE206" s="43" t="str">
        <f aca="false">IF(OR($B206="",$H206="",AND($I206&lt;&gt;"",$I206&lt;=DateRef)),"",MAX($H206,$AD206,IF($A206="",0,SUMPRODUCT(MAX((Journal!$A$6:$A$1005=$A206)*((Journal!$D$6:$D$1005=TypeEDL)+(Journal!$D$6:$D$1005=TypeBilan6))*Journal!$C$6:$C$1005)))))</f>
        <v/>
      </c>
      <c r="AF206" s="43" t="str">
        <f aca="false">IF($AE206="","",IF(AND(ReglesTransitoires="Oui",EDATE($AE206,AnciennePeriodiciteEDL*12)&lt;DateVigueur),EDATE($AE206,AnciennePeriodiciteEDL*12),EDATE($AE206,PeriodiciteEDL*12)))</f>
        <v/>
      </c>
      <c r="AG206" s="42" t="str">
        <f aca="false">IF($AF206="","",IF(AND($I206&lt;&gt;"",$I206&lt;=DateRef),"",IF($AF206&lt;DateRef,"En retard",IF($AF206-DateRef&lt;=SeuilAlerteEDL,"À prévoir","À jour"))))</f>
        <v/>
      </c>
      <c r="AH206" s="39"/>
      <c r="AI206" s="39"/>
      <c r="AJ206" s="42" t="str">
        <f aca="false">IF(OR($B206="",$H206=""),"",IF(AND($I206&lt;&gt;"",$I206&lt;=DateRef),"",IF(Effectif&lt;SeuilEffectif,"Non concerné (&lt; "&amp;SeuilEffectif&amp;" salariés)",IF($AH206="Oui","Pas de risque",IF(AND(OR($AI206="Non",$S206="En retard"),$AH206="Non"),"Risque abondement",IF(OR($AI206="Non",$S206="En retard"),"À vérifier (formation ?)",IF($AI206="Oui","Pas de risque","À compléter")))))))</f>
        <v/>
      </c>
      <c r="AK206" s="39"/>
    </row>
    <row r="207" customFormat="false" ht="15" hidden="false" customHeight="false" outlineLevel="0" collapsed="false">
      <c r="A207" s="39"/>
      <c r="B207" s="39"/>
      <c r="C207" s="39"/>
      <c r="D207" s="39"/>
      <c r="E207" s="39"/>
      <c r="F207" s="39"/>
      <c r="G207" s="40"/>
      <c r="H207" s="40"/>
      <c r="I207" s="40"/>
      <c r="J207" s="41" t="str">
        <f aca="false">IF(OR($B207="",$H207=""),"",IF($H207&gt;DateRef,0,YEARFRAC($H207,DateRef,1)))</f>
        <v/>
      </c>
      <c r="K207" s="42" t="str">
        <f aca="false">IF(OR($B207="",$H207=""),"",IF(EDATE($H207,12)&lt;=DateRef,"Plus d'un an","Moins d'un an"))</f>
        <v/>
      </c>
      <c r="L207" s="40"/>
      <c r="M207" s="43" t="str">
        <f aca="false">IF(OR($B207="",$A207=""),"",IF(SUMPRODUCT(MAX((Journal!$A$6:$A$1005=$A207)*Journal!$C$6:$C$1005))=0,"",SUMPRODUCT(MAX((Journal!$A$6:$A$1005=$A207)*Journal!$C$6:$C$1005))))</f>
        <v/>
      </c>
      <c r="N207" s="43" t="str">
        <f aca="false">IF($B207="","",IF(MAX($L207,$M207)=0,"",MAX($L207,$M207)))</f>
        <v/>
      </c>
      <c r="O207" s="44" t="str">
        <f aca="false">IF(OR($B207="",$H207=""),"",IF($N207="",IF(EDATE($H207,DelaiPremierEPP)&gt;DateRef,"1er EPP (1re année)","Aucun entretien renseigné"),IF(AND(ReglesTransitoires="Oui",EDATE($N207,AnciennePeriodiciteEP*12)&lt;DateVigueur),"Retard antérieur à la réforme","Périodicité "&amp;PeriodiciteEPP&amp;" ans")))</f>
        <v/>
      </c>
      <c r="P207" s="43" t="str">
        <f aca="false">IF(OR($B207="",$H207=""),"",IF($N207="",EDATE($H207,DelaiPremierEPP),IF(AND(ReglesTransitoires="Oui",EDATE($N207,AnciennePeriodiciteEP*12)&lt;DateVigueur),EDATE($N207,AnciennePeriodiciteEP*12),EDATE($N207,PeriodiciteEPP*12))))</f>
        <v/>
      </c>
      <c r="Q207" s="40"/>
      <c r="R207" s="45" t="str">
        <f aca="false">IF(OR($P207="",AND($I207&lt;&gt;"",$I207&lt;=DateRef)),"",$P207-DateRef)</f>
        <v/>
      </c>
      <c r="S207" s="42" t="str">
        <f aca="false">IF($B207="","",IF(AND($I207&lt;&gt;"",$I207&lt;=DateRef),"Sorti",IF($H207="","À compléter",IF(AND($Q207&lt;&gt;"",$Q207&gt;=DateRef,$Q207&lt;=$P207),"Planifié",IF($R207&lt;0,"En retard",IF($R207&lt;=SeuilAlerteEPP,"À planifier","À jour"))))))</f>
        <v/>
      </c>
      <c r="T207" s="46" t="str">
        <f aca="false">IF(OR($B207="",$S207="Sorti"),"",MID(IF($H207=""," | Date d'embauche manquante","")&amp;IF(AND($K207="Plus d'un an",$N207="")," | Précédent entretien à renseigner (ancienneté &gt; 1 an)","")&amp;IF($O207="Retard antérieur à la réforme"," | Ancien délai de 2 ans expiré avant la réforme","")&amp;IF(AND($N207&lt;&gt;"",$H207&lt;&gt;"",$N207&lt;$H207)," | Entretien antérieur à l'embauche ?","")&amp;IF(AND($N207&lt;&gt;"",$N207&gt;DateRef)," | Entretien daté dans le futur ?","")&amp;IF(AND($Q207&lt;&gt;"",$P207&lt;&gt;"",$Q207&gt;$P207)," | Date prévue après l'échéance","")&amp;IF(AND($Q207&lt;&gt;"",$Q207&lt;DateRef,OR($N207="",$N207&lt;$Q207))," | Entretien prévu passé : le consigner au Journal","")&amp;IF(AND($G207&lt;&gt;"",$X207="",YEAR(DateRef)-YEAR($G207)&gt;=AgeMiCarriere-1,YEAR(DateRef)-YEAR($G207)&lt;=AgeMiCarriere+1)," | Visite de mi-carrière à vérifier",""),4,1000))</f>
        <v/>
      </c>
      <c r="U207" s="39"/>
      <c r="V207" s="40"/>
      <c r="W207" s="42" t="str">
        <f aca="false">IF(OR($B207="",$V207=""),"",IF(AND($I207&lt;&gt;"",$I207&lt;=DateRef),"",IF(AND($N207&lt;&gt;"",$N207&gt;=$V207),"Réalisé",IF(AND($N207&lt;&gt;"",$N207&gt;=EDATE($V207,-FenetreRetour)),"Dispensé (EPP récent)",IF($V207&gt;DateRef,"À prévoir à la reprise","À proposer (reprise passée)")))))</f>
        <v/>
      </c>
      <c r="X207" s="40"/>
      <c r="Y207" s="43" t="str">
        <f aca="false">IF(OR($B207="",$X207=""),"",EDATE($X207,DelaiMiCarriere))</f>
        <v/>
      </c>
      <c r="Z207" s="42" t="str">
        <f aca="false">IF(OR($B207="",$X207=""),"",IF(AND($I207&lt;&gt;"",$I207&lt;=DateRef),"",IF(AND($N207&lt;&gt;"",$N207&gt;=$X207),"Réalisé",IF($Y207&lt;DateRef,"En retard","À planifier"))))</f>
        <v/>
      </c>
      <c r="AA207" s="47" t="str">
        <f aca="false">IF(OR($B207="",$G207=""),"",IF($G207&gt;DateRef,"",DATEDIF($G207,DateRef,"y")))</f>
        <v/>
      </c>
      <c r="AB207" s="43" t="str">
        <f aca="false">IF(OR($B207="",$G207=""),"",EDATE($G207,AgeFinCarriere*12))</f>
        <v/>
      </c>
      <c r="AC207" s="42" t="str">
        <f aca="false">IF(OR($B207="",$G207="",$H207=""),"",IF(AND($I207&lt;&gt;"",$I207&lt;=DateRef),"",IF($AB207&lt;DateVigueur,"Non concerné",IF(AND($N207&lt;&gt;"",$N207&gt;=MAX(EDATE($AB207,-FenetreFinCarriere*12),DateVigueur),$N207&lt;=$AB207),"Réalisé",IF(DateRef&gt;$AB207,"Non réalisé",IF(AND($Q207&lt;&gt;"",$Q207&gt;=EDATE($AB207,-FenetreFinCarriere*12),$Q207&lt;=$AB207),"Planifié dans la fenêtre",IF(AND(MAX($P207,DateRef)&gt;=EDATE($AB207,-FenetreFinCarriere*12),MAX($P207,DateRef)&lt;=$AB207),"Prochain EPP dans la fenêtre",IF(MAX($P207,DateRef)&gt;$AB207,"À programmer avant 60 ans",""))))))))</f>
        <v/>
      </c>
      <c r="AD207" s="40"/>
      <c r="AE207" s="43" t="str">
        <f aca="false">IF(OR($B207="",$H207="",AND($I207&lt;&gt;"",$I207&lt;=DateRef)),"",MAX($H207,$AD207,IF($A207="",0,SUMPRODUCT(MAX((Journal!$A$6:$A$1005=$A207)*((Journal!$D$6:$D$1005=TypeEDL)+(Journal!$D$6:$D$1005=TypeBilan6))*Journal!$C$6:$C$1005)))))</f>
        <v/>
      </c>
      <c r="AF207" s="43" t="str">
        <f aca="false">IF($AE207="","",IF(AND(ReglesTransitoires="Oui",EDATE($AE207,AnciennePeriodiciteEDL*12)&lt;DateVigueur),EDATE($AE207,AnciennePeriodiciteEDL*12),EDATE($AE207,PeriodiciteEDL*12)))</f>
        <v/>
      </c>
      <c r="AG207" s="42" t="str">
        <f aca="false">IF($AF207="","",IF(AND($I207&lt;&gt;"",$I207&lt;=DateRef),"",IF($AF207&lt;DateRef,"En retard",IF($AF207-DateRef&lt;=SeuilAlerteEDL,"À prévoir","À jour"))))</f>
        <v/>
      </c>
      <c r="AH207" s="39"/>
      <c r="AI207" s="39"/>
      <c r="AJ207" s="42" t="str">
        <f aca="false">IF(OR($B207="",$H207=""),"",IF(AND($I207&lt;&gt;"",$I207&lt;=DateRef),"",IF(Effectif&lt;SeuilEffectif,"Non concerné (&lt; "&amp;SeuilEffectif&amp;" salariés)",IF($AH207="Oui","Pas de risque",IF(AND(OR($AI207="Non",$S207="En retard"),$AH207="Non"),"Risque abondement",IF(OR($AI207="Non",$S207="En retard"),"À vérifier (formation ?)",IF($AI207="Oui","Pas de risque","À compléter")))))))</f>
        <v/>
      </c>
      <c r="AK207" s="39"/>
    </row>
    <row r="208" customFormat="false" ht="15" hidden="false" customHeight="false" outlineLevel="0" collapsed="false">
      <c r="A208" s="39"/>
      <c r="B208" s="39"/>
      <c r="C208" s="39"/>
      <c r="D208" s="39"/>
      <c r="E208" s="39"/>
      <c r="F208" s="39"/>
      <c r="G208" s="40"/>
      <c r="H208" s="40"/>
      <c r="I208" s="40"/>
      <c r="J208" s="41" t="str">
        <f aca="false">IF(OR($B208="",$H208=""),"",IF($H208&gt;DateRef,0,YEARFRAC($H208,DateRef,1)))</f>
        <v/>
      </c>
      <c r="K208" s="42" t="str">
        <f aca="false">IF(OR($B208="",$H208=""),"",IF(EDATE($H208,12)&lt;=DateRef,"Plus d'un an","Moins d'un an"))</f>
        <v/>
      </c>
      <c r="L208" s="40"/>
      <c r="M208" s="43" t="str">
        <f aca="false">IF(OR($B208="",$A208=""),"",IF(SUMPRODUCT(MAX((Journal!$A$6:$A$1005=$A208)*Journal!$C$6:$C$1005))=0,"",SUMPRODUCT(MAX((Journal!$A$6:$A$1005=$A208)*Journal!$C$6:$C$1005))))</f>
        <v/>
      </c>
      <c r="N208" s="43" t="str">
        <f aca="false">IF($B208="","",IF(MAX($L208,$M208)=0,"",MAX($L208,$M208)))</f>
        <v/>
      </c>
      <c r="O208" s="44" t="str">
        <f aca="false">IF(OR($B208="",$H208=""),"",IF($N208="",IF(EDATE($H208,DelaiPremierEPP)&gt;DateRef,"1er EPP (1re année)","Aucun entretien renseigné"),IF(AND(ReglesTransitoires="Oui",EDATE($N208,AnciennePeriodiciteEP*12)&lt;DateVigueur),"Retard antérieur à la réforme","Périodicité "&amp;PeriodiciteEPP&amp;" ans")))</f>
        <v/>
      </c>
      <c r="P208" s="43" t="str">
        <f aca="false">IF(OR($B208="",$H208=""),"",IF($N208="",EDATE($H208,DelaiPremierEPP),IF(AND(ReglesTransitoires="Oui",EDATE($N208,AnciennePeriodiciteEP*12)&lt;DateVigueur),EDATE($N208,AnciennePeriodiciteEP*12),EDATE($N208,PeriodiciteEPP*12))))</f>
        <v/>
      </c>
      <c r="Q208" s="40"/>
      <c r="R208" s="45" t="str">
        <f aca="false">IF(OR($P208="",AND($I208&lt;&gt;"",$I208&lt;=DateRef)),"",$P208-DateRef)</f>
        <v/>
      </c>
      <c r="S208" s="42" t="str">
        <f aca="false">IF($B208="","",IF(AND($I208&lt;&gt;"",$I208&lt;=DateRef),"Sorti",IF($H208="","À compléter",IF(AND($Q208&lt;&gt;"",$Q208&gt;=DateRef,$Q208&lt;=$P208),"Planifié",IF($R208&lt;0,"En retard",IF($R208&lt;=SeuilAlerteEPP,"À planifier","À jour"))))))</f>
        <v/>
      </c>
      <c r="T208" s="46" t="str">
        <f aca="false">IF(OR($B208="",$S208="Sorti"),"",MID(IF($H208=""," | Date d'embauche manquante","")&amp;IF(AND($K208="Plus d'un an",$N208="")," | Précédent entretien à renseigner (ancienneté &gt; 1 an)","")&amp;IF($O208="Retard antérieur à la réforme"," | Ancien délai de 2 ans expiré avant la réforme","")&amp;IF(AND($N208&lt;&gt;"",$H208&lt;&gt;"",$N208&lt;$H208)," | Entretien antérieur à l'embauche ?","")&amp;IF(AND($N208&lt;&gt;"",$N208&gt;DateRef)," | Entretien daté dans le futur ?","")&amp;IF(AND($Q208&lt;&gt;"",$P208&lt;&gt;"",$Q208&gt;$P208)," | Date prévue après l'échéance","")&amp;IF(AND($Q208&lt;&gt;"",$Q208&lt;DateRef,OR($N208="",$N208&lt;$Q208))," | Entretien prévu passé : le consigner au Journal","")&amp;IF(AND($G208&lt;&gt;"",$X208="",YEAR(DateRef)-YEAR($G208)&gt;=AgeMiCarriere-1,YEAR(DateRef)-YEAR($G208)&lt;=AgeMiCarriere+1)," | Visite de mi-carrière à vérifier",""),4,1000))</f>
        <v/>
      </c>
      <c r="U208" s="39"/>
      <c r="V208" s="40"/>
      <c r="W208" s="42" t="str">
        <f aca="false">IF(OR($B208="",$V208=""),"",IF(AND($I208&lt;&gt;"",$I208&lt;=DateRef),"",IF(AND($N208&lt;&gt;"",$N208&gt;=$V208),"Réalisé",IF(AND($N208&lt;&gt;"",$N208&gt;=EDATE($V208,-FenetreRetour)),"Dispensé (EPP récent)",IF($V208&gt;DateRef,"À prévoir à la reprise","À proposer (reprise passée)")))))</f>
        <v/>
      </c>
      <c r="X208" s="40"/>
      <c r="Y208" s="43" t="str">
        <f aca="false">IF(OR($B208="",$X208=""),"",EDATE($X208,DelaiMiCarriere))</f>
        <v/>
      </c>
      <c r="Z208" s="42" t="str">
        <f aca="false">IF(OR($B208="",$X208=""),"",IF(AND($I208&lt;&gt;"",$I208&lt;=DateRef),"",IF(AND($N208&lt;&gt;"",$N208&gt;=$X208),"Réalisé",IF($Y208&lt;DateRef,"En retard","À planifier"))))</f>
        <v/>
      </c>
      <c r="AA208" s="47" t="str">
        <f aca="false">IF(OR($B208="",$G208=""),"",IF($G208&gt;DateRef,"",DATEDIF($G208,DateRef,"y")))</f>
        <v/>
      </c>
      <c r="AB208" s="43" t="str">
        <f aca="false">IF(OR($B208="",$G208=""),"",EDATE($G208,AgeFinCarriere*12))</f>
        <v/>
      </c>
      <c r="AC208" s="42" t="str">
        <f aca="false">IF(OR($B208="",$G208="",$H208=""),"",IF(AND($I208&lt;&gt;"",$I208&lt;=DateRef),"",IF($AB208&lt;DateVigueur,"Non concerné",IF(AND($N208&lt;&gt;"",$N208&gt;=MAX(EDATE($AB208,-FenetreFinCarriere*12),DateVigueur),$N208&lt;=$AB208),"Réalisé",IF(DateRef&gt;$AB208,"Non réalisé",IF(AND($Q208&lt;&gt;"",$Q208&gt;=EDATE($AB208,-FenetreFinCarriere*12),$Q208&lt;=$AB208),"Planifié dans la fenêtre",IF(AND(MAX($P208,DateRef)&gt;=EDATE($AB208,-FenetreFinCarriere*12),MAX($P208,DateRef)&lt;=$AB208),"Prochain EPP dans la fenêtre",IF(MAX($P208,DateRef)&gt;$AB208,"À programmer avant 60 ans",""))))))))</f>
        <v/>
      </c>
      <c r="AD208" s="40"/>
      <c r="AE208" s="43" t="str">
        <f aca="false">IF(OR($B208="",$H208="",AND($I208&lt;&gt;"",$I208&lt;=DateRef)),"",MAX($H208,$AD208,IF($A208="",0,SUMPRODUCT(MAX((Journal!$A$6:$A$1005=$A208)*((Journal!$D$6:$D$1005=TypeEDL)+(Journal!$D$6:$D$1005=TypeBilan6))*Journal!$C$6:$C$1005)))))</f>
        <v/>
      </c>
      <c r="AF208" s="43" t="str">
        <f aca="false">IF($AE208="","",IF(AND(ReglesTransitoires="Oui",EDATE($AE208,AnciennePeriodiciteEDL*12)&lt;DateVigueur),EDATE($AE208,AnciennePeriodiciteEDL*12),EDATE($AE208,PeriodiciteEDL*12)))</f>
        <v/>
      </c>
      <c r="AG208" s="42" t="str">
        <f aca="false">IF($AF208="","",IF(AND($I208&lt;&gt;"",$I208&lt;=DateRef),"",IF($AF208&lt;DateRef,"En retard",IF($AF208-DateRef&lt;=SeuilAlerteEDL,"À prévoir","À jour"))))</f>
        <v/>
      </c>
      <c r="AH208" s="39"/>
      <c r="AI208" s="39"/>
      <c r="AJ208" s="42" t="str">
        <f aca="false">IF(OR($B208="",$H208=""),"",IF(AND($I208&lt;&gt;"",$I208&lt;=DateRef),"",IF(Effectif&lt;SeuilEffectif,"Non concerné (&lt; "&amp;SeuilEffectif&amp;" salariés)",IF($AH208="Oui","Pas de risque",IF(AND(OR($AI208="Non",$S208="En retard"),$AH208="Non"),"Risque abondement",IF(OR($AI208="Non",$S208="En retard"),"À vérifier (formation ?)",IF($AI208="Oui","Pas de risque","À compléter")))))))</f>
        <v/>
      </c>
      <c r="AK208" s="39"/>
    </row>
    <row r="209" customFormat="false" ht="15" hidden="false" customHeight="false" outlineLevel="0" collapsed="false">
      <c r="A209" s="39"/>
      <c r="B209" s="39"/>
      <c r="C209" s="39"/>
      <c r="D209" s="39"/>
      <c r="E209" s="39"/>
      <c r="F209" s="39"/>
      <c r="G209" s="40"/>
      <c r="H209" s="40"/>
      <c r="I209" s="40"/>
      <c r="J209" s="41" t="str">
        <f aca="false">IF(OR($B209="",$H209=""),"",IF($H209&gt;DateRef,0,YEARFRAC($H209,DateRef,1)))</f>
        <v/>
      </c>
      <c r="K209" s="42" t="str">
        <f aca="false">IF(OR($B209="",$H209=""),"",IF(EDATE($H209,12)&lt;=DateRef,"Plus d'un an","Moins d'un an"))</f>
        <v/>
      </c>
      <c r="L209" s="40"/>
      <c r="M209" s="43" t="str">
        <f aca="false">IF(OR($B209="",$A209=""),"",IF(SUMPRODUCT(MAX((Journal!$A$6:$A$1005=$A209)*Journal!$C$6:$C$1005))=0,"",SUMPRODUCT(MAX((Journal!$A$6:$A$1005=$A209)*Journal!$C$6:$C$1005))))</f>
        <v/>
      </c>
      <c r="N209" s="43" t="str">
        <f aca="false">IF($B209="","",IF(MAX($L209,$M209)=0,"",MAX($L209,$M209)))</f>
        <v/>
      </c>
      <c r="O209" s="44" t="str">
        <f aca="false">IF(OR($B209="",$H209=""),"",IF($N209="",IF(EDATE($H209,DelaiPremierEPP)&gt;DateRef,"1er EPP (1re année)","Aucun entretien renseigné"),IF(AND(ReglesTransitoires="Oui",EDATE($N209,AnciennePeriodiciteEP*12)&lt;DateVigueur),"Retard antérieur à la réforme","Périodicité "&amp;PeriodiciteEPP&amp;" ans")))</f>
        <v/>
      </c>
      <c r="P209" s="43" t="str">
        <f aca="false">IF(OR($B209="",$H209=""),"",IF($N209="",EDATE($H209,DelaiPremierEPP),IF(AND(ReglesTransitoires="Oui",EDATE($N209,AnciennePeriodiciteEP*12)&lt;DateVigueur),EDATE($N209,AnciennePeriodiciteEP*12),EDATE($N209,PeriodiciteEPP*12))))</f>
        <v/>
      </c>
      <c r="Q209" s="40"/>
      <c r="R209" s="45" t="str">
        <f aca="false">IF(OR($P209="",AND($I209&lt;&gt;"",$I209&lt;=DateRef)),"",$P209-DateRef)</f>
        <v/>
      </c>
      <c r="S209" s="42" t="str">
        <f aca="false">IF($B209="","",IF(AND($I209&lt;&gt;"",$I209&lt;=DateRef),"Sorti",IF($H209="","À compléter",IF(AND($Q209&lt;&gt;"",$Q209&gt;=DateRef,$Q209&lt;=$P209),"Planifié",IF($R209&lt;0,"En retard",IF($R209&lt;=SeuilAlerteEPP,"À planifier","À jour"))))))</f>
        <v/>
      </c>
      <c r="T209" s="46" t="str">
        <f aca="false">IF(OR($B209="",$S209="Sorti"),"",MID(IF($H209=""," | Date d'embauche manquante","")&amp;IF(AND($K209="Plus d'un an",$N209="")," | Précédent entretien à renseigner (ancienneté &gt; 1 an)","")&amp;IF($O209="Retard antérieur à la réforme"," | Ancien délai de 2 ans expiré avant la réforme","")&amp;IF(AND($N209&lt;&gt;"",$H209&lt;&gt;"",$N209&lt;$H209)," | Entretien antérieur à l'embauche ?","")&amp;IF(AND($N209&lt;&gt;"",$N209&gt;DateRef)," | Entretien daté dans le futur ?","")&amp;IF(AND($Q209&lt;&gt;"",$P209&lt;&gt;"",$Q209&gt;$P209)," | Date prévue après l'échéance","")&amp;IF(AND($Q209&lt;&gt;"",$Q209&lt;DateRef,OR($N209="",$N209&lt;$Q209))," | Entretien prévu passé : le consigner au Journal","")&amp;IF(AND($G209&lt;&gt;"",$X209="",YEAR(DateRef)-YEAR($G209)&gt;=AgeMiCarriere-1,YEAR(DateRef)-YEAR($G209)&lt;=AgeMiCarriere+1)," | Visite de mi-carrière à vérifier",""),4,1000))</f>
        <v/>
      </c>
      <c r="U209" s="39"/>
      <c r="V209" s="40"/>
      <c r="W209" s="42" t="str">
        <f aca="false">IF(OR($B209="",$V209=""),"",IF(AND($I209&lt;&gt;"",$I209&lt;=DateRef),"",IF(AND($N209&lt;&gt;"",$N209&gt;=$V209),"Réalisé",IF(AND($N209&lt;&gt;"",$N209&gt;=EDATE($V209,-FenetreRetour)),"Dispensé (EPP récent)",IF($V209&gt;DateRef,"À prévoir à la reprise","À proposer (reprise passée)")))))</f>
        <v/>
      </c>
      <c r="X209" s="40"/>
      <c r="Y209" s="43" t="str">
        <f aca="false">IF(OR($B209="",$X209=""),"",EDATE($X209,DelaiMiCarriere))</f>
        <v/>
      </c>
      <c r="Z209" s="42" t="str">
        <f aca="false">IF(OR($B209="",$X209=""),"",IF(AND($I209&lt;&gt;"",$I209&lt;=DateRef),"",IF(AND($N209&lt;&gt;"",$N209&gt;=$X209),"Réalisé",IF($Y209&lt;DateRef,"En retard","À planifier"))))</f>
        <v/>
      </c>
      <c r="AA209" s="47" t="str">
        <f aca="false">IF(OR($B209="",$G209=""),"",IF($G209&gt;DateRef,"",DATEDIF($G209,DateRef,"y")))</f>
        <v/>
      </c>
      <c r="AB209" s="43" t="str">
        <f aca="false">IF(OR($B209="",$G209=""),"",EDATE($G209,AgeFinCarriere*12))</f>
        <v/>
      </c>
      <c r="AC209" s="42" t="str">
        <f aca="false">IF(OR($B209="",$G209="",$H209=""),"",IF(AND($I209&lt;&gt;"",$I209&lt;=DateRef),"",IF($AB209&lt;DateVigueur,"Non concerné",IF(AND($N209&lt;&gt;"",$N209&gt;=MAX(EDATE($AB209,-FenetreFinCarriere*12),DateVigueur),$N209&lt;=$AB209),"Réalisé",IF(DateRef&gt;$AB209,"Non réalisé",IF(AND($Q209&lt;&gt;"",$Q209&gt;=EDATE($AB209,-FenetreFinCarriere*12),$Q209&lt;=$AB209),"Planifié dans la fenêtre",IF(AND(MAX($P209,DateRef)&gt;=EDATE($AB209,-FenetreFinCarriere*12),MAX($P209,DateRef)&lt;=$AB209),"Prochain EPP dans la fenêtre",IF(MAX($P209,DateRef)&gt;$AB209,"À programmer avant 60 ans",""))))))))</f>
        <v/>
      </c>
      <c r="AD209" s="40"/>
      <c r="AE209" s="43" t="str">
        <f aca="false">IF(OR($B209="",$H209="",AND($I209&lt;&gt;"",$I209&lt;=DateRef)),"",MAX($H209,$AD209,IF($A209="",0,SUMPRODUCT(MAX((Journal!$A$6:$A$1005=$A209)*((Journal!$D$6:$D$1005=TypeEDL)+(Journal!$D$6:$D$1005=TypeBilan6))*Journal!$C$6:$C$1005)))))</f>
        <v/>
      </c>
      <c r="AF209" s="43" t="str">
        <f aca="false">IF($AE209="","",IF(AND(ReglesTransitoires="Oui",EDATE($AE209,AnciennePeriodiciteEDL*12)&lt;DateVigueur),EDATE($AE209,AnciennePeriodiciteEDL*12),EDATE($AE209,PeriodiciteEDL*12)))</f>
        <v/>
      </c>
      <c r="AG209" s="42" t="str">
        <f aca="false">IF($AF209="","",IF(AND($I209&lt;&gt;"",$I209&lt;=DateRef),"",IF($AF209&lt;DateRef,"En retard",IF($AF209-DateRef&lt;=SeuilAlerteEDL,"À prévoir","À jour"))))</f>
        <v/>
      </c>
      <c r="AH209" s="39"/>
      <c r="AI209" s="39"/>
      <c r="AJ209" s="42" t="str">
        <f aca="false">IF(OR($B209="",$H209=""),"",IF(AND($I209&lt;&gt;"",$I209&lt;=DateRef),"",IF(Effectif&lt;SeuilEffectif,"Non concerné (&lt; "&amp;SeuilEffectif&amp;" salariés)",IF($AH209="Oui","Pas de risque",IF(AND(OR($AI209="Non",$S209="En retard"),$AH209="Non"),"Risque abondement",IF(OR($AI209="Non",$S209="En retard"),"À vérifier (formation ?)",IF($AI209="Oui","Pas de risque","À compléter")))))))</f>
        <v/>
      </c>
      <c r="AK209" s="39"/>
    </row>
    <row r="210" customFormat="false" ht="15" hidden="false" customHeight="false" outlineLevel="0" collapsed="false">
      <c r="A210" s="39"/>
      <c r="B210" s="39"/>
      <c r="C210" s="39"/>
      <c r="D210" s="39"/>
      <c r="E210" s="39"/>
      <c r="F210" s="39"/>
      <c r="G210" s="40"/>
      <c r="H210" s="40"/>
      <c r="I210" s="40"/>
      <c r="J210" s="41" t="str">
        <f aca="false">IF(OR($B210="",$H210=""),"",IF($H210&gt;DateRef,0,YEARFRAC($H210,DateRef,1)))</f>
        <v/>
      </c>
      <c r="K210" s="42" t="str">
        <f aca="false">IF(OR($B210="",$H210=""),"",IF(EDATE($H210,12)&lt;=DateRef,"Plus d'un an","Moins d'un an"))</f>
        <v/>
      </c>
      <c r="L210" s="40"/>
      <c r="M210" s="43" t="str">
        <f aca="false">IF(OR($B210="",$A210=""),"",IF(SUMPRODUCT(MAX((Journal!$A$6:$A$1005=$A210)*Journal!$C$6:$C$1005))=0,"",SUMPRODUCT(MAX((Journal!$A$6:$A$1005=$A210)*Journal!$C$6:$C$1005))))</f>
        <v/>
      </c>
      <c r="N210" s="43" t="str">
        <f aca="false">IF($B210="","",IF(MAX($L210,$M210)=0,"",MAX($L210,$M210)))</f>
        <v/>
      </c>
      <c r="O210" s="44" t="str">
        <f aca="false">IF(OR($B210="",$H210=""),"",IF($N210="",IF(EDATE($H210,DelaiPremierEPP)&gt;DateRef,"1er EPP (1re année)","Aucun entretien renseigné"),IF(AND(ReglesTransitoires="Oui",EDATE($N210,AnciennePeriodiciteEP*12)&lt;DateVigueur),"Retard antérieur à la réforme","Périodicité "&amp;PeriodiciteEPP&amp;" ans")))</f>
        <v/>
      </c>
      <c r="P210" s="43" t="str">
        <f aca="false">IF(OR($B210="",$H210=""),"",IF($N210="",EDATE($H210,DelaiPremierEPP),IF(AND(ReglesTransitoires="Oui",EDATE($N210,AnciennePeriodiciteEP*12)&lt;DateVigueur),EDATE($N210,AnciennePeriodiciteEP*12),EDATE($N210,PeriodiciteEPP*12))))</f>
        <v/>
      </c>
      <c r="Q210" s="40"/>
      <c r="R210" s="45" t="str">
        <f aca="false">IF(OR($P210="",AND($I210&lt;&gt;"",$I210&lt;=DateRef)),"",$P210-DateRef)</f>
        <v/>
      </c>
      <c r="S210" s="42" t="str">
        <f aca="false">IF($B210="","",IF(AND($I210&lt;&gt;"",$I210&lt;=DateRef),"Sorti",IF($H210="","À compléter",IF(AND($Q210&lt;&gt;"",$Q210&gt;=DateRef,$Q210&lt;=$P210),"Planifié",IF($R210&lt;0,"En retard",IF($R210&lt;=SeuilAlerteEPP,"À planifier","À jour"))))))</f>
        <v/>
      </c>
      <c r="T210" s="46" t="str">
        <f aca="false">IF(OR($B210="",$S210="Sorti"),"",MID(IF($H210=""," | Date d'embauche manquante","")&amp;IF(AND($K210="Plus d'un an",$N210="")," | Précédent entretien à renseigner (ancienneté &gt; 1 an)","")&amp;IF($O210="Retard antérieur à la réforme"," | Ancien délai de 2 ans expiré avant la réforme","")&amp;IF(AND($N210&lt;&gt;"",$H210&lt;&gt;"",$N210&lt;$H210)," | Entretien antérieur à l'embauche ?","")&amp;IF(AND($N210&lt;&gt;"",$N210&gt;DateRef)," | Entretien daté dans le futur ?","")&amp;IF(AND($Q210&lt;&gt;"",$P210&lt;&gt;"",$Q210&gt;$P210)," | Date prévue après l'échéance","")&amp;IF(AND($Q210&lt;&gt;"",$Q210&lt;DateRef,OR($N210="",$N210&lt;$Q210))," | Entretien prévu passé : le consigner au Journal","")&amp;IF(AND($G210&lt;&gt;"",$X210="",YEAR(DateRef)-YEAR($G210)&gt;=AgeMiCarriere-1,YEAR(DateRef)-YEAR($G210)&lt;=AgeMiCarriere+1)," | Visite de mi-carrière à vérifier",""),4,1000))</f>
        <v/>
      </c>
      <c r="U210" s="39"/>
      <c r="V210" s="40"/>
      <c r="W210" s="42" t="str">
        <f aca="false">IF(OR($B210="",$V210=""),"",IF(AND($I210&lt;&gt;"",$I210&lt;=DateRef),"",IF(AND($N210&lt;&gt;"",$N210&gt;=$V210),"Réalisé",IF(AND($N210&lt;&gt;"",$N210&gt;=EDATE($V210,-FenetreRetour)),"Dispensé (EPP récent)",IF($V210&gt;DateRef,"À prévoir à la reprise","À proposer (reprise passée)")))))</f>
        <v/>
      </c>
      <c r="X210" s="40"/>
      <c r="Y210" s="43" t="str">
        <f aca="false">IF(OR($B210="",$X210=""),"",EDATE($X210,DelaiMiCarriere))</f>
        <v/>
      </c>
      <c r="Z210" s="42" t="str">
        <f aca="false">IF(OR($B210="",$X210=""),"",IF(AND($I210&lt;&gt;"",$I210&lt;=DateRef),"",IF(AND($N210&lt;&gt;"",$N210&gt;=$X210),"Réalisé",IF($Y210&lt;DateRef,"En retard","À planifier"))))</f>
        <v/>
      </c>
      <c r="AA210" s="47" t="str">
        <f aca="false">IF(OR($B210="",$G210=""),"",IF($G210&gt;DateRef,"",DATEDIF($G210,DateRef,"y")))</f>
        <v/>
      </c>
      <c r="AB210" s="43" t="str">
        <f aca="false">IF(OR($B210="",$G210=""),"",EDATE($G210,AgeFinCarriere*12))</f>
        <v/>
      </c>
      <c r="AC210" s="42" t="str">
        <f aca="false">IF(OR($B210="",$G210="",$H210=""),"",IF(AND($I210&lt;&gt;"",$I210&lt;=DateRef),"",IF($AB210&lt;DateVigueur,"Non concerné",IF(AND($N210&lt;&gt;"",$N210&gt;=MAX(EDATE($AB210,-FenetreFinCarriere*12),DateVigueur),$N210&lt;=$AB210),"Réalisé",IF(DateRef&gt;$AB210,"Non réalisé",IF(AND($Q210&lt;&gt;"",$Q210&gt;=EDATE($AB210,-FenetreFinCarriere*12),$Q210&lt;=$AB210),"Planifié dans la fenêtre",IF(AND(MAX($P210,DateRef)&gt;=EDATE($AB210,-FenetreFinCarriere*12),MAX($P210,DateRef)&lt;=$AB210),"Prochain EPP dans la fenêtre",IF(MAX($P210,DateRef)&gt;$AB210,"À programmer avant 60 ans",""))))))))</f>
        <v/>
      </c>
      <c r="AD210" s="40"/>
      <c r="AE210" s="43" t="str">
        <f aca="false">IF(OR($B210="",$H210="",AND($I210&lt;&gt;"",$I210&lt;=DateRef)),"",MAX($H210,$AD210,IF($A210="",0,SUMPRODUCT(MAX((Journal!$A$6:$A$1005=$A210)*((Journal!$D$6:$D$1005=TypeEDL)+(Journal!$D$6:$D$1005=TypeBilan6))*Journal!$C$6:$C$1005)))))</f>
        <v/>
      </c>
      <c r="AF210" s="43" t="str">
        <f aca="false">IF($AE210="","",IF(AND(ReglesTransitoires="Oui",EDATE($AE210,AnciennePeriodiciteEDL*12)&lt;DateVigueur),EDATE($AE210,AnciennePeriodiciteEDL*12),EDATE($AE210,PeriodiciteEDL*12)))</f>
        <v/>
      </c>
      <c r="AG210" s="42" t="str">
        <f aca="false">IF($AF210="","",IF(AND($I210&lt;&gt;"",$I210&lt;=DateRef),"",IF($AF210&lt;DateRef,"En retard",IF($AF210-DateRef&lt;=SeuilAlerteEDL,"À prévoir","À jour"))))</f>
        <v/>
      </c>
      <c r="AH210" s="39"/>
      <c r="AI210" s="39"/>
      <c r="AJ210" s="42" t="str">
        <f aca="false">IF(OR($B210="",$H210=""),"",IF(AND($I210&lt;&gt;"",$I210&lt;=DateRef),"",IF(Effectif&lt;SeuilEffectif,"Non concerné (&lt; "&amp;SeuilEffectif&amp;" salariés)",IF($AH210="Oui","Pas de risque",IF(AND(OR($AI210="Non",$S210="En retard"),$AH210="Non"),"Risque abondement",IF(OR($AI210="Non",$S210="En retard"),"À vérifier (formation ?)",IF($AI210="Oui","Pas de risque","À compléter")))))))</f>
        <v/>
      </c>
      <c r="AK210" s="39"/>
    </row>
    <row r="211" customFormat="false" ht="15" hidden="false" customHeight="false" outlineLevel="0" collapsed="false">
      <c r="A211" s="39"/>
      <c r="B211" s="39"/>
      <c r="C211" s="39"/>
      <c r="D211" s="39"/>
      <c r="E211" s="39"/>
      <c r="F211" s="39"/>
      <c r="G211" s="40"/>
      <c r="H211" s="40"/>
      <c r="I211" s="40"/>
      <c r="J211" s="41" t="str">
        <f aca="false">IF(OR($B211="",$H211=""),"",IF($H211&gt;DateRef,0,YEARFRAC($H211,DateRef,1)))</f>
        <v/>
      </c>
      <c r="K211" s="42" t="str">
        <f aca="false">IF(OR($B211="",$H211=""),"",IF(EDATE($H211,12)&lt;=DateRef,"Plus d'un an","Moins d'un an"))</f>
        <v/>
      </c>
      <c r="L211" s="40"/>
      <c r="M211" s="43" t="str">
        <f aca="false">IF(OR($B211="",$A211=""),"",IF(SUMPRODUCT(MAX((Journal!$A$6:$A$1005=$A211)*Journal!$C$6:$C$1005))=0,"",SUMPRODUCT(MAX((Journal!$A$6:$A$1005=$A211)*Journal!$C$6:$C$1005))))</f>
        <v/>
      </c>
      <c r="N211" s="43" t="str">
        <f aca="false">IF($B211="","",IF(MAX($L211,$M211)=0,"",MAX($L211,$M211)))</f>
        <v/>
      </c>
      <c r="O211" s="44" t="str">
        <f aca="false">IF(OR($B211="",$H211=""),"",IF($N211="",IF(EDATE($H211,DelaiPremierEPP)&gt;DateRef,"1er EPP (1re année)","Aucun entretien renseigné"),IF(AND(ReglesTransitoires="Oui",EDATE($N211,AnciennePeriodiciteEP*12)&lt;DateVigueur),"Retard antérieur à la réforme","Périodicité "&amp;PeriodiciteEPP&amp;" ans")))</f>
        <v/>
      </c>
      <c r="P211" s="43" t="str">
        <f aca="false">IF(OR($B211="",$H211=""),"",IF($N211="",EDATE($H211,DelaiPremierEPP),IF(AND(ReglesTransitoires="Oui",EDATE($N211,AnciennePeriodiciteEP*12)&lt;DateVigueur),EDATE($N211,AnciennePeriodiciteEP*12),EDATE($N211,PeriodiciteEPP*12))))</f>
        <v/>
      </c>
      <c r="Q211" s="40"/>
      <c r="R211" s="45" t="str">
        <f aca="false">IF(OR($P211="",AND($I211&lt;&gt;"",$I211&lt;=DateRef)),"",$P211-DateRef)</f>
        <v/>
      </c>
      <c r="S211" s="42" t="str">
        <f aca="false">IF($B211="","",IF(AND($I211&lt;&gt;"",$I211&lt;=DateRef),"Sorti",IF($H211="","À compléter",IF(AND($Q211&lt;&gt;"",$Q211&gt;=DateRef,$Q211&lt;=$P211),"Planifié",IF($R211&lt;0,"En retard",IF($R211&lt;=SeuilAlerteEPP,"À planifier","À jour"))))))</f>
        <v/>
      </c>
      <c r="T211" s="46" t="str">
        <f aca="false">IF(OR($B211="",$S211="Sorti"),"",MID(IF($H211=""," | Date d'embauche manquante","")&amp;IF(AND($K211="Plus d'un an",$N211="")," | Précédent entretien à renseigner (ancienneté &gt; 1 an)","")&amp;IF($O211="Retard antérieur à la réforme"," | Ancien délai de 2 ans expiré avant la réforme","")&amp;IF(AND($N211&lt;&gt;"",$H211&lt;&gt;"",$N211&lt;$H211)," | Entretien antérieur à l'embauche ?","")&amp;IF(AND($N211&lt;&gt;"",$N211&gt;DateRef)," | Entretien daté dans le futur ?","")&amp;IF(AND($Q211&lt;&gt;"",$P211&lt;&gt;"",$Q211&gt;$P211)," | Date prévue après l'échéance","")&amp;IF(AND($Q211&lt;&gt;"",$Q211&lt;DateRef,OR($N211="",$N211&lt;$Q211))," | Entretien prévu passé : le consigner au Journal","")&amp;IF(AND($G211&lt;&gt;"",$X211="",YEAR(DateRef)-YEAR($G211)&gt;=AgeMiCarriere-1,YEAR(DateRef)-YEAR($G211)&lt;=AgeMiCarriere+1)," | Visite de mi-carrière à vérifier",""),4,1000))</f>
        <v/>
      </c>
      <c r="U211" s="39"/>
      <c r="V211" s="40"/>
      <c r="W211" s="42" t="str">
        <f aca="false">IF(OR($B211="",$V211=""),"",IF(AND($I211&lt;&gt;"",$I211&lt;=DateRef),"",IF(AND($N211&lt;&gt;"",$N211&gt;=$V211),"Réalisé",IF(AND($N211&lt;&gt;"",$N211&gt;=EDATE($V211,-FenetreRetour)),"Dispensé (EPP récent)",IF($V211&gt;DateRef,"À prévoir à la reprise","À proposer (reprise passée)")))))</f>
        <v/>
      </c>
      <c r="X211" s="40"/>
      <c r="Y211" s="43" t="str">
        <f aca="false">IF(OR($B211="",$X211=""),"",EDATE($X211,DelaiMiCarriere))</f>
        <v/>
      </c>
      <c r="Z211" s="42" t="str">
        <f aca="false">IF(OR($B211="",$X211=""),"",IF(AND($I211&lt;&gt;"",$I211&lt;=DateRef),"",IF(AND($N211&lt;&gt;"",$N211&gt;=$X211),"Réalisé",IF($Y211&lt;DateRef,"En retard","À planifier"))))</f>
        <v/>
      </c>
      <c r="AA211" s="47" t="str">
        <f aca="false">IF(OR($B211="",$G211=""),"",IF($G211&gt;DateRef,"",DATEDIF($G211,DateRef,"y")))</f>
        <v/>
      </c>
      <c r="AB211" s="43" t="str">
        <f aca="false">IF(OR($B211="",$G211=""),"",EDATE($G211,AgeFinCarriere*12))</f>
        <v/>
      </c>
      <c r="AC211" s="42" t="str">
        <f aca="false">IF(OR($B211="",$G211="",$H211=""),"",IF(AND($I211&lt;&gt;"",$I211&lt;=DateRef),"",IF($AB211&lt;DateVigueur,"Non concerné",IF(AND($N211&lt;&gt;"",$N211&gt;=MAX(EDATE($AB211,-FenetreFinCarriere*12),DateVigueur),$N211&lt;=$AB211),"Réalisé",IF(DateRef&gt;$AB211,"Non réalisé",IF(AND($Q211&lt;&gt;"",$Q211&gt;=EDATE($AB211,-FenetreFinCarriere*12),$Q211&lt;=$AB211),"Planifié dans la fenêtre",IF(AND(MAX($P211,DateRef)&gt;=EDATE($AB211,-FenetreFinCarriere*12),MAX($P211,DateRef)&lt;=$AB211),"Prochain EPP dans la fenêtre",IF(MAX($P211,DateRef)&gt;$AB211,"À programmer avant 60 ans",""))))))))</f>
        <v/>
      </c>
      <c r="AD211" s="40"/>
      <c r="AE211" s="43" t="str">
        <f aca="false">IF(OR($B211="",$H211="",AND($I211&lt;&gt;"",$I211&lt;=DateRef)),"",MAX($H211,$AD211,IF($A211="",0,SUMPRODUCT(MAX((Journal!$A$6:$A$1005=$A211)*((Journal!$D$6:$D$1005=TypeEDL)+(Journal!$D$6:$D$1005=TypeBilan6))*Journal!$C$6:$C$1005)))))</f>
        <v/>
      </c>
      <c r="AF211" s="43" t="str">
        <f aca="false">IF($AE211="","",IF(AND(ReglesTransitoires="Oui",EDATE($AE211,AnciennePeriodiciteEDL*12)&lt;DateVigueur),EDATE($AE211,AnciennePeriodiciteEDL*12),EDATE($AE211,PeriodiciteEDL*12)))</f>
        <v/>
      </c>
      <c r="AG211" s="42" t="str">
        <f aca="false">IF($AF211="","",IF(AND($I211&lt;&gt;"",$I211&lt;=DateRef),"",IF($AF211&lt;DateRef,"En retard",IF($AF211-DateRef&lt;=SeuilAlerteEDL,"À prévoir","À jour"))))</f>
        <v/>
      </c>
      <c r="AH211" s="39"/>
      <c r="AI211" s="39"/>
      <c r="AJ211" s="42" t="str">
        <f aca="false">IF(OR($B211="",$H211=""),"",IF(AND($I211&lt;&gt;"",$I211&lt;=DateRef),"",IF(Effectif&lt;SeuilEffectif,"Non concerné (&lt; "&amp;SeuilEffectif&amp;" salariés)",IF($AH211="Oui","Pas de risque",IF(AND(OR($AI211="Non",$S211="En retard"),$AH211="Non"),"Risque abondement",IF(OR($AI211="Non",$S211="En retard"),"À vérifier (formation ?)",IF($AI211="Oui","Pas de risque","À compléter")))))))</f>
        <v/>
      </c>
      <c r="AK211" s="39"/>
    </row>
    <row r="212" customFormat="false" ht="15" hidden="false" customHeight="false" outlineLevel="0" collapsed="false">
      <c r="A212" s="39"/>
      <c r="B212" s="39"/>
      <c r="C212" s="39"/>
      <c r="D212" s="39"/>
      <c r="E212" s="39"/>
      <c r="F212" s="39"/>
      <c r="G212" s="40"/>
      <c r="H212" s="40"/>
      <c r="I212" s="40"/>
      <c r="J212" s="41" t="str">
        <f aca="false">IF(OR($B212="",$H212=""),"",IF($H212&gt;DateRef,0,YEARFRAC($H212,DateRef,1)))</f>
        <v/>
      </c>
      <c r="K212" s="42" t="str">
        <f aca="false">IF(OR($B212="",$H212=""),"",IF(EDATE($H212,12)&lt;=DateRef,"Plus d'un an","Moins d'un an"))</f>
        <v/>
      </c>
      <c r="L212" s="40"/>
      <c r="M212" s="43" t="str">
        <f aca="false">IF(OR($B212="",$A212=""),"",IF(SUMPRODUCT(MAX((Journal!$A$6:$A$1005=$A212)*Journal!$C$6:$C$1005))=0,"",SUMPRODUCT(MAX((Journal!$A$6:$A$1005=$A212)*Journal!$C$6:$C$1005))))</f>
        <v/>
      </c>
      <c r="N212" s="43" t="str">
        <f aca="false">IF($B212="","",IF(MAX($L212,$M212)=0,"",MAX($L212,$M212)))</f>
        <v/>
      </c>
      <c r="O212" s="44" t="str">
        <f aca="false">IF(OR($B212="",$H212=""),"",IF($N212="",IF(EDATE($H212,DelaiPremierEPP)&gt;DateRef,"1er EPP (1re année)","Aucun entretien renseigné"),IF(AND(ReglesTransitoires="Oui",EDATE($N212,AnciennePeriodiciteEP*12)&lt;DateVigueur),"Retard antérieur à la réforme","Périodicité "&amp;PeriodiciteEPP&amp;" ans")))</f>
        <v/>
      </c>
      <c r="P212" s="43" t="str">
        <f aca="false">IF(OR($B212="",$H212=""),"",IF($N212="",EDATE($H212,DelaiPremierEPP),IF(AND(ReglesTransitoires="Oui",EDATE($N212,AnciennePeriodiciteEP*12)&lt;DateVigueur),EDATE($N212,AnciennePeriodiciteEP*12),EDATE($N212,PeriodiciteEPP*12))))</f>
        <v/>
      </c>
      <c r="Q212" s="40"/>
      <c r="R212" s="45" t="str">
        <f aca="false">IF(OR($P212="",AND($I212&lt;&gt;"",$I212&lt;=DateRef)),"",$P212-DateRef)</f>
        <v/>
      </c>
      <c r="S212" s="42" t="str">
        <f aca="false">IF($B212="","",IF(AND($I212&lt;&gt;"",$I212&lt;=DateRef),"Sorti",IF($H212="","À compléter",IF(AND($Q212&lt;&gt;"",$Q212&gt;=DateRef,$Q212&lt;=$P212),"Planifié",IF($R212&lt;0,"En retard",IF($R212&lt;=SeuilAlerteEPP,"À planifier","À jour"))))))</f>
        <v/>
      </c>
      <c r="T212" s="46" t="str">
        <f aca="false">IF(OR($B212="",$S212="Sorti"),"",MID(IF($H212=""," | Date d'embauche manquante","")&amp;IF(AND($K212="Plus d'un an",$N212="")," | Précédent entretien à renseigner (ancienneté &gt; 1 an)","")&amp;IF($O212="Retard antérieur à la réforme"," | Ancien délai de 2 ans expiré avant la réforme","")&amp;IF(AND($N212&lt;&gt;"",$H212&lt;&gt;"",$N212&lt;$H212)," | Entretien antérieur à l'embauche ?","")&amp;IF(AND($N212&lt;&gt;"",$N212&gt;DateRef)," | Entretien daté dans le futur ?","")&amp;IF(AND($Q212&lt;&gt;"",$P212&lt;&gt;"",$Q212&gt;$P212)," | Date prévue après l'échéance","")&amp;IF(AND($Q212&lt;&gt;"",$Q212&lt;DateRef,OR($N212="",$N212&lt;$Q212))," | Entretien prévu passé : le consigner au Journal","")&amp;IF(AND($G212&lt;&gt;"",$X212="",YEAR(DateRef)-YEAR($G212)&gt;=AgeMiCarriere-1,YEAR(DateRef)-YEAR($G212)&lt;=AgeMiCarriere+1)," | Visite de mi-carrière à vérifier",""),4,1000))</f>
        <v/>
      </c>
      <c r="U212" s="39"/>
      <c r="V212" s="40"/>
      <c r="W212" s="42" t="str">
        <f aca="false">IF(OR($B212="",$V212=""),"",IF(AND($I212&lt;&gt;"",$I212&lt;=DateRef),"",IF(AND($N212&lt;&gt;"",$N212&gt;=$V212),"Réalisé",IF(AND($N212&lt;&gt;"",$N212&gt;=EDATE($V212,-FenetreRetour)),"Dispensé (EPP récent)",IF($V212&gt;DateRef,"À prévoir à la reprise","À proposer (reprise passée)")))))</f>
        <v/>
      </c>
      <c r="X212" s="40"/>
      <c r="Y212" s="43" t="str">
        <f aca="false">IF(OR($B212="",$X212=""),"",EDATE($X212,DelaiMiCarriere))</f>
        <v/>
      </c>
      <c r="Z212" s="42" t="str">
        <f aca="false">IF(OR($B212="",$X212=""),"",IF(AND($I212&lt;&gt;"",$I212&lt;=DateRef),"",IF(AND($N212&lt;&gt;"",$N212&gt;=$X212),"Réalisé",IF($Y212&lt;DateRef,"En retard","À planifier"))))</f>
        <v/>
      </c>
      <c r="AA212" s="47" t="str">
        <f aca="false">IF(OR($B212="",$G212=""),"",IF($G212&gt;DateRef,"",DATEDIF($G212,DateRef,"y")))</f>
        <v/>
      </c>
      <c r="AB212" s="43" t="str">
        <f aca="false">IF(OR($B212="",$G212=""),"",EDATE($G212,AgeFinCarriere*12))</f>
        <v/>
      </c>
      <c r="AC212" s="42" t="str">
        <f aca="false">IF(OR($B212="",$G212="",$H212=""),"",IF(AND($I212&lt;&gt;"",$I212&lt;=DateRef),"",IF($AB212&lt;DateVigueur,"Non concerné",IF(AND($N212&lt;&gt;"",$N212&gt;=MAX(EDATE($AB212,-FenetreFinCarriere*12),DateVigueur),$N212&lt;=$AB212),"Réalisé",IF(DateRef&gt;$AB212,"Non réalisé",IF(AND($Q212&lt;&gt;"",$Q212&gt;=EDATE($AB212,-FenetreFinCarriere*12),$Q212&lt;=$AB212),"Planifié dans la fenêtre",IF(AND(MAX($P212,DateRef)&gt;=EDATE($AB212,-FenetreFinCarriere*12),MAX($P212,DateRef)&lt;=$AB212),"Prochain EPP dans la fenêtre",IF(MAX($P212,DateRef)&gt;$AB212,"À programmer avant 60 ans",""))))))))</f>
        <v/>
      </c>
      <c r="AD212" s="40"/>
      <c r="AE212" s="43" t="str">
        <f aca="false">IF(OR($B212="",$H212="",AND($I212&lt;&gt;"",$I212&lt;=DateRef)),"",MAX($H212,$AD212,IF($A212="",0,SUMPRODUCT(MAX((Journal!$A$6:$A$1005=$A212)*((Journal!$D$6:$D$1005=TypeEDL)+(Journal!$D$6:$D$1005=TypeBilan6))*Journal!$C$6:$C$1005)))))</f>
        <v/>
      </c>
      <c r="AF212" s="43" t="str">
        <f aca="false">IF($AE212="","",IF(AND(ReglesTransitoires="Oui",EDATE($AE212,AnciennePeriodiciteEDL*12)&lt;DateVigueur),EDATE($AE212,AnciennePeriodiciteEDL*12),EDATE($AE212,PeriodiciteEDL*12)))</f>
        <v/>
      </c>
      <c r="AG212" s="42" t="str">
        <f aca="false">IF($AF212="","",IF(AND($I212&lt;&gt;"",$I212&lt;=DateRef),"",IF($AF212&lt;DateRef,"En retard",IF($AF212-DateRef&lt;=SeuilAlerteEDL,"À prévoir","À jour"))))</f>
        <v/>
      </c>
      <c r="AH212" s="39"/>
      <c r="AI212" s="39"/>
      <c r="AJ212" s="42" t="str">
        <f aca="false">IF(OR($B212="",$H212=""),"",IF(AND($I212&lt;&gt;"",$I212&lt;=DateRef),"",IF(Effectif&lt;SeuilEffectif,"Non concerné (&lt; "&amp;SeuilEffectif&amp;" salariés)",IF($AH212="Oui","Pas de risque",IF(AND(OR($AI212="Non",$S212="En retard"),$AH212="Non"),"Risque abondement",IF(OR($AI212="Non",$S212="En retard"),"À vérifier (formation ?)",IF($AI212="Oui","Pas de risque","À compléter")))))))</f>
        <v/>
      </c>
      <c r="AK212" s="39"/>
    </row>
    <row r="213" customFormat="false" ht="15" hidden="false" customHeight="false" outlineLevel="0" collapsed="false">
      <c r="A213" s="39"/>
      <c r="B213" s="39"/>
      <c r="C213" s="39"/>
      <c r="D213" s="39"/>
      <c r="E213" s="39"/>
      <c r="F213" s="39"/>
      <c r="G213" s="40"/>
      <c r="H213" s="40"/>
      <c r="I213" s="40"/>
      <c r="J213" s="41" t="str">
        <f aca="false">IF(OR($B213="",$H213=""),"",IF($H213&gt;DateRef,0,YEARFRAC($H213,DateRef,1)))</f>
        <v/>
      </c>
      <c r="K213" s="42" t="str">
        <f aca="false">IF(OR($B213="",$H213=""),"",IF(EDATE($H213,12)&lt;=DateRef,"Plus d'un an","Moins d'un an"))</f>
        <v/>
      </c>
      <c r="L213" s="40"/>
      <c r="M213" s="43" t="str">
        <f aca="false">IF(OR($B213="",$A213=""),"",IF(SUMPRODUCT(MAX((Journal!$A$6:$A$1005=$A213)*Journal!$C$6:$C$1005))=0,"",SUMPRODUCT(MAX((Journal!$A$6:$A$1005=$A213)*Journal!$C$6:$C$1005))))</f>
        <v/>
      </c>
      <c r="N213" s="43" t="str">
        <f aca="false">IF($B213="","",IF(MAX($L213,$M213)=0,"",MAX($L213,$M213)))</f>
        <v/>
      </c>
      <c r="O213" s="44" t="str">
        <f aca="false">IF(OR($B213="",$H213=""),"",IF($N213="",IF(EDATE($H213,DelaiPremierEPP)&gt;DateRef,"1er EPP (1re année)","Aucun entretien renseigné"),IF(AND(ReglesTransitoires="Oui",EDATE($N213,AnciennePeriodiciteEP*12)&lt;DateVigueur),"Retard antérieur à la réforme","Périodicité "&amp;PeriodiciteEPP&amp;" ans")))</f>
        <v/>
      </c>
      <c r="P213" s="43" t="str">
        <f aca="false">IF(OR($B213="",$H213=""),"",IF($N213="",EDATE($H213,DelaiPremierEPP),IF(AND(ReglesTransitoires="Oui",EDATE($N213,AnciennePeriodiciteEP*12)&lt;DateVigueur),EDATE($N213,AnciennePeriodiciteEP*12),EDATE($N213,PeriodiciteEPP*12))))</f>
        <v/>
      </c>
      <c r="Q213" s="40"/>
      <c r="R213" s="45" t="str">
        <f aca="false">IF(OR($P213="",AND($I213&lt;&gt;"",$I213&lt;=DateRef)),"",$P213-DateRef)</f>
        <v/>
      </c>
      <c r="S213" s="42" t="str">
        <f aca="false">IF($B213="","",IF(AND($I213&lt;&gt;"",$I213&lt;=DateRef),"Sorti",IF($H213="","À compléter",IF(AND($Q213&lt;&gt;"",$Q213&gt;=DateRef,$Q213&lt;=$P213),"Planifié",IF($R213&lt;0,"En retard",IF($R213&lt;=SeuilAlerteEPP,"À planifier","À jour"))))))</f>
        <v/>
      </c>
      <c r="T213" s="46" t="str">
        <f aca="false">IF(OR($B213="",$S213="Sorti"),"",MID(IF($H213=""," | Date d'embauche manquante","")&amp;IF(AND($K213="Plus d'un an",$N213="")," | Précédent entretien à renseigner (ancienneté &gt; 1 an)","")&amp;IF($O213="Retard antérieur à la réforme"," | Ancien délai de 2 ans expiré avant la réforme","")&amp;IF(AND($N213&lt;&gt;"",$H213&lt;&gt;"",$N213&lt;$H213)," | Entretien antérieur à l'embauche ?","")&amp;IF(AND($N213&lt;&gt;"",$N213&gt;DateRef)," | Entretien daté dans le futur ?","")&amp;IF(AND($Q213&lt;&gt;"",$P213&lt;&gt;"",$Q213&gt;$P213)," | Date prévue après l'échéance","")&amp;IF(AND($Q213&lt;&gt;"",$Q213&lt;DateRef,OR($N213="",$N213&lt;$Q213))," | Entretien prévu passé : le consigner au Journal","")&amp;IF(AND($G213&lt;&gt;"",$X213="",YEAR(DateRef)-YEAR($G213)&gt;=AgeMiCarriere-1,YEAR(DateRef)-YEAR($G213)&lt;=AgeMiCarriere+1)," | Visite de mi-carrière à vérifier",""),4,1000))</f>
        <v/>
      </c>
      <c r="U213" s="39"/>
      <c r="V213" s="40"/>
      <c r="W213" s="42" t="str">
        <f aca="false">IF(OR($B213="",$V213=""),"",IF(AND($I213&lt;&gt;"",$I213&lt;=DateRef),"",IF(AND($N213&lt;&gt;"",$N213&gt;=$V213),"Réalisé",IF(AND($N213&lt;&gt;"",$N213&gt;=EDATE($V213,-FenetreRetour)),"Dispensé (EPP récent)",IF($V213&gt;DateRef,"À prévoir à la reprise","À proposer (reprise passée)")))))</f>
        <v/>
      </c>
      <c r="X213" s="40"/>
      <c r="Y213" s="43" t="str">
        <f aca="false">IF(OR($B213="",$X213=""),"",EDATE($X213,DelaiMiCarriere))</f>
        <v/>
      </c>
      <c r="Z213" s="42" t="str">
        <f aca="false">IF(OR($B213="",$X213=""),"",IF(AND($I213&lt;&gt;"",$I213&lt;=DateRef),"",IF(AND($N213&lt;&gt;"",$N213&gt;=$X213),"Réalisé",IF($Y213&lt;DateRef,"En retard","À planifier"))))</f>
        <v/>
      </c>
      <c r="AA213" s="47" t="str">
        <f aca="false">IF(OR($B213="",$G213=""),"",IF($G213&gt;DateRef,"",DATEDIF($G213,DateRef,"y")))</f>
        <v/>
      </c>
      <c r="AB213" s="43" t="str">
        <f aca="false">IF(OR($B213="",$G213=""),"",EDATE($G213,AgeFinCarriere*12))</f>
        <v/>
      </c>
      <c r="AC213" s="42" t="str">
        <f aca="false">IF(OR($B213="",$G213="",$H213=""),"",IF(AND($I213&lt;&gt;"",$I213&lt;=DateRef),"",IF($AB213&lt;DateVigueur,"Non concerné",IF(AND($N213&lt;&gt;"",$N213&gt;=MAX(EDATE($AB213,-FenetreFinCarriere*12),DateVigueur),$N213&lt;=$AB213),"Réalisé",IF(DateRef&gt;$AB213,"Non réalisé",IF(AND($Q213&lt;&gt;"",$Q213&gt;=EDATE($AB213,-FenetreFinCarriere*12),$Q213&lt;=$AB213),"Planifié dans la fenêtre",IF(AND(MAX($P213,DateRef)&gt;=EDATE($AB213,-FenetreFinCarriere*12),MAX($P213,DateRef)&lt;=$AB213),"Prochain EPP dans la fenêtre",IF(MAX($P213,DateRef)&gt;$AB213,"À programmer avant 60 ans",""))))))))</f>
        <v/>
      </c>
      <c r="AD213" s="40"/>
      <c r="AE213" s="43" t="str">
        <f aca="false">IF(OR($B213="",$H213="",AND($I213&lt;&gt;"",$I213&lt;=DateRef)),"",MAX($H213,$AD213,IF($A213="",0,SUMPRODUCT(MAX((Journal!$A$6:$A$1005=$A213)*((Journal!$D$6:$D$1005=TypeEDL)+(Journal!$D$6:$D$1005=TypeBilan6))*Journal!$C$6:$C$1005)))))</f>
        <v/>
      </c>
      <c r="AF213" s="43" t="str">
        <f aca="false">IF($AE213="","",IF(AND(ReglesTransitoires="Oui",EDATE($AE213,AnciennePeriodiciteEDL*12)&lt;DateVigueur),EDATE($AE213,AnciennePeriodiciteEDL*12),EDATE($AE213,PeriodiciteEDL*12)))</f>
        <v/>
      </c>
      <c r="AG213" s="42" t="str">
        <f aca="false">IF($AF213="","",IF(AND($I213&lt;&gt;"",$I213&lt;=DateRef),"",IF($AF213&lt;DateRef,"En retard",IF($AF213-DateRef&lt;=SeuilAlerteEDL,"À prévoir","À jour"))))</f>
        <v/>
      </c>
      <c r="AH213" s="39"/>
      <c r="AI213" s="39"/>
      <c r="AJ213" s="42" t="str">
        <f aca="false">IF(OR($B213="",$H213=""),"",IF(AND($I213&lt;&gt;"",$I213&lt;=DateRef),"",IF(Effectif&lt;SeuilEffectif,"Non concerné (&lt; "&amp;SeuilEffectif&amp;" salariés)",IF($AH213="Oui","Pas de risque",IF(AND(OR($AI213="Non",$S213="En retard"),$AH213="Non"),"Risque abondement",IF(OR($AI213="Non",$S213="En retard"),"À vérifier (formation ?)",IF($AI213="Oui","Pas de risque","À compléter")))))))</f>
        <v/>
      </c>
      <c r="AK213" s="39"/>
    </row>
    <row r="214" customFormat="false" ht="15" hidden="false" customHeight="false" outlineLevel="0" collapsed="false">
      <c r="A214" s="39"/>
      <c r="B214" s="39"/>
      <c r="C214" s="39"/>
      <c r="D214" s="39"/>
      <c r="E214" s="39"/>
      <c r="F214" s="39"/>
      <c r="G214" s="40"/>
      <c r="H214" s="40"/>
      <c r="I214" s="40"/>
      <c r="J214" s="41" t="str">
        <f aca="false">IF(OR($B214="",$H214=""),"",IF($H214&gt;DateRef,0,YEARFRAC($H214,DateRef,1)))</f>
        <v/>
      </c>
      <c r="K214" s="42" t="str">
        <f aca="false">IF(OR($B214="",$H214=""),"",IF(EDATE($H214,12)&lt;=DateRef,"Plus d'un an","Moins d'un an"))</f>
        <v/>
      </c>
      <c r="L214" s="40"/>
      <c r="M214" s="43" t="str">
        <f aca="false">IF(OR($B214="",$A214=""),"",IF(SUMPRODUCT(MAX((Journal!$A$6:$A$1005=$A214)*Journal!$C$6:$C$1005))=0,"",SUMPRODUCT(MAX((Journal!$A$6:$A$1005=$A214)*Journal!$C$6:$C$1005))))</f>
        <v/>
      </c>
      <c r="N214" s="43" t="str">
        <f aca="false">IF($B214="","",IF(MAX($L214,$M214)=0,"",MAX($L214,$M214)))</f>
        <v/>
      </c>
      <c r="O214" s="44" t="str">
        <f aca="false">IF(OR($B214="",$H214=""),"",IF($N214="",IF(EDATE($H214,DelaiPremierEPP)&gt;DateRef,"1er EPP (1re année)","Aucun entretien renseigné"),IF(AND(ReglesTransitoires="Oui",EDATE($N214,AnciennePeriodiciteEP*12)&lt;DateVigueur),"Retard antérieur à la réforme","Périodicité "&amp;PeriodiciteEPP&amp;" ans")))</f>
        <v/>
      </c>
      <c r="P214" s="43" t="str">
        <f aca="false">IF(OR($B214="",$H214=""),"",IF($N214="",EDATE($H214,DelaiPremierEPP),IF(AND(ReglesTransitoires="Oui",EDATE($N214,AnciennePeriodiciteEP*12)&lt;DateVigueur),EDATE($N214,AnciennePeriodiciteEP*12),EDATE($N214,PeriodiciteEPP*12))))</f>
        <v/>
      </c>
      <c r="Q214" s="40"/>
      <c r="R214" s="45" t="str">
        <f aca="false">IF(OR($P214="",AND($I214&lt;&gt;"",$I214&lt;=DateRef)),"",$P214-DateRef)</f>
        <v/>
      </c>
      <c r="S214" s="42" t="str">
        <f aca="false">IF($B214="","",IF(AND($I214&lt;&gt;"",$I214&lt;=DateRef),"Sorti",IF($H214="","À compléter",IF(AND($Q214&lt;&gt;"",$Q214&gt;=DateRef,$Q214&lt;=$P214),"Planifié",IF($R214&lt;0,"En retard",IF($R214&lt;=SeuilAlerteEPP,"À planifier","À jour"))))))</f>
        <v/>
      </c>
      <c r="T214" s="46" t="str">
        <f aca="false">IF(OR($B214="",$S214="Sorti"),"",MID(IF($H214=""," | Date d'embauche manquante","")&amp;IF(AND($K214="Plus d'un an",$N214="")," | Précédent entretien à renseigner (ancienneté &gt; 1 an)","")&amp;IF($O214="Retard antérieur à la réforme"," | Ancien délai de 2 ans expiré avant la réforme","")&amp;IF(AND($N214&lt;&gt;"",$H214&lt;&gt;"",$N214&lt;$H214)," | Entretien antérieur à l'embauche ?","")&amp;IF(AND($N214&lt;&gt;"",$N214&gt;DateRef)," | Entretien daté dans le futur ?","")&amp;IF(AND($Q214&lt;&gt;"",$P214&lt;&gt;"",$Q214&gt;$P214)," | Date prévue après l'échéance","")&amp;IF(AND($Q214&lt;&gt;"",$Q214&lt;DateRef,OR($N214="",$N214&lt;$Q214))," | Entretien prévu passé : le consigner au Journal","")&amp;IF(AND($G214&lt;&gt;"",$X214="",YEAR(DateRef)-YEAR($G214)&gt;=AgeMiCarriere-1,YEAR(DateRef)-YEAR($G214)&lt;=AgeMiCarriere+1)," | Visite de mi-carrière à vérifier",""),4,1000))</f>
        <v/>
      </c>
      <c r="U214" s="39"/>
      <c r="V214" s="40"/>
      <c r="W214" s="42" t="str">
        <f aca="false">IF(OR($B214="",$V214=""),"",IF(AND($I214&lt;&gt;"",$I214&lt;=DateRef),"",IF(AND($N214&lt;&gt;"",$N214&gt;=$V214),"Réalisé",IF(AND($N214&lt;&gt;"",$N214&gt;=EDATE($V214,-FenetreRetour)),"Dispensé (EPP récent)",IF($V214&gt;DateRef,"À prévoir à la reprise","À proposer (reprise passée)")))))</f>
        <v/>
      </c>
      <c r="X214" s="40"/>
      <c r="Y214" s="43" t="str">
        <f aca="false">IF(OR($B214="",$X214=""),"",EDATE($X214,DelaiMiCarriere))</f>
        <v/>
      </c>
      <c r="Z214" s="42" t="str">
        <f aca="false">IF(OR($B214="",$X214=""),"",IF(AND($I214&lt;&gt;"",$I214&lt;=DateRef),"",IF(AND($N214&lt;&gt;"",$N214&gt;=$X214),"Réalisé",IF($Y214&lt;DateRef,"En retard","À planifier"))))</f>
        <v/>
      </c>
      <c r="AA214" s="47" t="str">
        <f aca="false">IF(OR($B214="",$G214=""),"",IF($G214&gt;DateRef,"",DATEDIF($G214,DateRef,"y")))</f>
        <v/>
      </c>
      <c r="AB214" s="43" t="str">
        <f aca="false">IF(OR($B214="",$G214=""),"",EDATE($G214,AgeFinCarriere*12))</f>
        <v/>
      </c>
      <c r="AC214" s="42" t="str">
        <f aca="false">IF(OR($B214="",$G214="",$H214=""),"",IF(AND($I214&lt;&gt;"",$I214&lt;=DateRef),"",IF($AB214&lt;DateVigueur,"Non concerné",IF(AND($N214&lt;&gt;"",$N214&gt;=MAX(EDATE($AB214,-FenetreFinCarriere*12),DateVigueur),$N214&lt;=$AB214),"Réalisé",IF(DateRef&gt;$AB214,"Non réalisé",IF(AND($Q214&lt;&gt;"",$Q214&gt;=EDATE($AB214,-FenetreFinCarriere*12),$Q214&lt;=$AB214),"Planifié dans la fenêtre",IF(AND(MAX($P214,DateRef)&gt;=EDATE($AB214,-FenetreFinCarriere*12),MAX($P214,DateRef)&lt;=$AB214),"Prochain EPP dans la fenêtre",IF(MAX($P214,DateRef)&gt;$AB214,"À programmer avant 60 ans",""))))))))</f>
        <v/>
      </c>
      <c r="AD214" s="40"/>
      <c r="AE214" s="43" t="str">
        <f aca="false">IF(OR($B214="",$H214="",AND($I214&lt;&gt;"",$I214&lt;=DateRef)),"",MAX($H214,$AD214,IF($A214="",0,SUMPRODUCT(MAX((Journal!$A$6:$A$1005=$A214)*((Journal!$D$6:$D$1005=TypeEDL)+(Journal!$D$6:$D$1005=TypeBilan6))*Journal!$C$6:$C$1005)))))</f>
        <v/>
      </c>
      <c r="AF214" s="43" t="str">
        <f aca="false">IF($AE214="","",IF(AND(ReglesTransitoires="Oui",EDATE($AE214,AnciennePeriodiciteEDL*12)&lt;DateVigueur),EDATE($AE214,AnciennePeriodiciteEDL*12),EDATE($AE214,PeriodiciteEDL*12)))</f>
        <v/>
      </c>
      <c r="AG214" s="42" t="str">
        <f aca="false">IF($AF214="","",IF(AND($I214&lt;&gt;"",$I214&lt;=DateRef),"",IF($AF214&lt;DateRef,"En retard",IF($AF214-DateRef&lt;=SeuilAlerteEDL,"À prévoir","À jour"))))</f>
        <v/>
      </c>
      <c r="AH214" s="39"/>
      <c r="AI214" s="39"/>
      <c r="AJ214" s="42" t="str">
        <f aca="false">IF(OR($B214="",$H214=""),"",IF(AND($I214&lt;&gt;"",$I214&lt;=DateRef),"",IF(Effectif&lt;SeuilEffectif,"Non concerné (&lt; "&amp;SeuilEffectif&amp;" salariés)",IF($AH214="Oui","Pas de risque",IF(AND(OR($AI214="Non",$S214="En retard"),$AH214="Non"),"Risque abondement",IF(OR($AI214="Non",$S214="En retard"),"À vérifier (formation ?)",IF($AI214="Oui","Pas de risque","À compléter")))))))</f>
        <v/>
      </c>
      <c r="AK214" s="39"/>
    </row>
    <row r="215" customFormat="false" ht="15" hidden="false" customHeight="false" outlineLevel="0" collapsed="false">
      <c r="A215" s="39"/>
      <c r="B215" s="39"/>
      <c r="C215" s="39"/>
      <c r="D215" s="39"/>
      <c r="E215" s="39"/>
      <c r="F215" s="39"/>
      <c r="G215" s="40"/>
      <c r="H215" s="40"/>
      <c r="I215" s="40"/>
      <c r="J215" s="41" t="str">
        <f aca="false">IF(OR($B215="",$H215=""),"",IF($H215&gt;DateRef,0,YEARFRAC($H215,DateRef,1)))</f>
        <v/>
      </c>
      <c r="K215" s="42" t="str">
        <f aca="false">IF(OR($B215="",$H215=""),"",IF(EDATE($H215,12)&lt;=DateRef,"Plus d'un an","Moins d'un an"))</f>
        <v/>
      </c>
      <c r="L215" s="40"/>
      <c r="M215" s="43" t="str">
        <f aca="false">IF(OR($B215="",$A215=""),"",IF(SUMPRODUCT(MAX((Journal!$A$6:$A$1005=$A215)*Journal!$C$6:$C$1005))=0,"",SUMPRODUCT(MAX((Journal!$A$6:$A$1005=$A215)*Journal!$C$6:$C$1005))))</f>
        <v/>
      </c>
      <c r="N215" s="43" t="str">
        <f aca="false">IF($B215="","",IF(MAX($L215,$M215)=0,"",MAX($L215,$M215)))</f>
        <v/>
      </c>
      <c r="O215" s="44" t="str">
        <f aca="false">IF(OR($B215="",$H215=""),"",IF($N215="",IF(EDATE($H215,DelaiPremierEPP)&gt;DateRef,"1er EPP (1re année)","Aucun entretien renseigné"),IF(AND(ReglesTransitoires="Oui",EDATE($N215,AnciennePeriodiciteEP*12)&lt;DateVigueur),"Retard antérieur à la réforme","Périodicité "&amp;PeriodiciteEPP&amp;" ans")))</f>
        <v/>
      </c>
      <c r="P215" s="43" t="str">
        <f aca="false">IF(OR($B215="",$H215=""),"",IF($N215="",EDATE($H215,DelaiPremierEPP),IF(AND(ReglesTransitoires="Oui",EDATE($N215,AnciennePeriodiciteEP*12)&lt;DateVigueur),EDATE($N215,AnciennePeriodiciteEP*12),EDATE($N215,PeriodiciteEPP*12))))</f>
        <v/>
      </c>
      <c r="Q215" s="40"/>
      <c r="R215" s="45" t="str">
        <f aca="false">IF(OR($P215="",AND($I215&lt;&gt;"",$I215&lt;=DateRef)),"",$P215-DateRef)</f>
        <v/>
      </c>
      <c r="S215" s="42" t="str">
        <f aca="false">IF($B215="","",IF(AND($I215&lt;&gt;"",$I215&lt;=DateRef),"Sorti",IF($H215="","À compléter",IF(AND($Q215&lt;&gt;"",$Q215&gt;=DateRef,$Q215&lt;=$P215),"Planifié",IF($R215&lt;0,"En retard",IF($R215&lt;=SeuilAlerteEPP,"À planifier","À jour"))))))</f>
        <v/>
      </c>
      <c r="T215" s="46" t="str">
        <f aca="false">IF(OR($B215="",$S215="Sorti"),"",MID(IF($H215=""," | Date d'embauche manquante","")&amp;IF(AND($K215="Plus d'un an",$N215="")," | Précédent entretien à renseigner (ancienneté &gt; 1 an)","")&amp;IF($O215="Retard antérieur à la réforme"," | Ancien délai de 2 ans expiré avant la réforme","")&amp;IF(AND($N215&lt;&gt;"",$H215&lt;&gt;"",$N215&lt;$H215)," | Entretien antérieur à l'embauche ?","")&amp;IF(AND($N215&lt;&gt;"",$N215&gt;DateRef)," | Entretien daté dans le futur ?","")&amp;IF(AND($Q215&lt;&gt;"",$P215&lt;&gt;"",$Q215&gt;$P215)," | Date prévue après l'échéance","")&amp;IF(AND($Q215&lt;&gt;"",$Q215&lt;DateRef,OR($N215="",$N215&lt;$Q215))," | Entretien prévu passé : le consigner au Journal","")&amp;IF(AND($G215&lt;&gt;"",$X215="",YEAR(DateRef)-YEAR($G215)&gt;=AgeMiCarriere-1,YEAR(DateRef)-YEAR($G215)&lt;=AgeMiCarriere+1)," | Visite de mi-carrière à vérifier",""),4,1000))</f>
        <v/>
      </c>
      <c r="U215" s="39"/>
      <c r="V215" s="40"/>
      <c r="W215" s="42" t="str">
        <f aca="false">IF(OR($B215="",$V215=""),"",IF(AND($I215&lt;&gt;"",$I215&lt;=DateRef),"",IF(AND($N215&lt;&gt;"",$N215&gt;=$V215),"Réalisé",IF(AND($N215&lt;&gt;"",$N215&gt;=EDATE($V215,-FenetreRetour)),"Dispensé (EPP récent)",IF($V215&gt;DateRef,"À prévoir à la reprise","À proposer (reprise passée)")))))</f>
        <v/>
      </c>
      <c r="X215" s="40"/>
      <c r="Y215" s="43" t="str">
        <f aca="false">IF(OR($B215="",$X215=""),"",EDATE($X215,DelaiMiCarriere))</f>
        <v/>
      </c>
      <c r="Z215" s="42" t="str">
        <f aca="false">IF(OR($B215="",$X215=""),"",IF(AND($I215&lt;&gt;"",$I215&lt;=DateRef),"",IF(AND($N215&lt;&gt;"",$N215&gt;=$X215),"Réalisé",IF($Y215&lt;DateRef,"En retard","À planifier"))))</f>
        <v/>
      </c>
      <c r="AA215" s="47" t="str">
        <f aca="false">IF(OR($B215="",$G215=""),"",IF($G215&gt;DateRef,"",DATEDIF($G215,DateRef,"y")))</f>
        <v/>
      </c>
      <c r="AB215" s="43" t="str">
        <f aca="false">IF(OR($B215="",$G215=""),"",EDATE($G215,AgeFinCarriere*12))</f>
        <v/>
      </c>
      <c r="AC215" s="42" t="str">
        <f aca="false">IF(OR($B215="",$G215="",$H215=""),"",IF(AND($I215&lt;&gt;"",$I215&lt;=DateRef),"",IF($AB215&lt;DateVigueur,"Non concerné",IF(AND($N215&lt;&gt;"",$N215&gt;=MAX(EDATE($AB215,-FenetreFinCarriere*12),DateVigueur),$N215&lt;=$AB215),"Réalisé",IF(DateRef&gt;$AB215,"Non réalisé",IF(AND($Q215&lt;&gt;"",$Q215&gt;=EDATE($AB215,-FenetreFinCarriere*12),$Q215&lt;=$AB215),"Planifié dans la fenêtre",IF(AND(MAX($P215,DateRef)&gt;=EDATE($AB215,-FenetreFinCarriere*12),MAX($P215,DateRef)&lt;=$AB215),"Prochain EPP dans la fenêtre",IF(MAX($P215,DateRef)&gt;$AB215,"À programmer avant 60 ans",""))))))))</f>
        <v/>
      </c>
      <c r="AD215" s="40"/>
      <c r="AE215" s="43" t="str">
        <f aca="false">IF(OR($B215="",$H215="",AND($I215&lt;&gt;"",$I215&lt;=DateRef)),"",MAX($H215,$AD215,IF($A215="",0,SUMPRODUCT(MAX((Journal!$A$6:$A$1005=$A215)*((Journal!$D$6:$D$1005=TypeEDL)+(Journal!$D$6:$D$1005=TypeBilan6))*Journal!$C$6:$C$1005)))))</f>
        <v/>
      </c>
      <c r="AF215" s="43" t="str">
        <f aca="false">IF($AE215="","",IF(AND(ReglesTransitoires="Oui",EDATE($AE215,AnciennePeriodiciteEDL*12)&lt;DateVigueur),EDATE($AE215,AnciennePeriodiciteEDL*12),EDATE($AE215,PeriodiciteEDL*12)))</f>
        <v/>
      </c>
      <c r="AG215" s="42" t="str">
        <f aca="false">IF($AF215="","",IF(AND($I215&lt;&gt;"",$I215&lt;=DateRef),"",IF($AF215&lt;DateRef,"En retard",IF($AF215-DateRef&lt;=SeuilAlerteEDL,"À prévoir","À jour"))))</f>
        <v/>
      </c>
      <c r="AH215" s="39"/>
      <c r="AI215" s="39"/>
      <c r="AJ215" s="42" t="str">
        <f aca="false">IF(OR($B215="",$H215=""),"",IF(AND($I215&lt;&gt;"",$I215&lt;=DateRef),"",IF(Effectif&lt;SeuilEffectif,"Non concerné (&lt; "&amp;SeuilEffectif&amp;" salariés)",IF($AH215="Oui","Pas de risque",IF(AND(OR($AI215="Non",$S215="En retard"),$AH215="Non"),"Risque abondement",IF(OR($AI215="Non",$S215="En retard"),"À vérifier (formation ?)",IF($AI215="Oui","Pas de risque","À compléter")))))))</f>
        <v/>
      </c>
      <c r="AK215" s="39"/>
    </row>
    <row r="216" customFormat="false" ht="15" hidden="false" customHeight="false" outlineLevel="0" collapsed="false">
      <c r="A216" s="39"/>
      <c r="B216" s="39"/>
      <c r="C216" s="39"/>
      <c r="D216" s="39"/>
      <c r="E216" s="39"/>
      <c r="F216" s="39"/>
      <c r="G216" s="40"/>
      <c r="H216" s="40"/>
      <c r="I216" s="40"/>
      <c r="J216" s="41" t="str">
        <f aca="false">IF(OR($B216="",$H216=""),"",IF($H216&gt;DateRef,0,YEARFRAC($H216,DateRef,1)))</f>
        <v/>
      </c>
      <c r="K216" s="42" t="str">
        <f aca="false">IF(OR($B216="",$H216=""),"",IF(EDATE($H216,12)&lt;=DateRef,"Plus d'un an","Moins d'un an"))</f>
        <v/>
      </c>
      <c r="L216" s="40"/>
      <c r="M216" s="43" t="str">
        <f aca="false">IF(OR($B216="",$A216=""),"",IF(SUMPRODUCT(MAX((Journal!$A$6:$A$1005=$A216)*Journal!$C$6:$C$1005))=0,"",SUMPRODUCT(MAX((Journal!$A$6:$A$1005=$A216)*Journal!$C$6:$C$1005))))</f>
        <v/>
      </c>
      <c r="N216" s="43" t="str">
        <f aca="false">IF($B216="","",IF(MAX($L216,$M216)=0,"",MAX($L216,$M216)))</f>
        <v/>
      </c>
      <c r="O216" s="44" t="str">
        <f aca="false">IF(OR($B216="",$H216=""),"",IF($N216="",IF(EDATE($H216,DelaiPremierEPP)&gt;DateRef,"1er EPP (1re année)","Aucun entretien renseigné"),IF(AND(ReglesTransitoires="Oui",EDATE($N216,AnciennePeriodiciteEP*12)&lt;DateVigueur),"Retard antérieur à la réforme","Périodicité "&amp;PeriodiciteEPP&amp;" ans")))</f>
        <v/>
      </c>
      <c r="P216" s="43" t="str">
        <f aca="false">IF(OR($B216="",$H216=""),"",IF($N216="",EDATE($H216,DelaiPremierEPP),IF(AND(ReglesTransitoires="Oui",EDATE($N216,AnciennePeriodiciteEP*12)&lt;DateVigueur),EDATE($N216,AnciennePeriodiciteEP*12),EDATE($N216,PeriodiciteEPP*12))))</f>
        <v/>
      </c>
      <c r="Q216" s="40"/>
      <c r="R216" s="45" t="str">
        <f aca="false">IF(OR($P216="",AND($I216&lt;&gt;"",$I216&lt;=DateRef)),"",$P216-DateRef)</f>
        <v/>
      </c>
      <c r="S216" s="42" t="str">
        <f aca="false">IF($B216="","",IF(AND($I216&lt;&gt;"",$I216&lt;=DateRef),"Sorti",IF($H216="","À compléter",IF(AND($Q216&lt;&gt;"",$Q216&gt;=DateRef,$Q216&lt;=$P216),"Planifié",IF($R216&lt;0,"En retard",IF($R216&lt;=SeuilAlerteEPP,"À planifier","À jour"))))))</f>
        <v/>
      </c>
      <c r="T216" s="46" t="str">
        <f aca="false">IF(OR($B216="",$S216="Sorti"),"",MID(IF($H216=""," | Date d'embauche manquante","")&amp;IF(AND($K216="Plus d'un an",$N216="")," | Précédent entretien à renseigner (ancienneté &gt; 1 an)","")&amp;IF($O216="Retard antérieur à la réforme"," | Ancien délai de 2 ans expiré avant la réforme","")&amp;IF(AND($N216&lt;&gt;"",$H216&lt;&gt;"",$N216&lt;$H216)," | Entretien antérieur à l'embauche ?","")&amp;IF(AND($N216&lt;&gt;"",$N216&gt;DateRef)," | Entretien daté dans le futur ?","")&amp;IF(AND($Q216&lt;&gt;"",$P216&lt;&gt;"",$Q216&gt;$P216)," | Date prévue après l'échéance","")&amp;IF(AND($Q216&lt;&gt;"",$Q216&lt;DateRef,OR($N216="",$N216&lt;$Q216))," | Entretien prévu passé : le consigner au Journal","")&amp;IF(AND($G216&lt;&gt;"",$X216="",YEAR(DateRef)-YEAR($G216)&gt;=AgeMiCarriere-1,YEAR(DateRef)-YEAR($G216)&lt;=AgeMiCarriere+1)," | Visite de mi-carrière à vérifier",""),4,1000))</f>
        <v/>
      </c>
      <c r="U216" s="39"/>
      <c r="V216" s="40"/>
      <c r="W216" s="42" t="str">
        <f aca="false">IF(OR($B216="",$V216=""),"",IF(AND($I216&lt;&gt;"",$I216&lt;=DateRef),"",IF(AND($N216&lt;&gt;"",$N216&gt;=$V216),"Réalisé",IF(AND($N216&lt;&gt;"",$N216&gt;=EDATE($V216,-FenetreRetour)),"Dispensé (EPP récent)",IF($V216&gt;DateRef,"À prévoir à la reprise","À proposer (reprise passée)")))))</f>
        <v/>
      </c>
      <c r="X216" s="40"/>
      <c r="Y216" s="43" t="str">
        <f aca="false">IF(OR($B216="",$X216=""),"",EDATE($X216,DelaiMiCarriere))</f>
        <v/>
      </c>
      <c r="Z216" s="42" t="str">
        <f aca="false">IF(OR($B216="",$X216=""),"",IF(AND($I216&lt;&gt;"",$I216&lt;=DateRef),"",IF(AND($N216&lt;&gt;"",$N216&gt;=$X216),"Réalisé",IF($Y216&lt;DateRef,"En retard","À planifier"))))</f>
        <v/>
      </c>
      <c r="AA216" s="47" t="str">
        <f aca="false">IF(OR($B216="",$G216=""),"",IF($G216&gt;DateRef,"",DATEDIF($G216,DateRef,"y")))</f>
        <v/>
      </c>
      <c r="AB216" s="43" t="str">
        <f aca="false">IF(OR($B216="",$G216=""),"",EDATE($G216,AgeFinCarriere*12))</f>
        <v/>
      </c>
      <c r="AC216" s="42" t="str">
        <f aca="false">IF(OR($B216="",$G216="",$H216=""),"",IF(AND($I216&lt;&gt;"",$I216&lt;=DateRef),"",IF($AB216&lt;DateVigueur,"Non concerné",IF(AND($N216&lt;&gt;"",$N216&gt;=MAX(EDATE($AB216,-FenetreFinCarriere*12),DateVigueur),$N216&lt;=$AB216),"Réalisé",IF(DateRef&gt;$AB216,"Non réalisé",IF(AND($Q216&lt;&gt;"",$Q216&gt;=EDATE($AB216,-FenetreFinCarriere*12),$Q216&lt;=$AB216),"Planifié dans la fenêtre",IF(AND(MAX($P216,DateRef)&gt;=EDATE($AB216,-FenetreFinCarriere*12),MAX($P216,DateRef)&lt;=$AB216),"Prochain EPP dans la fenêtre",IF(MAX($P216,DateRef)&gt;$AB216,"À programmer avant 60 ans",""))))))))</f>
        <v/>
      </c>
      <c r="AD216" s="40"/>
      <c r="AE216" s="43" t="str">
        <f aca="false">IF(OR($B216="",$H216="",AND($I216&lt;&gt;"",$I216&lt;=DateRef)),"",MAX($H216,$AD216,IF($A216="",0,SUMPRODUCT(MAX((Journal!$A$6:$A$1005=$A216)*((Journal!$D$6:$D$1005=TypeEDL)+(Journal!$D$6:$D$1005=TypeBilan6))*Journal!$C$6:$C$1005)))))</f>
        <v/>
      </c>
      <c r="AF216" s="43" t="str">
        <f aca="false">IF($AE216="","",IF(AND(ReglesTransitoires="Oui",EDATE($AE216,AnciennePeriodiciteEDL*12)&lt;DateVigueur),EDATE($AE216,AnciennePeriodiciteEDL*12),EDATE($AE216,PeriodiciteEDL*12)))</f>
        <v/>
      </c>
      <c r="AG216" s="42" t="str">
        <f aca="false">IF($AF216="","",IF(AND($I216&lt;&gt;"",$I216&lt;=DateRef),"",IF($AF216&lt;DateRef,"En retard",IF($AF216-DateRef&lt;=SeuilAlerteEDL,"À prévoir","À jour"))))</f>
        <v/>
      </c>
      <c r="AH216" s="39"/>
      <c r="AI216" s="39"/>
      <c r="AJ216" s="42" t="str">
        <f aca="false">IF(OR($B216="",$H216=""),"",IF(AND($I216&lt;&gt;"",$I216&lt;=DateRef),"",IF(Effectif&lt;SeuilEffectif,"Non concerné (&lt; "&amp;SeuilEffectif&amp;" salariés)",IF($AH216="Oui","Pas de risque",IF(AND(OR($AI216="Non",$S216="En retard"),$AH216="Non"),"Risque abondement",IF(OR($AI216="Non",$S216="En retard"),"À vérifier (formation ?)",IF($AI216="Oui","Pas de risque","À compléter")))))))</f>
        <v/>
      </c>
      <c r="AK216" s="39"/>
    </row>
    <row r="217" customFormat="false" ht="15" hidden="false" customHeight="false" outlineLevel="0" collapsed="false">
      <c r="A217" s="39"/>
      <c r="B217" s="39"/>
      <c r="C217" s="39"/>
      <c r="D217" s="39"/>
      <c r="E217" s="39"/>
      <c r="F217" s="39"/>
      <c r="G217" s="40"/>
      <c r="H217" s="40"/>
      <c r="I217" s="40"/>
      <c r="J217" s="41" t="str">
        <f aca="false">IF(OR($B217="",$H217=""),"",IF($H217&gt;DateRef,0,YEARFRAC($H217,DateRef,1)))</f>
        <v/>
      </c>
      <c r="K217" s="42" t="str">
        <f aca="false">IF(OR($B217="",$H217=""),"",IF(EDATE($H217,12)&lt;=DateRef,"Plus d'un an","Moins d'un an"))</f>
        <v/>
      </c>
      <c r="L217" s="40"/>
      <c r="M217" s="43" t="str">
        <f aca="false">IF(OR($B217="",$A217=""),"",IF(SUMPRODUCT(MAX((Journal!$A$6:$A$1005=$A217)*Journal!$C$6:$C$1005))=0,"",SUMPRODUCT(MAX((Journal!$A$6:$A$1005=$A217)*Journal!$C$6:$C$1005))))</f>
        <v/>
      </c>
      <c r="N217" s="43" t="str">
        <f aca="false">IF($B217="","",IF(MAX($L217,$M217)=0,"",MAX($L217,$M217)))</f>
        <v/>
      </c>
      <c r="O217" s="44" t="str">
        <f aca="false">IF(OR($B217="",$H217=""),"",IF($N217="",IF(EDATE($H217,DelaiPremierEPP)&gt;DateRef,"1er EPP (1re année)","Aucun entretien renseigné"),IF(AND(ReglesTransitoires="Oui",EDATE($N217,AnciennePeriodiciteEP*12)&lt;DateVigueur),"Retard antérieur à la réforme","Périodicité "&amp;PeriodiciteEPP&amp;" ans")))</f>
        <v/>
      </c>
      <c r="P217" s="43" t="str">
        <f aca="false">IF(OR($B217="",$H217=""),"",IF($N217="",EDATE($H217,DelaiPremierEPP),IF(AND(ReglesTransitoires="Oui",EDATE($N217,AnciennePeriodiciteEP*12)&lt;DateVigueur),EDATE($N217,AnciennePeriodiciteEP*12),EDATE($N217,PeriodiciteEPP*12))))</f>
        <v/>
      </c>
      <c r="Q217" s="40"/>
      <c r="R217" s="45" t="str">
        <f aca="false">IF(OR($P217="",AND($I217&lt;&gt;"",$I217&lt;=DateRef)),"",$P217-DateRef)</f>
        <v/>
      </c>
      <c r="S217" s="42" t="str">
        <f aca="false">IF($B217="","",IF(AND($I217&lt;&gt;"",$I217&lt;=DateRef),"Sorti",IF($H217="","À compléter",IF(AND($Q217&lt;&gt;"",$Q217&gt;=DateRef,$Q217&lt;=$P217),"Planifié",IF($R217&lt;0,"En retard",IF($R217&lt;=SeuilAlerteEPP,"À planifier","À jour"))))))</f>
        <v/>
      </c>
      <c r="T217" s="46" t="str">
        <f aca="false">IF(OR($B217="",$S217="Sorti"),"",MID(IF($H217=""," | Date d'embauche manquante","")&amp;IF(AND($K217="Plus d'un an",$N217="")," | Précédent entretien à renseigner (ancienneté &gt; 1 an)","")&amp;IF($O217="Retard antérieur à la réforme"," | Ancien délai de 2 ans expiré avant la réforme","")&amp;IF(AND($N217&lt;&gt;"",$H217&lt;&gt;"",$N217&lt;$H217)," | Entretien antérieur à l'embauche ?","")&amp;IF(AND($N217&lt;&gt;"",$N217&gt;DateRef)," | Entretien daté dans le futur ?","")&amp;IF(AND($Q217&lt;&gt;"",$P217&lt;&gt;"",$Q217&gt;$P217)," | Date prévue après l'échéance","")&amp;IF(AND($Q217&lt;&gt;"",$Q217&lt;DateRef,OR($N217="",$N217&lt;$Q217))," | Entretien prévu passé : le consigner au Journal","")&amp;IF(AND($G217&lt;&gt;"",$X217="",YEAR(DateRef)-YEAR($G217)&gt;=AgeMiCarriere-1,YEAR(DateRef)-YEAR($G217)&lt;=AgeMiCarriere+1)," | Visite de mi-carrière à vérifier",""),4,1000))</f>
        <v/>
      </c>
      <c r="U217" s="39"/>
      <c r="V217" s="40"/>
      <c r="W217" s="42" t="str">
        <f aca="false">IF(OR($B217="",$V217=""),"",IF(AND($I217&lt;&gt;"",$I217&lt;=DateRef),"",IF(AND($N217&lt;&gt;"",$N217&gt;=$V217),"Réalisé",IF(AND($N217&lt;&gt;"",$N217&gt;=EDATE($V217,-FenetreRetour)),"Dispensé (EPP récent)",IF($V217&gt;DateRef,"À prévoir à la reprise","À proposer (reprise passée)")))))</f>
        <v/>
      </c>
      <c r="X217" s="40"/>
      <c r="Y217" s="43" t="str">
        <f aca="false">IF(OR($B217="",$X217=""),"",EDATE($X217,DelaiMiCarriere))</f>
        <v/>
      </c>
      <c r="Z217" s="42" t="str">
        <f aca="false">IF(OR($B217="",$X217=""),"",IF(AND($I217&lt;&gt;"",$I217&lt;=DateRef),"",IF(AND($N217&lt;&gt;"",$N217&gt;=$X217),"Réalisé",IF($Y217&lt;DateRef,"En retard","À planifier"))))</f>
        <v/>
      </c>
      <c r="AA217" s="47" t="str">
        <f aca="false">IF(OR($B217="",$G217=""),"",IF($G217&gt;DateRef,"",DATEDIF($G217,DateRef,"y")))</f>
        <v/>
      </c>
      <c r="AB217" s="43" t="str">
        <f aca="false">IF(OR($B217="",$G217=""),"",EDATE($G217,AgeFinCarriere*12))</f>
        <v/>
      </c>
      <c r="AC217" s="42" t="str">
        <f aca="false">IF(OR($B217="",$G217="",$H217=""),"",IF(AND($I217&lt;&gt;"",$I217&lt;=DateRef),"",IF($AB217&lt;DateVigueur,"Non concerné",IF(AND($N217&lt;&gt;"",$N217&gt;=MAX(EDATE($AB217,-FenetreFinCarriere*12),DateVigueur),$N217&lt;=$AB217),"Réalisé",IF(DateRef&gt;$AB217,"Non réalisé",IF(AND($Q217&lt;&gt;"",$Q217&gt;=EDATE($AB217,-FenetreFinCarriere*12),$Q217&lt;=$AB217),"Planifié dans la fenêtre",IF(AND(MAX($P217,DateRef)&gt;=EDATE($AB217,-FenetreFinCarriere*12),MAX($P217,DateRef)&lt;=$AB217),"Prochain EPP dans la fenêtre",IF(MAX($P217,DateRef)&gt;$AB217,"À programmer avant 60 ans",""))))))))</f>
        <v/>
      </c>
      <c r="AD217" s="40"/>
      <c r="AE217" s="43" t="str">
        <f aca="false">IF(OR($B217="",$H217="",AND($I217&lt;&gt;"",$I217&lt;=DateRef)),"",MAX($H217,$AD217,IF($A217="",0,SUMPRODUCT(MAX((Journal!$A$6:$A$1005=$A217)*((Journal!$D$6:$D$1005=TypeEDL)+(Journal!$D$6:$D$1005=TypeBilan6))*Journal!$C$6:$C$1005)))))</f>
        <v/>
      </c>
      <c r="AF217" s="43" t="str">
        <f aca="false">IF($AE217="","",IF(AND(ReglesTransitoires="Oui",EDATE($AE217,AnciennePeriodiciteEDL*12)&lt;DateVigueur),EDATE($AE217,AnciennePeriodiciteEDL*12),EDATE($AE217,PeriodiciteEDL*12)))</f>
        <v/>
      </c>
      <c r="AG217" s="42" t="str">
        <f aca="false">IF($AF217="","",IF(AND($I217&lt;&gt;"",$I217&lt;=DateRef),"",IF($AF217&lt;DateRef,"En retard",IF($AF217-DateRef&lt;=SeuilAlerteEDL,"À prévoir","À jour"))))</f>
        <v/>
      </c>
      <c r="AH217" s="39"/>
      <c r="AI217" s="39"/>
      <c r="AJ217" s="42" t="str">
        <f aca="false">IF(OR($B217="",$H217=""),"",IF(AND($I217&lt;&gt;"",$I217&lt;=DateRef),"",IF(Effectif&lt;SeuilEffectif,"Non concerné (&lt; "&amp;SeuilEffectif&amp;" salariés)",IF($AH217="Oui","Pas de risque",IF(AND(OR($AI217="Non",$S217="En retard"),$AH217="Non"),"Risque abondement",IF(OR($AI217="Non",$S217="En retard"),"À vérifier (formation ?)",IF($AI217="Oui","Pas de risque","À compléter")))))))</f>
        <v/>
      </c>
      <c r="AK217" s="39"/>
    </row>
    <row r="218" customFormat="false" ht="15" hidden="false" customHeight="false" outlineLevel="0" collapsed="false">
      <c r="A218" s="39"/>
      <c r="B218" s="39"/>
      <c r="C218" s="39"/>
      <c r="D218" s="39"/>
      <c r="E218" s="39"/>
      <c r="F218" s="39"/>
      <c r="G218" s="40"/>
      <c r="H218" s="40"/>
      <c r="I218" s="40"/>
      <c r="J218" s="41" t="str">
        <f aca="false">IF(OR($B218="",$H218=""),"",IF($H218&gt;DateRef,0,YEARFRAC($H218,DateRef,1)))</f>
        <v/>
      </c>
      <c r="K218" s="42" t="str">
        <f aca="false">IF(OR($B218="",$H218=""),"",IF(EDATE($H218,12)&lt;=DateRef,"Plus d'un an","Moins d'un an"))</f>
        <v/>
      </c>
      <c r="L218" s="40"/>
      <c r="M218" s="43" t="str">
        <f aca="false">IF(OR($B218="",$A218=""),"",IF(SUMPRODUCT(MAX((Journal!$A$6:$A$1005=$A218)*Journal!$C$6:$C$1005))=0,"",SUMPRODUCT(MAX((Journal!$A$6:$A$1005=$A218)*Journal!$C$6:$C$1005))))</f>
        <v/>
      </c>
      <c r="N218" s="43" t="str">
        <f aca="false">IF($B218="","",IF(MAX($L218,$M218)=0,"",MAX($L218,$M218)))</f>
        <v/>
      </c>
      <c r="O218" s="44" t="str">
        <f aca="false">IF(OR($B218="",$H218=""),"",IF($N218="",IF(EDATE($H218,DelaiPremierEPP)&gt;DateRef,"1er EPP (1re année)","Aucun entretien renseigné"),IF(AND(ReglesTransitoires="Oui",EDATE($N218,AnciennePeriodiciteEP*12)&lt;DateVigueur),"Retard antérieur à la réforme","Périodicité "&amp;PeriodiciteEPP&amp;" ans")))</f>
        <v/>
      </c>
      <c r="P218" s="43" t="str">
        <f aca="false">IF(OR($B218="",$H218=""),"",IF($N218="",EDATE($H218,DelaiPremierEPP),IF(AND(ReglesTransitoires="Oui",EDATE($N218,AnciennePeriodiciteEP*12)&lt;DateVigueur),EDATE($N218,AnciennePeriodiciteEP*12),EDATE($N218,PeriodiciteEPP*12))))</f>
        <v/>
      </c>
      <c r="Q218" s="40"/>
      <c r="R218" s="45" t="str">
        <f aca="false">IF(OR($P218="",AND($I218&lt;&gt;"",$I218&lt;=DateRef)),"",$P218-DateRef)</f>
        <v/>
      </c>
      <c r="S218" s="42" t="str">
        <f aca="false">IF($B218="","",IF(AND($I218&lt;&gt;"",$I218&lt;=DateRef),"Sorti",IF($H218="","À compléter",IF(AND($Q218&lt;&gt;"",$Q218&gt;=DateRef,$Q218&lt;=$P218),"Planifié",IF($R218&lt;0,"En retard",IF($R218&lt;=SeuilAlerteEPP,"À planifier","À jour"))))))</f>
        <v/>
      </c>
      <c r="T218" s="46" t="str">
        <f aca="false">IF(OR($B218="",$S218="Sorti"),"",MID(IF($H218=""," | Date d'embauche manquante","")&amp;IF(AND($K218="Plus d'un an",$N218="")," | Précédent entretien à renseigner (ancienneté &gt; 1 an)","")&amp;IF($O218="Retard antérieur à la réforme"," | Ancien délai de 2 ans expiré avant la réforme","")&amp;IF(AND($N218&lt;&gt;"",$H218&lt;&gt;"",$N218&lt;$H218)," | Entretien antérieur à l'embauche ?","")&amp;IF(AND($N218&lt;&gt;"",$N218&gt;DateRef)," | Entretien daté dans le futur ?","")&amp;IF(AND($Q218&lt;&gt;"",$P218&lt;&gt;"",$Q218&gt;$P218)," | Date prévue après l'échéance","")&amp;IF(AND($Q218&lt;&gt;"",$Q218&lt;DateRef,OR($N218="",$N218&lt;$Q218))," | Entretien prévu passé : le consigner au Journal","")&amp;IF(AND($G218&lt;&gt;"",$X218="",YEAR(DateRef)-YEAR($G218)&gt;=AgeMiCarriere-1,YEAR(DateRef)-YEAR($G218)&lt;=AgeMiCarriere+1)," | Visite de mi-carrière à vérifier",""),4,1000))</f>
        <v/>
      </c>
      <c r="U218" s="39"/>
      <c r="V218" s="40"/>
      <c r="W218" s="42" t="str">
        <f aca="false">IF(OR($B218="",$V218=""),"",IF(AND($I218&lt;&gt;"",$I218&lt;=DateRef),"",IF(AND($N218&lt;&gt;"",$N218&gt;=$V218),"Réalisé",IF(AND($N218&lt;&gt;"",$N218&gt;=EDATE($V218,-FenetreRetour)),"Dispensé (EPP récent)",IF($V218&gt;DateRef,"À prévoir à la reprise","À proposer (reprise passée)")))))</f>
        <v/>
      </c>
      <c r="X218" s="40"/>
      <c r="Y218" s="43" t="str">
        <f aca="false">IF(OR($B218="",$X218=""),"",EDATE($X218,DelaiMiCarriere))</f>
        <v/>
      </c>
      <c r="Z218" s="42" t="str">
        <f aca="false">IF(OR($B218="",$X218=""),"",IF(AND($I218&lt;&gt;"",$I218&lt;=DateRef),"",IF(AND($N218&lt;&gt;"",$N218&gt;=$X218),"Réalisé",IF($Y218&lt;DateRef,"En retard","À planifier"))))</f>
        <v/>
      </c>
      <c r="AA218" s="47" t="str">
        <f aca="false">IF(OR($B218="",$G218=""),"",IF($G218&gt;DateRef,"",DATEDIF($G218,DateRef,"y")))</f>
        <v/>
      </c>
      <c r="AB218" s="43" t="str">
        <f aca="false">IF(OR($B218="",$G218=""),"",EDATE($G218,AgeFinCarriere*12))</f>
        <v/>
      </c>
      <c r="AC218" s="42" t="str">
        <f aca="false">IF(OR($B218="",$G218="",$H218=""),"",IF(AND($I218&lt;&gt;"",$I218&lt;=DateRef),"",IF($AB218&lt;DateVigueur,"Non concerné",IF(AND($N218&lt;&gt;"",$N218&gt;=MAX(EDATE($AB218,-FenetreFinCarriere*12),DateVigueur),$N218&lt;=$AB218),"Réalisé",IF(DateRef&gt;$AB218,"Non réalisé",IF(AND($Q218&lt;&gt;"",$Q218&gt;=EDATE($AB218,-FenetreFinCarriere*12),$Q218&lt;=$AB218),"Planifié dans la fenêtre",IF(AND(MAX($P218,DateRef)&gt;=EDATE($AB218,-FenetreFinCarriere*12),MAX($P218,DateRef)&lt;=$AB218),"Prochain EPP dans la fenêtre",IF(MAX($P218,DateRef)&gt;$AB218,"À programmer avant 60 ans",""))))))))</f>
        <v/>
      </c>
      <c r="AD218" s="40"/>
      <c r="AE218" s="43" t="str">
        <f aca="false">IF(OR($B218="",$H218="",AND($I218&lt;&gt;"",$I218&lt;=DateRef)),"",MAX($H218,$AD218,IF($A218="",0,SUMPRODUCT(MAX((Journal!$A$6:$A$1005=$A218)*((Journal!$D$6:$D$1005=TypeEDL)+(Journal!$D$6:$D$1005=TypeBilan6))*Journal!$C$6:$C$1005)))))</f>
        <v/>
      </c>
      <c r="AF218" s="43" t="str">
        <f aca="false">IF($AE218="","",IF(AND(ReglesTransitoires="Oui",EDATE($AE218,AnciennePeriodiciteEDL*12)&lt;DateVigueur),EDATE($AE218,AnciennePeriodiciteEDL*12),EDATE($AE218,PeriodiciteEDL*12)))</f>
        <v/>
      </c>
      <c r="AG218" s="42" t="str">
        <f aca="false">IF($AF218="","",IF(AND($I218&lt;&gt;"",$I218&lt;=DateRef),"",IF($AF218&lt;DateRef,"En retard",IF($AF218-DateRef&lt;=SeuilAlerteEDL,"À prévoir","À jour"))))</f>
        <v/>
      </c>
      <c r="AH218" s="39"/>
      <c r="AI218" s="39"/>
      <c r="AJ218" s="42" t="str">
        <f aca="false">IF(OR($B218="",$H218=""),"",IF(AND($I218&lt;&gt;"",$I218&lt;=DateRef),"",IF(Effectif&lt;SeuilEffectif,"Non concerné (&lt; "&amp;SeuilEffectif&amp;" salariés)",IF($AH218="Oui","Pas de risque",IF(AND(OR($AI218="Non",$S218="En retard"),$AH218="Non"),"Risque abondement",IF(OR($AI218="Non",$S218="En retard"),"À vérifier (formation ?)",IF($AI218="Oui","Pas de risque","À compléter")))))))</f>
        <v/>
      </c>
      <c r="AK218" s="39"/>
    </row>
    <row r="219" customFormat="false" ht="15" hidden="false" customHeight="false" outlineLevel="0" collapsed="false">
      <c r="A219" s="39"/>
      <c r="B219" s="39"/>
      <c r="C219" s="39"/>
      <c r="D219" s="39"/>
      <c r="E219" s="39"/>
      <c r="F219" s="39"/>
      <c r="G219" s="40"/>
      <c r="H219" s="40"/>
      <c r="I219" s="40"/>
      <c r="J219" s="41" t="str">
        <f aca="false">IF(OR($B219="",$H219=""),"",IF($H219&gt;DateRef,0,YEARFRAC($H219,DateRef,1)))</f>
        <v/>
      </c>
      <c r="K219" s="42" t="str">
        <f aca="false">IF(OR($B219="",$H219=""),"",IF(EDATE($H219,12)&lt;=DateRef,"Plus d'un an","Moins d'un an"))</f>
        <v/>
      </c>
      <c r="L219" s="40"/>
      <c r="M219" s="43" t="str">
        <f aca="false">IF(OR($B219="",$A219=""),"",IF(SUMPRODUCT(MAX((Journal!$A$6:$A$1005=$A219)*Journal!$C$6:$C$1005))=0,"",SUMPRODUCT(MAX((Journal!$A$6:$A$1005=$A219)*Journal!$C$6:$C$1005))))</f>
        <v/>
      </c>
      <c r="N219" s="43" t="str">
        <f aca="false">IF($B219="","",IF(MAX($L219,$M219)=0,"",MAX($L219,$M219)))</f>
        <v/>
      </c>
      <c r="O219" s="44" t="str">
        <f aca="false">IF(OR($B219="",$H219=""),"",IF($N219="",IF(EDATE($H219,DelaiPremierEPP)&gt;DateRef,"1er EPP (1re année)","Aucun entretien renseigné"),IF(AND(ReglesTransitoires="Oui",EDATE($N219,AnciennePeriodiciteEP*12)&lt;DateVigueur),"Retard antérieur à la réforme","Périodicité "&amp;PeriodiciteEPP&amp;" ans")))</f>
        <v/>
      </c>
      <c r="P219" s="43" t="str">
        <f aca="false">IF(OR($B219="",$H219=""),"",IF($N219="",EDATE($H219,DelaiPremierEPP),IF(AND(ReglesTransitoires="Oui",EDATE($N219,AnciennePeriodiciteEP*12)&lt;DateVigueur),EDATE($N219,AnciennePeriodiciteEP*12),EDATE($N219,PeriodiciteEPP*12))))</f>
        <v/>
      </c>
      <c r="Q219" s="40"/>
      <c r="R219" s="45" t="str">
        <f aca="false">IF(OR($P219="",AND($I219&lt;&gt;"",$I219&lt;=DateRef)),"",$P219-DateRef)</f>
        <v/>
      </c>
      <c r="S219" s="42" t="str">
        <f aca="false">IF($B219="","",IF(AND($I219&lt;&gt;"",$I219&lt;=DateRef),"Sorti",IF($H219="","À compléter",IF(AND($Q219&lt;&gt;"",$Q219&gt;=DateRef,$Q219&lt;=$P219),"Planifié",IF($R219&lt;0,"En retard",IF($R219&lt;=SeuilAlerteEPP,"À planifier","À jour"))))))</f>
        <v/>
      </c>
      <c r="T219" s="46" t="str">
        <f aca="false">IF(OR($B219="",$S219="Sorti"),"",MID(IF($H219=""," | Date d'embauche manquante","")&amp;IF(AND($K219="Plus d'un an",$N219="")," | Précédent entretien à renseigner (ancienneté &gt; 1 an)","")&amp;IF($O219="Retard antérieur à la réforme"," | Ancien délai de 2 ans expiré avant la réforme","")&amp;IF(AND($N219&lt;&gt;"",$H219&lt;&gt;"",$N219&lt;$H219)," | Entretien antérieur à l'embauche ?","")&amp;IF(AND($N219&lt;&gt;"",$N219&gt;DateRef)," | Entretien daté dans le futur ?","")&amp;IF(AND($Q219&lt;&gt;"",$P219&lt;&gt;"",$Q219&gt;$P219)," | Date prévue après l'échéance","")&amp;IF(AND($Q219&lt;&gt;"",$Q219&lt;DateRef,OR($N219="",$N219&lt;$Q219))," | Entretien prévu passé : le consigner au Journal","")&amp;IF(AND($G219&lt;&gt;"",$X219="",YEAR(DateRef)-YEAR($G219)&gt;=AgeMiCarriere-1,YEAR(DateRef)-YEAR($G219)&lt;=AgeMiCarriere+1)," | Visite de mi-carrière à vérifier",""),4,1000))</f>
        <v/>
      </c>
      <c r="U219" s="39"/>
      <c r="V219" s="40"/>
      <c r="W219" s="42" t="str">
        <f aca="false">IF(OR($B219="",$V219=""),"",IF(AND($I219&lt;&gt;"",$I219&lt;=DateRef),"",IF(AND($N219&lt;&gt;"",$N219&gt;=$V219),"Réalisé",IF(AND($N219&lt;&gt;"",$N219&gt;=EDATE($V219,-FenetreRetour)),"Dispensé (EPP récent)",IF($V219&gt;DateRef,"À prévoir à la reprise","À proposer (reprise passée)")))))</f>
        <v/>
      </c>
      <c r="X219" s="40"/>
      <c r="Y219" s="43" t="str">
        <f aca="false">IF(OR($B219="",$X219=""),"",EDATE($X219,DelaiMiCarriere))</f>
        <v/>
      </c>
      <c r="Z219" s="42" t="str">
        <f aca="false">IF(OR($B219="",$X219=""),"",IF(AND($I219&lt;&gt;"",$I219&lt;=DateRef),"",IF(AND($N219&lt;&gt;"",$N219&gt;=$X219),"Réalisé",IF($Y219&lt;DateRef,"En retard","À planifier"))))</f>
        <v/>
      </c>
      <c r="AA219" s="47" t="str">
        <f aca="false">IF(OR($B219="",$G219=""),"",IF($G219&gt;DateRef,"",DATEDIF($G219,DateRef,"y")))</f>
        <v/>
      </c>
      <c r="AB219" s="43" t="str">
        <f aca="false">IF(OR($B219="",$G219=""),"",EDATE($G219,AgeFinCarriere*12))</f>
        <v/>
      </c>
      <c r="AC219" s="42" t="str">
        <f aca="false">IF(OR($B219="",$G219="",$H219=""),"",IF(AND($I219&lt;&gt;"",$I219&lt;=DateRef),"",IF($AB219&lt;DateVigueur,"Non concerné",IF(AND($N219&lt;&gt;"",$N219&gt;=MAX(EDATE($AB219,-FenetreFinCarriere*12),DateVigueur),$N219&lt;=$AB219),"Réalisé",IF(DateRef&gt;$AB219,"Non réalisé",IF(AND($Q219&lt;&gt;"",$Q219&gt;=EDATE($AB219,-FenetreFinCarriere*12),$Q219&lt;=$AB219),"Planifié dans la fenêtre",IF(AND(MAX($P219,DateRef)&gt;=EDATE($AB219,-FenetreFinCarriere*12),MAX($P219,DateRef)&lt;=$AB219),"Prochain EPP dans la fenêtre",IF(MAX($P219,DateRef)&gt;$AB219,"À programmer avant 60 ans",""))))))))</f>
        <v/>
      </c>
      <c r="AD219" s="40"/>
      <c r="AE219" s="43" t="str">
        <f aca="false">IF(OR($B219="",$H219="",AND($I219&lt;&gt;"",$I219&lt;=DateRef)),"",MAX($H219,$AD219,IF($A219="",0,SUMPRODUCT(MAX((Journal!$A$6:$A$1005=$A219)*((Journal!$D$6:$D$1005=TypeEDL)+(Journal!$D$6:$D$1005=TypeBilan6))*Journal!$C$6:$C$1005)))))</f>
        <v/>
      </c>
      <c r="AF219" s="43" t="str">
        <f aca="false">IF($AE219="","",IF(AND(ReglesTransitoires="Oui",EDATE($AE219,AnciennePeriodiciteEDL*12)&lt;DateVigueur),EDATE($AE219,AnciennePeriodiciteEDL*12),EDATE($AE219,PeriodiciteEDL*12)))</f>
        <v/>
      </c>
      <c r="AG219" s="42" t="str">
        <f aca="false">IF($AF219="","",IF(AND($I219&lt;&gt;"",$I219&lt;=DateRef),"",IF($AF219&lt;DateRef,"En retard",IF($AF219-DateRef&lt;=SeuilAlerteEDL,"À prévoir","À jour"))))</f>
        <v/>
      </c>
      <c r="AH219" s="39"/>
      <c r="AI219" s="39"/>
      <c r="AJ219" s="42" t="str">
        <f aca="false">IF(OR($B219="",$H219=""),"",IF(AND($I219&lt;&gt;"",$I219&lt;=DateRef),"",IF(Effectif&lt;SeuilEffectif,"Non concerné (&lt; "&amp;SeuilEffectif&amp;" salariés)",IF($AH219="Oui","Pas de risque",IF(AND(OR($AI219="Non",$S219="En retard"),$AH219="Non"),"Risque abondement",IF(OR($AI219="Non",$S219="En retard"),"À vérifier (formation ?)",IF($AI219="Oui","Pas de risque","À compléter")))))))</f>
        <v/>
      </c>
      <c r="AK219" s="39"/>
    </row>
    <row r="220" customFormat="false" ht="15" hidden="false" customHeight="false" outlineLevel="0" collapsed="false">
      <c r="A220" s="39"/>
      <c r="B220" s="39"/>
      <c r="C220" s="39"/>
      <c r="D220" s="39"/>
      <c r="E220" s="39"/>
      <c r="F220" s="39"/>
      <c r="G220" s="40"/>
      <c r="H220" s="40"/>
      <c r="I220" s="40"/>
      <c r="J220" s="41" t="str">
        <f aca="false">IF(OR($B220="",$H220=""),"",IF($H220&gt;DateRef,0,YEARFRAC($H220,DateRef,1)))</f>
        <v/>
      </c>
      <c r="K220" s="42" t="str">
        <f aca="false">IF(OR($B220="",$H220=""),"",IF(EDATE($H220,12)&lt;=DateRef,"Plus d'un an","Moins d'un an"))</f>
        <v/>
      </c>
      <c r="L220" s="40"/>
      <c r="M220" s="43" t="str">
        <f aca="false">IF(OR($B220="",$A220=""),"",IF(SUMPRODUCT(MAX((Journal!$A$6:$A$1005=$A220)*Journal!$C$6:$C$1005))=0,"",SUMPRODUCT(MAX((Journal!$A$6:$A$1005=$A220)*Journal!$C$6:$C$1005))))</f>
        <v/>
      </c>
      <c r="N220" s="43" t="str">
        <f aca="false">IF($B220="","",IF(MAX($L220,$M220)=0,"",MAX($L220,$M220)))</f>
        <v/>
      </c>
      <c r="O220" s="44" t="str">
        <f aca="false">IF(OR($B220="",$H220=""),"",IF($N220="",IF(EDATE($H220,DelaiPremierEPP)&gt;DateRef,"1er EPP (1re année)","Aucun entretien renseigné"),IF(AND(ReglesTransitoires="Oui",EDATE($N220,AnciennePeriodiciteEP*12)&lt;DateVigueur),"Retard antérieur à la réforme","Périodicité "&amp;PeriodiciteEPP&amp;" ans")))</f>
        <v/>
      </c>
      <c r="P220" s="43" t="str">
        <f aca="false">IF(OR($B220="",$H220=""),"",IF($N220="",EDATE($H220,DelaiPremierEPP),IF(AND(ReglesTransitoires="Oui",EDATE($N220,AnciennePeriodiciteEP*12)&lt;DateVigueur),EDATE($N220,AnciennePeriodiciteEP*12),EDATE($N220,PeriodiciteEPP*12))))</f>
        <v/>
      </c>
      <c r="Q220" s="40"/>
      <c r="R220" s="45" t="str">
        <f aca="false">IF(OR($P220="",AND($I220&lt;&gt;"",$I220&lt;=DateRef)),"",$P220-DateRef)</f>
        <v/>
      </c>
      <c r="S220" s="42" t="str">
        <f aca="false">IF($B220="","",IF(AND($I220&lt;&gt;"",$I220&lt;=DateRef),"Sorti",IF($H220="","À compléter",IF(AND($Q220&lt;&gt;"",$Q220&gt;=DateRef,$Q220&lt;=$P220),"Planifié",IF($R220&lt;0,"En retard",IF($R220&lt;=SeuilAlerteEPP,"À planifier","À jour"))))))</f>
        <v/>
      </c>
      <c r="T220" s="46" t="str">
        <f aca="false">IF(OR($B220="",$S220="Sorti"),"",MID(IF($H220=""," | Date d'embauche manquante","")&amp;IF(AND($K220="Plus d'un an",$N220="")," | Précédent entretien à renseigner (ancienneté &gt; 1 an)","")&amp;IF($O220="Retard antérieur à la réforme"," | Ancien délai de 2 ans expiré avant la réforme","")&amp;IF(AND($N220&lt;&gt;"",$H220&lt;&gt;"",$N220&lt;$H220)," | Entretien antérieur à l'embauche ?","")&amp;IF(AND($N220&lt;&gt;"",$N220&gt;DateRef)," | Entretien daté dans le futur ?","")&amp;IF(AND($Q220&lt;&gt;"",$P220&lt;&gt;"",$Q220&gt;$P220)," | Date prévue après l'échéance","")&amp;IF(AND($Q220&lt;&gt;"",$Q220&lt;DateRef,OR($N220="",$N220&lt;$Q220))," | Entretien prévu passé : le consigner au Journal","")&amp;IF(AND($G220&lt;&gt;"",$X220="",YEAR(DateRef)-YEAR($G220)&gt;=AgeMiCarriere-1,YEAR(DateRef)-YEAR($G220)&lt;=AgeMiCarriere+1)," | Visite de mi-carrière à vérifier",""),4,1000))</f>
        <v/>
      </c>
      <c r="U220" s="39"/>
      <c r="V220" s="40"/>
      <c r="W220" s="42" t="str">
        <f aca="false">IF(OR($B220="",$V220=""),"",IF(AND($I220&lt;&gt;"",$I220&lt;=DateRef),"",IF(AND($N220&lt;&gt;"",$N220&gt;=$V220),"Réalisé",IF(AND($N220&lt;&gt;"",$N220&gt;=EDATE($V220,-FenetreRetour)),"Dispensé (EPP récent)",IF($V220&gt;DateRef,"À prévoir à la reprise","À proposer (reprise passée)")))))</f>
        <v/>
      </c>
      <c r="X220" s="40"/>
      <c r="Y220" s="43" t="str">
        <f aca="false">IF(OR($B220="",$X220=""),"",EDATE($X220,DelaiMiCarriere))</f>
        <v/>
      </c>
      <c r="Z220" s="42" t="str">
        <f aca="false">IF(OR($B220="",$X220=""),"",IF(AND($I220&lt;&gt;"",$I220&lt;=DateRef),"",IF(AND($N220&lt;&gt;"",$N220&gt;=$X220),"Réalisé",IF($Y220&lt;DateRef,"En retard","À planifier"))))</f>
        <v/>
      </c>
      <c r="AA220" s="47" t="str">
        <f aca="false">IF(OR($B220="",$G220=""),"",IF($G220&gt;DateRef,"",DATEDIF($G220,DateRef,"y")))</f>
        <v/>
      </c>
      <c r="AB220" s="43" t="str">
        <f aca="false">IF(OR($B220="",$G220=""),"",EDATE($G220,AgeFinCarriere*12))</f>
        <v/>
      </c>
      <c r="AC220" s="42" t="str">
        <f aca="false">IF(OR($B220="",$G220="",$H220=""),"",IF(AND($I220&lt;&gt;"",$I220&lt;=DateRef),"",IF($AB220&lt;DateVigueur,"Non concerné",IF(AND($N220&lt;&gt;"",$N220&gt;=MAX(EDATE($AB220,-FenetreFinCarriere*12),DateVigueur),$N220&lt;=$AB220),"Réalisé",IF(DateRef&gt;$AB220,"Non réalisé",IF(AND($Q220&lt;&gt;"",$Q220&gt;=EDATE($AB220,-FenetreFinCarriere*12),$Q220&lt;=$AB220),"Planifié dans la fenêtre",IF(AND(MAX($P220,DateRef)&gt;=EDATE($AB220,-FenetreFinCarriere*12),MAX($P220,DateRef)&lt;=$AB220),"Prochain EPP dans la fenêtre",IF(MAX($P220,DateRef)&gt;$AB220,"À programmer avant 60 ans",""))))))))</f>
        <v/>
      </c>
      <c r="AD220" s="40"/>
      <c r="AE220" s="43" t="str">
        <f aca="false">IF(OR($B220="",$H220="",AND($I220&lt;&gt;"",$I220&lt;=DateRef)),"",MAX($H220,$AD220,IF($A220="",0,SUMPRODUCT(MAX((Journal!$A$6:$A$1005=$A220)*((Journal!$D$6:$D$1005=TypeEDL)+(Journal!$D$6:$D$1005=TypeBilan6))*Journal!$C$6:$C$1005)))))</f>
        <v/>
      </c>
      <c r="AF220" s="43" t="str">
        <f aca="false">IF($AE220="","",IF(AND(ReglesTransitoires="Oui",EDATE($AE220,AnciennePeriodiciteEDL*12)&lt;DateVigueur),EDATE($AE220,AnciennePeriodiciteEDL*12),EDATE($AE220,PeriodiciteEDL*12)))</f>
        <v/>
      </c>
      <c r="AG220" s="42" t="str">
        <f aca="false">IF($AF220="","",IF(AND($I220&lt;&gt;"",$I220&lt;=DateRef),"",IF($AF220&lt;DateRef,"En retard",IF($AF220-DateRef&lt;=SeuilAlerteEDL,"À prévoir","À jour"))))</f>
        <v/>
      </c>
      <c r="AH220" s="39"/>
      <c r="AI220" s="39"/>
      <c r="AJ220" s="42" t="str">
        <f aca="false">IF(OR($B220="",$H220=""),"",IF(AND($I220&lt;&gt;"",$I220&lt;=DateRef),"",IF(Effectif&lt;SeuilEffectif,"Non concerné (&lt; "&amp;SeuilEffectif&amp;" salariés)",IF($AH220="Oui","Pas de risque",IF(AND(OR($AI220="Non",$S220="En retard"),$AH220="Non"),"Risque abondement",IF(OR($AI220="Non",$S220="En retard"),"À vérifier (formation ?)",IF($AI220="Oui","Pas de risque","À compléter")))))))</f>
        <v/>
      </c>
      <c r="AK220" s="39"/>
    </row>
    <row r="221" customFormat="false" ht="15" hidden="false" customHeight="false" outlineLevel="0" collapsed="false">
      <c r="A221" s="39"/>
      <c r="B221" s="39"/>
      <c r="C221" s="39"/>
      <c r="D221" s="39"/>
      <c r="E221" s="39"/>
      <c r="F221" s="39"/>
      <c r="G221" s="40"/>
      <c r="H221" s="40"/>
      <c r="I221" s="40"/>
      <c r="J221" s="41" t="str">
        <f aca="false">IF(OR($B221="",$H221=""),"",IF($H221&gt;DateRef,0,YEARFRAC($H221,DateRef,1)))</f>
        <v/>
      </c>
      <c r="K221" s="42" t="str">
        <f aca="false">IF(OR($B221="",$H221=""),"",IF(EDATE($H221,12)&lt;=DateRef,"Plus d'un an","Moins d'un an"))</f>
        <v/>
      </c>
      <c r="L221" s="40"/>
      <c r="M221" s="43" t="str">
        <f aca="false">IF(OR($B221="",$A221=""),"",IF(SUMPRODUCT(MAX((Journal!$A$6:$A$1005=$A221)*Journal!$C$6:$C$1005))=0,"",SUMPRODUCT(MAX((Journal!$A$6:$A$1005=$A221)*Journal!$C$6:$C$1005))))</f>
        <v/>
      </c>
      <c r="N221" s="43" t="str">
        <f aca="false">IF($B221="","",IF(MAX($L221,$M221)=0,"",MAX($L221,$M221)))</f>
        <v/>
      </c>
      <c r="O221" s="44" t="str">
        <f aca="false">IF(OR($B221="",$H221=""),"",IF($N221="",IF(EDATE($H221,DelaiPremierEPP)&gt;DateRef,"1er EPP (1re année)","Aucun entretien renseigné"),IF(AND(ReglesTransitoires="Oui",EDATE($N221,AnciennePeriodiciteEP*12)&lt;DateVigueur),"Retard antérieur à la réforme","Périodicité "&amp;PeriodiciteEPP&amp;" ans")))</f>
        <v/>
      </c>
      <c r="P221" s="43" t="str">
        <f aca="false">IF(OR($B221="",$H221=""),"",IF($N221="",EDATE($H221,DelaiPremierEPP),IF(AND(ReglesTransitoires="Oui",EDATE($N221,AnciennePeriodiciteEP*12)&lt;DateVigueur),EDATE($N221,AnciennePeriodiciteEP*12),EDATE($N221,PeriodiciteEPP*12))))</f>
        <v/>
      </c>
      <c r="Q221" s="40"/>
      <c r="R221" s="45" t="str">
        <f aca="false">IF(OR($P221="",AND($I221&lt;&gt;"",$I221&lt;=DateRef)),"",$P221-DateRef)</f>
        <v/>
      </c>
      <c r="S221" s="42" t="str">
        <f aca="false">IF($B221="","",IF(AND($I221&lt;&gt;"",$I221&lt;=DateRef),"Sorti",IF($H221="","À compléter",IF(AND($Q221&lt;&gt;"",$Q221&gt;=DateRef,$Q221&lt;=$P221),"Planifié",IF($R221&lt;0,"En retard",IF($R221&lt;=SeuilAlerteEPP,"À planifier","À jour"))))))</f>
        <v/>
      </c>
      <c r="T221" s="46" t="str">
        <f aca="false">IF(OR($B221="",$S221="Sorti"),"",MID(IF($H221=""," | Date d'embauche manquante","")&amp;IF(AND($K221="Plus d'un an",$N221="")," | Précédent entretien à renseigner (ancienneté &gt; 1 an)","")&amp;IF($O221="Retard antérieur à la réforme"," | Ancien délai de 2 ans expiré avant la réforme","")&amp;IF(AND($N221&lt;&gt;"",$H221&lt;&gt;"",$N221&lt;$H221)," | Entretien antérieur à l'embauche ?","")&amp;IF(AND($N221&lt;&gt;"",$N221&gt;DateRef)," | Entretien daté dans le futur ?","")&amp;IF(AND($Q221&lt;&gt;"",$P221&lt;&gt;"",$Q221&gt;$P221)," | Date prévue après l'échéance","")&amp;IF(AND($Q221&lt;&gt;"",$Q221&lt;DateRef,OR($N221="",$N221&lt;$Q221))," | Entretien prévu passé : le consigner au Journal","")&amp;IF(AND($G221&lt;&gt;"",$X221="",YEAR(DateRef)-YEAR($G221)&gt;=AgeMiCarriere-1,YEAR(DateRef)-YEAR($G221)&lt;=AgeMiCarriere+1)," | Visite de mi-carrière à vérifier",""),4,1000))</f>
        <v/>
      </c>
      <c r="U221" s="39"/>
      <c r="V221" s="40"/>
      <c r="W221" s="42" t="str">
        <f aca="false">IF(OR($B221="",$V221=""),"",IF(AND($I221&lt;&gt;"",$I221&lt;=DateRef),"",IF(AND($N221&lt;&gt;"",$N221&gt;=$V221),"Réalisé",IF(AND($N221&lt;&gt;"",$N221&gt;=EDATE($V221,-FenetreRetour)),"Dispensé (EPP récent)",IF($V221&gt;DateRef,"À prévoir à la reprise","À proposer (reprise passée)")))))</f>
        <v/>
      </c>
      <c r="X221" s="40"/>
      <c r="Y221" s="43" t="str">
        <f aca="false">IF(OR($B221="",$X221=""),"",EDATE($X221,DelaiMiCarriere))</f>
        <v/>
      </c>
      <c r="Z221" s="42" t="str">
        <f aca="false">IF(OR($B221="",$X221=""),"",IF(AND($I221&lt;&gt;"",$I221&lt;=DateRef),"",IF(AND($N221&lt;&gt;"",$N221&gt;=$X221),"Réalisé",IF($Y221&lt;DateRef,"En retard","À planifier"))))</f>
        <v/>
      </c>
      <c r="AA221" s="47" t="str">
        <f aca="false">IF(OR($B221="",$G221=""),"",IF($G221&gt;DateRef,"",DATEDIF($G221,DateRef,"y")))</f>
        <v/>
      </c>
      <c r="AB221" s="43" t="str">
        <f aca="false">IF(OR($B221="",$G221=""),"",EDATE($G221,AgeFinCarriere*12))</f>
        <v/>
      </c>
      <c r="AC221" s="42" t="str">
        <f aca="false">IF(OR($B221="",$G221="",$H221=""),"",IF(AND($I221&lt;&gt;"",$I221&lt;=DateRef),"",IF($AB221&lt;DateVigueur,"Non concerné",IF(AND($N221&lt;&gt;"",$N221&gt;=MAX(EDATE($AB221,-FenetreFinCarriere*12),DateVigueur),$N221&lt;=$AB221),"Réalisé",IF(DateRef&gt;$AB221,"Non réalisé",IF(AND($Q221&lt;&gt;"",$Q221&gt;=EDATE($AB221,-FenetreFinCarriere*12),$Q221&lt;=$AB221),"Planifié dans la fenêtre",IF(AND(MAX($P221,DateRef)&gt;=EDATE($AB221,-FenetreFinCarriere*12),MAX($P221,DateRef)&lt;=$AB221),"Prochain EPP dans la fenêtre",IF(MAX($P221,DateRef)&gt;$AB221,"À programmer avant 60 ans",""))))))))</f>
        <v/>
      </c>
      <c r="AD221" s="40"/>
      <c r="AE221" s="43" t="str">
        <f aca="false">IF(OR($B221="",$H221="",AND($I221&lt;&gt;"",$I221&lt;=DateRef)),"",MAX($H221,$AD221,IF($A221="",0,SUMPRODUCT(MAX((Journal!$A$6:$A$1005=$A221)*((Journal!$D$6:$D$1005=TypeEDL)+(Journal!$D$6:$D$1005=TypeBilan6))*Journal!$C$6:$C$1005)))))</f>
        <v/>
      </c>
      <c r="AF221" s="43" t="str">
        <f aca="false">IF($AE221="","",IF(AND(ReglesTransitoires="Oui",EDATE($AE221,AnciennePeriodiciteEDL*12)&lt;DateVigueur),EDATE($AE221,AnciennePeriodiciteEDL*12),EDATE($AE221,PeriodiciteEDL*12)))</f>
        <v/>
      </c>
      <c r="AG221" s="42" t="str">
        <f aca="false">IF($AF221="","",IF(AND($I221&lt;&gt;"",$I221&lt;=DateRef),"",IF($AF221&lt;DateRef,"En retard",IF($AF221-DateRef&lt;=SeuilAlerteEDL,"À prévoir","À jour"))))</f>
        <v/>
      </c>
      <c r="AH221" s="39"/>
      <c r="AI221" s="39"/>
      <c r="AJ221" s="42" t="str">
        <f aca="false">IF(OR($B221="",$H221=""),"",IF(AND($I221&lt;&gt;"",$I221&lt;=DateRef),"",IF(Effectif&lt;SeuilEffectif,"Non concerné (&lt; "&amp;SeuilEffectif&amp;" salariés)",IF($AH221="Oui","Pas de risque",IF(AND(OR($AI221="Non",$S221="En retard"),$AH221="Non"),"Risque abondement",IF(OR($AI221="Non",$S221="En retard"),"À vérifier (formation ?)",IF($AI221="Oui","Pas de risque","À compléter")))))))</f>
        <v/>
      </c>
      <c r="AK221" s="39"/>
    </row>
    <row r="222" customFormat="false" ht="15" hidden="false" customHeight="false" outlineLevel="0" collapsed="false">
      <c r="A222" s="39"/>
      <c r="B222" s="39"/>
      <c r="C222" s="39"/>
      <c r="D222" s="39"/>
      <c r="E222" s="39"/>
      <c r="F222" s="39"/>
      <c r="G222" s="40"/>
      <c r="H222" s="40"/>
      <c r="I222" s="40"/>
      <c r="J222" s="41" t="str">
        <f aca="false">IF(OR($B222="",$H222=""),"",IF($H222&gt;DateRef,0,YEARFRAC($H222,DateRef,1)))</f>
        <v/>
      </c>
      <c r="K222" s="42" t="str">
        <f aca="false">IF(OR($B222="",$H222=""),"",IF(EDATE($H222,12)&lt;=DateRef,"Plus d'un an","Moins d'un an"))</f>
        <v/>
      </c>
      <c r="L222" s="40"/>
      <c r="M222" s="43" t="str">
        <f aca="false">IF(OR($B222="",$A222=""),"",IF(SUMPRODUCT(MAX((Journal!$A$6:$A$1005=$A222)*Journal!$C$6:$C$1005))=0,"",SUMPRODUCT(MAX((Journal!$A$6:$A$1005=$A222)*Journal!$C$6:$C$1005))))</f>
        <v/>
      </c>
      <c r="N222" s="43" t="str">
        <f aca="false">IF($B222="","",IF(MAX($L222,$M222)=0,"",MAX($L222,$M222)))</f>
        <v/>
      </c>
      <c r="O222" s="44" t="str">
        <f aca="false">IF(OR($B222="",$H222=""),"",IF($N222="",IF(EDATE($H222,DelaiPremierEPP)&gt;DateRef,"1er EPP (1re année)","Aucun entretien renseigné"),IF(AND(ReglesTransitoires="Oui",EDATE($N222,AnciennePeriodiciteEP*12)&lt;DateVigueur),"Retard antérieur à la réforme","Périodicité "&amp;PeriodiciteEPP&amp;" ans")))</f>
        <v/>
      </c>
      <c r="P222" s="43" t="str">
        <f aca="false">IF(OR($B222="",$H222=""),"",IF($N222="",EDATE($H222,DelaiPremierEPP),IF(AND(ReglesTransitoires="Oui",EDATE($N222,AnciennePeriodiciteEP*12)&lt;DateVigueur),EDATE($N222,AnciennePeriodiciteEP*12),EDATE($N222,PeriodiciteEPP*12))))</f>
        <v/>
      </c>
      <c r="Q222" s="40"/>
      <c r="R222" s="45" t="str">
        <f aca="false">IF(OR($P222="",AND($I222&lt;&gt;"",$I222&lt;=DateRef)),"",$P222-DateRef)</f>
        <v/>
      </c>
      <c r="S222" s="42" t="str">
        <f aca="false">IF($B222="","",IF(AND($I222&lt;&gt;"",$I222&lt;=DateRef),"Sorti",IF($H222="","À compléter",IF(AND($Q222&lt;&gt;"",$Q222&gt;=DateRef,$Q222&lt;=$P222),"Planifié",IF($R222&lt;0,"En retard",IF($R222&lt;=SeuilAlerteEPP,"À planifier","À jour"))))))</f>
        <v/>
      </c>
      <c r="T222" s="46" t="str">
        <f aca="false">IF(OR($B222="",$S222="Sorti"),"",MID(IF($H222=""," | Date d'embauche manquante","")&amp;IF(AND($K222="Plus d'un an",$N222="")," | Précédent entretien à renseigner (ancienneté &gt; 1 an)","")&amp;IF($O222="Retard antérieur à la réforme"," | Ancien délai de 2 ans expiré avant la réforme","")&amp;IF(AND($N222&lt;&gt;"",$H222&lt;&gt;"",$N222&lt;$H222)," | Entretien antérieur à l'embauche ?","")&amp;IF(AND($N222&lt;&gt;"",$N222&gt;DateRef)," | Entretien daté dans le futur ?","")&amp;IF(AND($Q222&lt;&gt;"",$P222&lt;&gt;"",$Q222&gt;$P222)," | Date prévue après l'échéance","")&amp;IF(AND($Q222&lt;&gt;"",$Q222&lt;DateRef,OR($N222="",$N222&lt;$Q222))," | Entretien prévu passé : le consigner au Journal","")&amp;IF(AND($G222&lt;&gt;"",$X222="",YEAR(DateRef)-YEAR($G222)&gt;=AgeMiCarriere-1,YEAR(DateRef)-YEAR($G222)&lt;=AgeMiCarriere+1)," | Visite de mi-carrière à vérifier",""),4,1000))</f>
        <v/>
      </c>
      <c r="U222" s="39"/>
      <c r="V222" s="40"/>
      <c r="W222" s="42" t="str">
        <f aca="false">IF(OR($B222="",$V222=""),"",IF(AND($I222&lt;&gt;"",$I222&lt;=DateRef),"",IF(AND($N222&lt;&gt;"",$N222&gt;=$V222),"Réalisé",IF(AND($N222&lt;&gt;"",$N222&gt;=EDATE($V222,-FenetreRetour)),"Dispensé (EPP récent)",IF($V222&gt;DateRef,"À prévoir à la reprise","À proposer (reprise passée)")))))</f>
        <v/>
      </c>
      <c r="X222" s="40"/>
      <c r="Y222" s="43" t="str">
        <f aca="false">IF(OR($B222="",$X222=""),"",EDATE($X222,DelaiMiCarriere))</f>
        <v/>
      </c>
      <c r="Z222" s="42" t="str">
        <f aca="false">IF(OR($B222="",$X222=""),"",IF(AND($I222&lt;&gt;"",$I222&lt;=DateRef),"",IF(AND($N222&lt;&gt;"",$N222&gt;=$X222),"Réalisé",IF($Y222&lt;DateRef,"En retard","À planifier"))))</f>
        <v/>
      </c>
      <c r="AA222" s="47" t="str">
        <f aca="false">IF(OR($B222="",$G222=""),"",IF($G222&gt;DateRef,"",DATEDIF($G222,DateRef,"y")))</f>
        <v/>
      </c>
      <c r="AB222" s="43" t="str">
        <f aca="false">IF(OR($B222="",$G222=""),"",EDATE($G222,AgeFinCarriere*12))</f>
        <v/>
      </c>
      <c r="AC222" s="42" t="str">
        <f aca="false">IF(OR($B222="",$G222="",$H222=""),"",IF(AND($I222&lt;&gt;"",$I222&lt;=DateRef),"",IF($AB222&lt;DateVigueur,"Non concerné",IF(AND($N222&lt;&gt;"",$N222&gt;=MAX(EDATE($AB222,-FenetreFinCarriere*12),DateVigueur),$N222&lt;=$AB222),"Réalisé",IF(DateRef&gt;$AB222,"Non réalisé",IF(AND($Q222&lt;&gt;"",$Q222&gt;=EDATE($AB222,-FenetreFinCarriere*12),$Q222&lt;=$AB222),"Planifié dans la fenêtre",IF(AND(MAX($P222,DateRef)&gt;=EDATE($AB222,-FenetreFinCarriere*12),MAX($P222,DateRef)&lt;=$AB222),"Prochain EPP dans la fenêtre",IF(MAX($P222,DateRef)&gt;$AB222,"À programmer avant 60 ans",""))))))))</f>
        <v/>
      </c>
      <c r="AD222" s="40"/>
      <c r="AE222" s="43" t="str">
        <f aca="false">IF(OR($B222="",$H222="",AND($I222&lt;&gt;"",$I222&lt;=DateRef)),"",MAX($H222,$AD222,IF($A222="",0,SUMPRODUCT(MAX((Journal!$A$6:$A$1005=$A222)*((Journal!$D$6:$D$1005=TypeEDL)+(Journal!$D$6:$D$1005=TypeBilan6))*Journal!$C$6:$C$1005)))))</f>
        <v/>
      </c>
      <c r="AF222" s="43" t="str">
        <f aca="false">IF($AE222="","",IF(AND(ReglesTransitoires="Oui",EDATE($AE222,AnciennePeriodiciteEDL*12)&lt;DateVigueur),EDATE($AE222,AnciennePeriodiciteEDL*12),EDATE($AE222,PeriodiciteEDL*12)))</f>
        <v/>
      </c>
      <c r="AG222" s="42" t="str">
        <f aca="false">IF($AF222="","",IF(AND($I222&lt;&gt;"",$I222&lt;=DateRef),"",IF($AF222&lt;DateRef,"En retard",IF($AF222-DateRef&lt;=SeuilAlerteEDL,"À prévoir","À jour"))))</f>
        <v/>
      </c>
      <c r="AH222" s="39"/>
      <c r="AI222" s="39"/>
      <c r="AJ222" s="42" t="str">
        <f aca="false">IF(OR($B222="",$H222=""),"",IF(AND($I222&lt;&gt;"",$I222&lt;=DateRef),"",IF(Effectif&lt;SeuilEffectif,"Non concerné (&lt; "&amp;SeuilEffectif&amp;" salariés)",IF($AH222="Oui","Pas de risque",IF(AND(OR($AI222="Non",$S222="En retard"),$AH222="Non"),"Risque abondement",IF(OR($AI222="Non",$S222="En retard"),"À vérifier (formation ?)",IF($AI222="Oui","Pas de risque","À compléter")))))))</f>
        <v/>
      </c>
      <c r="AK222" s="39"/>
    </row>
    <row r="223" customFormat="false" ht="15" hidden="false" customHeight="false" outlineLevel="0" collapsed="false">
      <c r="A223" s="39"/>
      <c r="B223" s="39"/>
      <c r="C223" s="39"/>
      <c r="D223" s="39"/>
      <c r="E223" s="39"/>
      <c r="F223" s="39"/>
      <c r="G223" s="40"/>
      <c r="H223" s="40"/>
      <c r="I223" s="40"/>
      <c r="J223" s="41" t="str">
        <f aca="false">IF(OR($B223="",$H223=""),"",IF($H223&gt;DateRef,0,YEARFRAC($H223,DateRef,1)))</f>
        <v/>
      </c>
      <c r="K223" s="42" t="str">
        <f aca="false">IF(OR($B223="",$H223=""),"",IF(EDATE($H223,12)&lt;=DateRef,"Plus d'un an","Moins d'un an"))</f>
        <v/>
      </c>
      <c r="L223" s="40"/>
      <c r="M223" s="43" t="str">
        <f aca="false">IF(OR($B223="",$A223=""),"",IF(SUMPRODUCT(MAX((Journal!$A$6:$A$1005=$A223)*Journal!$C$6:$C$1005))=0,"",SUMPRODUCT(MAX((Journal!$A$6:$A$1005=$A223)*Journal!$C$6:$C$1005))))</f>
        <v/>
      </c>
      <c r="N223" s="43" t="str">
        <f aca="false">IF($B223="","",IF(MAX($L223,$M223)=0,"",MAX($L223,$M223)))</f>
        <v/>
      </c>
      <c r="O223" s="44" t="str">
        <f aca="false">IF(OR($B223="",$H223=""),"",IF($N223="",IF(EDATE($H223,DelaiPremierEPP)&gt;DateRef,"1er EPP (1re année)","Aucun entretien renseigné"),IF(AND(ReglesTransitoires="Oui",EDATE($N223,AnciennePeriodiciteEP*12)&lt;DateVigueur),"Retard antérieur à la réforme","Périodicité "&amp;PeriodiciteEPP&amp;" ans")))</f>
        <v/>
      </c>
      <c r="P223" s="43" t="str">
        <f aca="false">IF(OR($B223="",$H223=""),"",IF($N223="",EDATE($H223,DelaiPremierEPP),IF(AND(ReglesTransitoires="Oui",EDATE($N223,AnciennePeriodiciteEP*12)&lt;DateVigueur),EDATE($N223,AnciennePeriodiciteEP*12),EDATE($N223,PeriodiciteEPP*12))))</f>
        <v/>
      </c>
      <c r="Q223" s="40"/>
      <c r="R223" s="45" t="str">
        <f aca="false">IF(OR($P223="",AND($I223&lt;&gt;"",$I223&lt;=DateRef)),"",$P223-DateRef)</f>
        <v/>
      </c>
      <c r="S223" s="42" t="str">
        <f aca="false">IF($B223="","",IF(AND($I223&lt;&gt;"",$I223&lt;=DateRef),"Sorti",IF($H223="","À compléter",IF(AND($Q223&lt;&gt;"",$Q223&gt;=DateRef,$Q223&lt;=$P223),"Planifié",IF($R223&lt;0,"En retard",IF($R223&lt;=SeuilAlerteEPP,"À planifier","À jour"))))))</f>
        <v/>
      </c>
      <c r="T223" s="46" t="str">
        <f aca="false">IF(OR($B223="",$S223="Sorti"),"",MID(IF($H223=""," | Date d'embauche manquante","")&amp;IF(AND($K223="Plus d'un an",$N223="")," | Précédent entretien à renseigner (ancienneté &gt; 1 an)","")&amp;IF($O223="Retard antérieur à la réforme"," | Ancien délai de 2 ans expiré avant la réforme","")&amp;IF(AND($N223&lt;&gt;"",$H223&lt;&gt;"",$N223&lt;$H223)," | Entretien antérieur à l'embauche ?","")&amp;IF(AND($N223&lt;&gt;"",$N223&gt;DateRef)," | Entretien daté dans le futur ?","")&amp;IF(AND($Q223&lt;&gt;"",$P223&lt;&gt;"",$Q223&gt;$P223)," | Date prévue après l'échéance","")&amp;IF(AND($Q223&lt;&gt;"",$Q223&lt;DateRef,OR($N223="",$N223&lt;$Q223))," | Entretien prévu passé : le consigner au Journal","")&amp;IF(AND($G223&lt;&gt;"",$X223="",YEAR(DateRef)-YEAR($G223)&gt;=AgeMiCarriere-1,YEAR(DateRef)-YEAR($G223)&lt;=AgeMiCarriere+1)," | Visite de mi-carrière à vérifier",""),4,1000))</f>
        <v/>
      </c>
      <c r="U223" s="39"/>
      <c r="V223" s="40"/>
      <c r="W223" s="42" t="str">
        <f aca="false">IF(OR($B223="",$V223=""),"",IF(AND($I223&lt;&gt;"",$I223&lt;=DateRef),"",IF(AND($N223&lt;&gt;"",$N223&gt;=$V223),"Réalisé",IF(AND($N223&lt;&gt;"",$N223&gt;=EDATE($V223,-FenetreRetour)),"Dispensé (EPP récent)",IF($V223&gt;DateRef,"À prévoir à la reprise","À proposer (reprise passée)")))))</f>
        <v/>
      </c>
      <c r="X223" s="40"/>
      <c r="Y223" s="43" t="str">
        <f aca="false">IF(OR($B223="",$X223=""),"",EDATE($X223,DelaiMiCarriere))</f>
        <v/>
      </c>
      <c r="Z223" s="42" t="str">
        <f aca="false">IF(OR($B223="",$X223=""),"",IF(AND($I223&lt;&gt;"",$I223&lt;=DateRef),"",IF(AND($N223&lt;&gt;"",$N223&gt;=$X223),"Réalisé",IF($Y223&lt;DateRef,"En retard","À planifier"))))</f>
        <v/>
      </c>
      <c r="AA223" s="47" t="str">
        <f aca="false">IF(OR($B223="",$G223=""),"",IF($G223&gt;DateRef,"",DATEDIF($G223,DateRef,"y")))</f>
        <v/>
      </c>
      <c r="AB223" s="43" t="str">
        <f aca="false">IF(OR($B223="",$G223=""),"",EDATE($G223,AgeFinCarriere*12))</f>
        <v/>
      </c>
      <c r="AC223" s="42" t="str">
        <f aca="false">IF(OR($B223="",$G223="",$H223=""),"",IF(AND($I223&lt;&gt;"",$I223&lt;=DateRef),"",IF($AB223&lt;DateVigueur,"Non concerné",IF(AND($N223&lt;&gt;"",$N223&gt;=MAX(EDATE($AB223,-FenetreFinCarriere*12),DateVigueur),$N223&lt;=$AB223),"Réalisé",IF(DateRef&gt;$AB223,"Non réalisé",IF(AND($Q223&lt;&gt;"",$Q223&gt;=EDATE($AB223,-FenetreFinCarriere*12),$Q223&lt;=$AB223),"Planifié dans la fenêtre",IF(AND(MAX($P223,DateRef)&gt;=EDATE($AB223,-FenetreFinCarriere*12),MAX($P223,DateRef)&lt;=$AB223),"Prochain EPP dans la fenêtre",IF(MAX($P223,DateRef)&gt;$AB223,"À programmer avant 60 ans",""))))))))</f>
        <v/>
      </c>
      <c r="AD223" s="40"/>
      <c r="AE223" s="43" t="str">
        <f aca="false">IF(OR($B223="",$H223="",AND($I223&lt;&gt;"",$I223&lt;=DateRef)),"",MAX($H223,$AD223,IF($A223="",0,SUMPRODUCT(MAX((Journal!$A$6:$A$1005=$A223)*((Journal!$D$6:$D$1005=TypeEDL)+(Journal!$D$6:$D$1005=TypeBilan6))*Journal!$C$6:$C$1005)))))</f>
        <v/>
      </c>
      <c r="AF223" s="43" t="str">
        <f aca="false">IF($AE223="","",IF(AND(ReglesTransitoires="Oui",EDATE($AE223,AnciennePeriodiciteEDL*12)&lt;DateVigueur),EDATE($AE223,AnciennePeriodiciteEDL*12),EDATE($AE223,PeriodiciteEDL*12)))</f>
        <v/>
      </c>
      <c r="AG223" s="42" t="str">
        <f aca="false">IF($AF223="","",IF(AND($I223&lt;&gt;"",$I223&lt;=DateRef),"",IF($AF223&lt;DateRef,"En retard",IF($AF223-DateRef&lt;=SeuilAlerteEDL,"À prévoir","À jour"))))</f>
        <v/>
      </c>
      <c r="AH223" s="39"/>
      <c r="AI223" s="39"/>
      <c r="AJ223" s="42" t="str">
        <f aca="false">IF(OR($B223="",$H223=""),"",IF(AND($I223&lt;&gt;"",$I223&lt;=DateRef),"",IF(Effectif&lt;SeuilEffectif,"Non concerné (&lt; "&amp;SeuilEffectif&amp;" salariés)",IF($AH223="Oui","Pas de risque",IF(AND(OR($AI223="Non",$S223="En retard"),$AH223="Non"),"Risque abondement",IF(OR($AI223="Non",$S223="En retard"),"À vérifier (formation ?)",IF($AI223="Oui","Pas de risque","À compléter")))))))</f>
        <v/>
      </c>
      <c r="AK223" s="39"/>
    </row>
    <row r="224" customFormat="false" ht="15" hidden="false" customHeight="false" outlineLevel="0" collapsed="false">
      <c r="A224" s="39"/>
      <c r="B224" s="39"/>
      <c r="C224" s="39"/>
      <c r="D224" s="39"/>
      <c r="E224" s="39"/>
      <c r="F224" s="39"/>
      <c r="G224" s="40"/>
      <c r="H224" s="40"/>
      <c r="I224" s="40"/>
      <c r="J224" s="41" t="str">
        <f aca="false">IF(OR($B224="",$H224=""),"",IF($H224&gt;DateRef,0,YEARFRAC($H224,DateRef,1)))</f>
        <v/>
      </c>
      <c r="K224" s="42" t="str">
        <f aca="false">IF(OR($B224="",$H224=""),"",IF(EDATE($H224,12)&lt;=DateRef,"Plus d'un an","Moins d'un an"))</f>
        <v/>
      </c>
      <c r="L224" s="40"/>
      <c r="M224" s="43" t="str">
        <f aca="false">IF(OR($B224="",$A224=""),"",IF(SUMPRODUCT(MAX((Journal!$A$6:$A$1005=$A224)*Journal!$C$6:$C$1005))=0,"",SUMPRODUCT(MAX((Journal!$A$6:$A$1005=$A224)*Journal!$C$6:$C$1005))))</f>
        <v/>
      </c>
      <c r="N224" s="43" t="str">
        <f aca="false">IF($B224="","",IF(MAX($L224,$M224)=0,"",MAX($L224,$M224)))</f>
        <v/>
      </c>
      <c r="O224" s="44" t="str">
        <f aca="false">IF(OR($B224="",$H224=""),"",IF($N224="",IF(EDATE($H224,DelaiPremierEPP)&gt;DateRef,"1er EPP (1re année)","Aucun entretien renseigné"),IF(AND(ReglesTransitoires="Oui",EDATE($N224,AnciennePeriodiciteEP*12)&lt;DateVigueur),"Retard antérieur à la réforme","Périodicité "&amp;PeriodiciteEPP&amp;" ans")))</f>
        <v/>
      </c>
      <c r="P224" s="43" t="str">
        <f aca="false">IF(OR($B224="",$H224=""),"",IF($N224="",EDATE($H224,DelaiPremierEPP),IF(AND(ReglesTransitoires="Oui",EDATE($N224,AnciennePeriodiciteEP*12)&lt;DateVigueur),EDATE($N224,AnciennePeriodiciteEP*12),EDATE($N224,PeriodiciteEPP*12))))</f>
        <v/>
      </c>
      <c r="Q224" s="40"/>
      <c r="R224" s="45" t="str">
        <f aca="false">IF(OR($P224="",AND($I224&lt;&gt;"",$I224&lt;=DateRef)),"",$P224-DateRef)</f>
        <v/>
      </c>
      <c r="S224" s="42" t="str">
        <f aca="false">IF($B224="","",IF(AND($I224&lt;&gt;"",$I224&lt;=DateRef),"Sorti",IF($H224="","À compléter",IF(AND($Q224&lt;&gt;"",$Q224&gt;=DateRef,$Q224&lt;=$P224),"Planifié",IF($R224&lt;0,"En retard",IF($R224&lt;=SeuilAlerteEPP,"À planifier","À jour"))))))</f>
        <v/>
      </c>
      <c r="T224" s="46" t="str">
        <f aca="false">IF(OR($B224="",$S224="Sorti"),"",MID(IF($H224=""," | Date d'embauche manquante","")&amp;IF(AND($K224="Plus d'un an",$N224="")," | Précédent entretien à renseigner (ancienneté &gt; 1 an)","")&amp;IF($O224="Retard antérieur à la réforme"," | Ancien délai de 2 ans expiré avant la réforme","")&amp;IF(AND($N224&lt;&gt;"",$H224&lt;&gt;"",$N224&lt;$H224)," | Entretien antérieur à l'embauche ?","")&amp;IF(AND($N224&lt;&gt;"",$N224&gt;DateRef)," | Entretien daté dans le futur ?","")&amp;IF(AND($Q224&lt;&gt;"",$P224&lt;&gt;"",$Q224&gt;$P224)," | Date prévue après l'échéance","")&amp;IF(AND($Q224&lt;&gt;"",$Q224&lt;DateRef,OR($N224="",$N224&lt;$Q224))," | Entretien prévu passé : le consigner au Journal","")&amp;IF(AND($G224&lt;&gt;"",$X224="",YEAR(DateRef)-YEAR($G224)&gt;=AgeMiCarriere-1,YEAR(DateRef)-YEAR($G224)&lt;=AgeMiCarriere+1)," | Visite de mi-carrière à vérifier",""),4,1000))</f>
        <v/>
      </c>
      <c r="U224" s="39"/>
      <c r="V224" s="40"/>
      <c r="W224" s="42" t="str">
        <f aca="false">IF(OR($B224="",$V224=""),"",IF(AND($I224&lt;&gt;"",$I224&lt;=DateRef),"",IF(AND($N224&lt;&gt;"",$N224&gt;=$V224),"Réalisé",IF(AND($N224&lt;&gt;"",$N224&gt;=EDATE($V224,-FenetreRetour)),"Dispensé (EPP récent)",IF($V224&gt;DateRef,"À prévoir à la reprise","À proposer (reprise passée)")))))</f>
        <v/>
      </c>
      <c r="X224" s="40"/>
      <c r="Y224" s="43" t="str">
        <f aca="false">IF(OR($B224="",$X224=""),"",EDATE($X224,DelaiMiCarriere))</f>
        <v/>
      </c>
      <c r="Z224" s="42" t="str">
        <f aca="false">IF(OR($B224="",$X224=""),"",IF(AND($I224&lt;&gt;"",$I224&lt;=DateRef),"",IF(AND($N224&lt;&gt;"",$N224&gt;=$X224),"Réalisé",IF($Y224&lt;DateRef,"En retard","À planifier"))))</f>
        <v/>
      </c>
      <c r="AA224" s="47" t="str">
        <f aca="false">IF(OR($B224="",$G224=""),"",IF($G224&gt;DateRef,"",DATEDIF($G224,DateRef,"y")))</f>
        <v/>
      </c>
      <c r="AB224" s="43" t="str">
        <f aca="false">IF(OR($B224="",$G224=""),"",EDATE($G224,AgeFinCarriere*12))</f>
        <v/>
      </c>
      <c r="AC224" s="42" t="str">
        <f aca="false">IF(OR($B224="",$G224="",$H224=""),"",IF(AND($I224&lt;&gt;"",$I224&lt;=DateRef),"",IF($AB224&lt;DateVigueur,"Non concerné",IF(AND($N224&lt;&gt;"",$N224&gt;=MAX(EDATE($AB224,-FenetreFinCarriere*12),DateVigueur),$N224&lt;=$AB224),"Réalisé",IF(DateRef&gt;$AB224,"Non réalisé",IF(AND($Q224&lt;&gt;"",$Q224&gt;=EDATE($AB224,-FenetreFinCarriere*12),$Q224&lt;=$AB224),"Planifié dans la fenêtre",IF(AND(MAX($P224,DateRef)&gt;=EDATE($AB224,-FenetreFinCarriere*12),MAX($P224,DateRef)&lt;=$AB224),"Prochain EPP dans la fenêtre",IF(MAX($P224,DateRef)&gt;$AB224,"À programmer avant 60 ans",""))))))))</f>
        <v/>
      </c>
      <c r="AD224" s="40"/>
      <c r="AE224" s="43" t="str">
        <f aca="false">IF(OR($B224="",$H224="",AND($I224&lt;&gt;"",$I224&lt;=DateRef)),"",MAX($H224,$AD224,IF($A224="",0,SUMPRODUCT(MAX((Journal!$A$6:$A$1005=$A224)*((Journal!$D$6:$D$1005=TypeEDL)+(Journal!$D$6:$D$1005=TypeBilan6))*Journal!$C$6:$C$1005)))))</f>
        <v/>
      </c>
      <c r="AF224" s="43" t="str">
        <f aca="false">IF($AE224="","",IF(AND(ReglesTransitoires="Oui",EDATE($AE224,AnciennePeriodiciteEDL*12)&lt;DateVigueur),EDATE($AE224,AnciennePeriodiciteEDL*12),EDATE($AE224,PeriodiciteEDL*12)))</f>
        <v/>
      </c>
      <c r="AG224" s="42" t="str">
        <f aca="false">IF($AF224="","",IF(AND($I224&lt;&gt;"",$I224&lt;=DateRef),"",IF($AF224&lt;DateRef,"En retard",IF($AF224-DateRef&lt;=SeuilAlerteEDL,"À prévoir","À jour"))))</f>
        <v/>
      </c>
      <c r="AH224" s="39"/>
      <c r="AI224" s="39"/>
      <c r="AJ224" s="42" t="str">
        <f aca="false">IF(OR($B224="",$H224=""),"",IF(AND($I224&lt;&gt;"",$I224&lt;=DateRef),"",IF(Effectif&lt;SeuilEffectif,"Non concerné (&lt; "&amp;SeuilEffectif&amp;" salariés)",IF($AH224="Oui","Pas de risque",IF(AND(OR($AI224="Non",$S224="En retard"),$AH224="Non"),"Risque abondement",IF(OR($AI224="Non",$S224="En retard"),"À vérifier (formation ?)",IF($AI224="Oui","Pas de risque","À compléter")))))))</f>
        <v/>
      </c>
      <c r="AK224" s="39"/>
    </row>
    <row r="225" customFormat="false" ht="15" hidden="false" customHeight="false" outlineLevel="0" collapsed="false">
      <c r="A225" s="39"/>
      <c r="B225" s="39"/>
      <c r="C225" s="39"/>
      <c r="D225" s="39"/>
      <c r="E225" s="39"/>
      <c r="F225" s="39"/>
      <c r="G225" s="40"/>
      <c r="H225" s="40"/>
      <c r="I225" s="40"/>
      <c r="J225" s="41" t="str">
        <f aca="false">IF(OR($B225="",$H225=""),"",IF($H225&gt;DateRef,0,YEARFRAC($H225,DateRef,1)))</f>
        <v/>
      </c>
      <c r="K225" s="42" t="str">
        <f aca="false">IF(OR($B225="",$H225=""),"",IF(EDATE($H225,12)&lt;=DateRef,"Plus d'un an","Moins d'un an"))</f>
        <v/>
      </c>
      <c r="L225" s="40"/>
      <c r="M225" s="43" t="str">
        <f aca="false">IF(OR($B225="",$A225=""),"",IF(SUMPRODUCT(MAX((Journal!$A$6:$A$1005=$A225)*Journal!$C$6:$C$1005))=0,"",SUMPRODUCT(MAX((Journal!$A$6:$A$1005=$A225)*Journal!$C$6:$C$1005))))</f>
        <v/>
      </c>
      <c r="N225" s="43" t="str">
        <f aca="false">IF($B225="","",IF(MAX($L225,$M225)=0,"",MAX($L225,$M225)))</f>
        <v/>
      </c>
      <c r="O225" s="44" t="str">
        <f aca="false">IF(OR($B225="",$H225=""),"",IF($N225="",IF(EDATE($H225,DelaiPremierEPP)&gt;DateRef,"1er EPP (1re année)","Aucun entretien renseigné"),IF(AND(ReglesTransitoires="Oui",EDATE($N225,AnciennePeriodiciteEP*12)&lt;DateVigueur),"Retard antérieur à la réforme","Périodicité "&amp;PeriodiciteEPP&amp;" ans")))</f>
        <v/>
      </c>
      <c r="P225" s="43" t="str">
        <f aca="false">IF(OR($B225="",$H225=""),"",IF($N225="",EDATE($H225,DelaiPremierEPP),IF(AND(ReglesTransitoires="Oui",EDATE($N225,AnciennePeriodiciteEP*12)&lt;DateVigueur),EDATE($N225,AnciennePeriodiciteEP*12),EDATE($N225,PeriodiciteEPP*12))))</f>
        <v/>
      </c>
      <c r="Q225" s="40"/>
      <c r="R225" s="45" t="str">
        <f aca="false">IF(OR($P225="",AND($I225&lt;&gt;"",$I225&lt;=DateRef)),"",$P225-DateRef)</f>
        <v/>
      </c>
      <c r="S225" s="42" t="str">
        <f aca="false">IF($B225="","",IF(AND($I225&lt;&gt;"",$I225&lt;=DateRef),"Sorti",IF($H225="","À compléter",IF(AND($Q225&lt;&gt;"",$Q225&gt;=DateRef,$Q225&lt;=$P225),"Planifié",IF($R225&lt;0,"En retard",IF($R225&lt;=SeuilAlerteEPP,"À planifier","À jour"))))))</f>
        <v/>
      </c>
      <c r="T225" s="46" t="str">
        <f aca="false">IF(OR($B225="",$S225="Sorti"),"",MID(IF($H225=""," | Date d'embauche manquante","")&amp;IF(AND($K225="Plus d'un an",$N225="")," | Précédent entretien à renseigner (ancienneté &gt; 1 an)","")&amp;IF($O225="Retard antérieur à la réforme"," | Ancien délai de 2 ans expiré avant la réforme","")&amp;IF(AND($N225&lt;&gt;"",$H225&lt;&gt;"",$N225&lt;$H225)," | Entretien antérieur à l'embauche ?","")&amp;IF(AND($N225&lt;&gt;"",$N225&gt;DateRef)," | Entretien daté dans le futur ?","")&amp;IF(AND($Q225&lt;&gt;"",$P225&lt;&gt;"",$Q225&gt;$P225)," | Date prévue après l'échéance","")&amp;IF(AND($Q225&lt;&gt;"",$Q225&lt;DateRef,OR($N225="",$N225&lt;$Q225))," | Entretien prévu passé : le consigner au Journal","")&amp;IF(AND($G225&lt;&gt;"",$X225="",YEAR(DateRef)-YEAR($G225)&gt;=AgeMiCarriere-1,YEAR(DateRef)-YEAR($G225)&lt;=AgeMiCarriere+1)," | Visite de mi-carrière à vérifier",""),4,1000))</f>
        <v/>
      </c>
      <c r="U225" s="39"/>
      <c r="V225" s="40"/>
      <c r="W225" s="42" t="str">
        <f aca="false">IF(OR($B225="",$V225=""),"",IF(AND($I225&lt;&gt;"",$I225&lt;=DateRef),"",IF(AND($N225&lt;&gt;"",$N225&gt;=$V225),"Réalisé",IF(AND($N225&lt;&gt;"",$N225&gt;=EDATE($V225,-FenetreRetour)),"Dispensé (EPP récent)",IF($V225&gt;DateRef,"À prévoir à la reprise","À proposer (reprise passée)")))))</f>
        <v/>
      </c>
      <c r="X225" s="40"/>
      <c r="Y225" s="43" t="str">
        <f aca="false">IF(OR($B225="",$X225=""),"",EDATE($X225,DelaiMiCarriere))</f>
        <v/>
      </c>
      <c r="Z225" s="42" t="str">
        <f aca="false">IF(OR($B225="",$X225=""),"",IF(AND($I225&lt;&gt;"",$I225&lt;=DateRef),"",IF(AND($N225&lt;&gt;"",$N225&gt;=$X225),"Réalisé",IF($Y225&lt;DateRef,"En retard","À planifier"))))</f>
        <v/>
      </c>
      <c r="AA225" s="47" t="str">
        <f aca="false">IF(OR($B225="",$G225=""),"",IF($G225&gt;DateRef,"",DATEDIF($G225,DateRef,"y")))</f>
        <v/>
      </c>
      <c r="AB225" s="43" t="str">
        <f aca="false">IF(OR($B225="",$G225=""),"",EDATE($G225,AgeFinCarriere*12))</f>
        <v/>
      </c>
      <c r="AC225" s="42" t="str">
        <f aca="false">IF(OR($B225="",$G225="",$H225=""),"",IF(AND($I225&lt;&gt;"",$I225&lt;=DateRef),"",IF($AB225&lt;DateVigueur,"Non concerné",IF(AND($N225&lt;&gt;"",$N225&gt;=MAX(EDATE($AB225,-FenetreFinCarriere*12),DateVigueur),$N225&lt;=$AB225),"Réalisé",IF(DateRef&gt;$AB225,"Non réalisé",IF(AND($Q225&lt;&gt;"",$Q225&gt;=EDATE($AB225,-FenetreFinCarriere*12),$Q225&lt;=$AB225),"Planifié dans la fenêtre",IF(AND(MAX($P225,DateRef)&gt;=EDATE($AB225,-FenetreFinCarriere*12),MAX($P225,DateRef)&lt;=$AB225),"Prochain EPP dans la fenêtre",IF(MAX($P225,DateRef)&gt;$AB225,"À programmer avant 60 ans",""))))))))</f>
        <v/>
      </c>
      <c r="AD225" s="40"/>
      <c r="AE225" s="43" t="str">
        <f aca="false">IF(OR($B225="",$H225="",AND($I225&lt;&gt;"",$I225&lt;=DateRef)),"",MAX($H225,$AD225,IF($A225="",0,SUMPRODUCT(MAX((Journal!$A$6:$A$1005=$A225)*((Journal!$D$6:$D$1005=TypeEDL)+(Journal!$D$6:$D$1005=TypeBilan6))*Journal!$C$6:$C$1005)))))</f>
        <v/>
      </c>
      <c r="AF225" s="43" t="str">
        <f aca="false">IF($AE225="","",IF(AND(ReglesTransitoires="Oui",EDATE($AE225,AnciennePeriodiciteEDL*12)&lt;DateVigueur),EDATE($AE225,AnciennePeriodiciteEDL*12),EDATE($AE225,PeriodiciteEDL*12)))</f>
        <v/>
      </c>
      <c r="AG225" s="42" t="str">
        <f aca="false">IF($AF225="","",IF(AND($I225&lt;&gt;"",$I225&lt;=DateRef),"",IF($AF225&lt;DateRef,"En retard",IF($AF225-DateRef&lt;=SeuilAlerteEDL,"À prévoir","À jour"))))</f>
        <v/>
      </c>
      <c r="AH225" s="39"/>
      <c r="AI225" s="39"/>
      <c r="AJ225" s="42" t="str">
        <f aca="false">IF(OR($B225="",$H225=""),"",IF(AND($I225&lt;&gt;"",$I225&lt;=DateRef),"",IF(Effectif&lt;SeuilEffectif,"Non concerné (&lt; "&amp;SeuilEffectif&amp;" salariés)",IF($AH225="Oui","Pas de risque",IF(AND(OR($AI225="Non",$S225="En retard"),$AH225="Non"),"Risque abondement",IF(OR($AI225="Non",$S225="En retard"),"À vérifier (formation ?)",IF($AI225="Oui","Pas de risque","À compléter")))))))</f>
        <v/>
      </c>
      <c r="AK225" s="39"/>
    </row>
    <row r="226" customFormat="false" ht="15" hidden="false" customHeight="false" outlineLevel="0" collapsed="false">
      <c r="A226" s="39"/>
      <c r="B226" s="39"/>
      <c r="C226" s="39"/>
      <c r="D226" s="39"/>
      <c r="E226" s="39"/>
      <c r="F226" s="39"/>
      <c r="G226" s="40"/>
      <c r="H226" s="40"/>
      <c r="I226" s="40"/>
      <c r="J226" s="41" t="str">
        <f aca="false">IF(OR($B226="",$H226=""),"",IF($H226&gt;DateRef,0,YEARFRAC($H226,DateRef,1)))</f>
        <v/>
      </c>
      <c r="K226" s="42" t="str">
        <f aca="false">IF(OR($B226="",$H226=""),"",IF(EDATE($H226,12)&lt;=DateRef,"Plus d'un an","Moins d'un an"))</f>
        <v/>
      </c>
      <c r="L226" s="40"/>
      <c r="M226" s="43" t="str">
        <f aca="false">IF(OR($B226="",$A226=""),"",IF(SUMPRODUCT(MAX((Journal!$A$6:$A$1005=$A226)*Journal!$C$6:$C$1005))=0,"",SUMPRODUCT(MAX((Journal!$A$6:$A$1005=$A226)*Journal!$C$6:$C$1005))))</f>
        <v/>
      </c>
      <c r="N226" s="43" t="str">
        <f aca="false">IF($B226="","",IF(MAX($L226,$M226)=0,"",MAX($L226,$M226)))</f>
        <v/>
      </c>
      <c r="O226" s="44" t="str">
        <f aca="false">IF(OR($B226="",$H226=""),"",IF($N226="",IF(EDATE($H226,DelaiPremierEPP)&gt;DateRef,"1er EPP (1re année)","Aucun entretien renseigné"),IF(AND(ReglesTransitoires="Oui",EDATE($N226,AnciennePeriodiciteEP*12)&lt;DateVigueur),"Retard antérieur à la réforme","Périodicité "&amp;PeriodiciteEPP&amp;" ans")))</f>
        <v/>
      </c>
      <c r="P226" s="43" t="str">
        <f aca="false">IF(OR($B226="",$H226=""),"",IF($N226="",EDATE($H226,DelaiPremierEPP),IF(AND(ReglesTransitoires="Oui",EDATE($N226,AnciennePeriodiciteEP*12)&lt;DateVigueur),EDATE($N226,AnciennePeriodiciteEP*12),EDATE($N226,PeriodiciteEPP*12))))</f>
        <v/>
      </c>
      <c r="Q226" s="40"/>
      <c r="R226" s="45" t="str">
        <f aca="false">IF(OR($P226="",AND($I226&lt;&gt;"",$I226&lt;=DateRef)),"",$P226-DateRef)</f>
        <v/>
      </c>
      <c r="S226" s="42" t="str">
        <f aca="false">IF($B226="","",IF(AND($I226&lt;&gt;"",$I226&lt;=DateRef),"Sorti",IF($H226="","À compléter",IF(AND($Q226&lt;&gt;"",$Q226&gt;=DateRef,$Q226&lt;=$P226),"Planifié",IF($R226&lt;0,"En retard",IF($R226&lt;=SeuilAlerteEPP,"À planifier","À jour"))))))</f>
        <v/>
      </c>
      <c r="T226" s="46" t="str">
        <f aca="false">IF(OR($B226="",$S226="Sorti"),"",MID(IF($H226=""," | Date d'embauche manquante","")&amp;IF(AND($K226="Plus d'un an",$N226="")," | Précédent entretien à renseigner (ancienneté &gt; 1 an)","")&amp;IF($O226="Retard antérieur à la réforme"," | Ancien délai de 2 ans expiré avant la réforme","")&amp;IF(AND($N226&lt;&gt;"",$H226&lt;&gt;"",$N226&lt;$H226)," | Entretien antérieur à l'embauche ?","")&amp;IF(AND($N226&lt;&gt;"",$N226&gt;DateRef)," | Entretien daté dans le futur ?","")&amp;IF(AND($Q226&lt;&gt;"",$P226&lt;&gt;"",$Q226&gt;$P226)," | Date prévue après l'échéance","")&amp;IF(AND($Q226&lt;&gt;"",$Q226&lt;DateRef,OR($N226="",$N226&lt;$Q226))," | Entretien prévu passé : le consigner au Journal","")&amp;IF(AND($G226&lt;&gt;"",$X226="",YEAR(DateRef)-YEAR($G226)&gt;=AgeMiCarriere-1,YEAR(DateRef)-YEAR($G226)&lt;=AgeMiCarriere+1)," | Visite de mi-carrière à vérifier",""),4,1000))</f>
        <v/>
      </c>
      <c r="U226" s="39"/>
      <c r="V226" s="40"/>
      <c r="W226" s="42" t="str">
        <f aca="false">IF(OR($B226="",$V226=""),"",IF(AND($I226&lt;&gt;"",$I226&lt;=DateRef),"",IF(AND($N226&lt;&gt;"",$N226&gt;=$V226),"Réalisé",IF(AND($N226&lt;&gt;"",$N226&gt;=EDATE($V226,-FenetreRetour)),"Dispensé (EPP récent)",IF($V226&gt;DateRef,"À prévoir à la reprise","À proposer (reprise passée)")))))</f>
        <v/>
      </c>
      <c r="X226" s="40"/>
      <c r="Y226" s="43" t="str">
        <f aca="false">IF(OR($B226="",$X226=""),"",EDATE($X226,DelaiMiCarriere))</f>
        <v/>
      </c>
      <c r="Z226" s="42" t="str">
        <f aca="false">IF(OR($B226="",$X226=""),"",IF(AND($I226&lt;&gt;"",$I226&lt;=DateRef),"",IF(AND($N226&lt;&gt;"",$N226&gt;=$X226),"Réalisé",IF($Y226&lt;DateRef,"En retard","À planifier"))))</f>
        <v/>
      </c>
      <c r="AA226" s="47" t="str">
        <f aca="false">IF(OR($B226="",$G226=""),"",IF($G226&gt;DateRef,"",DATEDIF($G226,DateRef,"y")))</f>
        <v/>
      </c>
      <c r="AB226" s="43" t="str">
        <f aca="false">IF(OR($B226="",$G226=""),"",EDATE($G226,AgeFinCarriere*12))</f>
        <v/>
      </c>
      <c r="AC226" s="42" t="str">
        <f aca="false">IF(OR($B226="",$G226="",$H226=""),"",IF(AND($I226&lt;&gt;"",$I226&lt;=DateRef),"",IF($AB226&lt;DateVigueur,"Non concerné",IF(AND($N226&lt;&gt;"",$N226&gt;=MAX(EDATE($AB226,-FenetreFinCarriere*12),DateVigueur),$N226&lt;=$AB226),"Réalisé",IF(DateRef&gt;$AB226,"Non réalisé",IF(AND($Q226&lt;&gt;"",$Q226&gt;=EDATE($AB226,-FenetreFinCarriere*12),$Q226&lt;=$AB226),"Planifié dans la fenêtre",IF(AND(MAX($P226,DateRef)&gt;=EDATE($AB226,-FenetreFinCarriere*12),MAX($P226,DateRef)&lt;=$AB226),"Prochain EPP dans la fenêtre",IF(MAX($P226,DateRef)&gt;$AB226,"À programmer avant 60 ans",""))))))))</f>
        <v/>
      </c>
      <c r="AD226" s="40"/>
      <c r="AE226" s="43" t="str">
        <f aca="false">IF(OR($B226="",$H226="",AND($I226&lt;&gt;"",$I226&lt;=DateRef)),"",MAX($H226,$AD226,IF($A226="",0,SUMPRODUCT(MAX((Journal!$A$6:$A$1005=$A226)*((Journal!$D$6:$D$1005=TypeEDL)+(Journal!$D$6:$D$1005=TypeBilan6))*Journal!$C$6:$C$1005)))))</f>
        <v/>
      </c>
      <c r="AF226" s="43" t="str">
        <f aca="false">IF($AE226="","",IF(AND(ReglesTransitoires="Oui",EDATE($AE226,AnciennePeriodiciteEDL*12)&lt;DateVigueur),EDATE($AE226,AnciennePeriodiciteEDL*12),EDATE($AE226,PeriodiciteEDL*12)))</f>
        <v/>
      </c>
      <c r="AG226" s="42" t="str">
        <f aca="false">IF($AF226="","",IF(AND($I226&lt;&gt;"",$I226&lt;=DateRef),"",IF($AF226&lt;DateRef,"En retard",IF($AF226-DateRef&lt;=SeuilAlerteEDL,"À prévoir","À jour"))))</f>
        <v/>
      </c>
      <c r="AH226" s="39"/>
      <c r="AI226" s="39"/>
      <c r="AJ226" s="42" t="str">
        <f aca="false">IF(OR($B226="",$H226=""),"",IF(AND($I226&lt;&gt;"",$I226&lt;=DateRef),"",IF(Effectif&lt;SeuilEffectif,"Non concerné (&lt; "&amp;SeuilEffectif&amp;" salariés)",IF($AH226="Oui","Pas de risque",IF(AND(OR($AI226="Non",$S226="En retard"),$AH226="Non"),"Risque abondement",IF(OR($AI226="Non",$S226="En retard"),"À vérifier (formation ?)",IF($AI226="Oui","Pas de risque","À compléter")))))))</f>
        <v/>
      </c>
      <c r="AK226" s="39"/>
    </row>
    <row r="227" customFormat="false" ht="15" hidden="false" customHeight="false" outlineLevel="0" collapsed="false">
      <c r="A227" s="39"/>
      <c r="B227" s="39"/>
      <c r="C227" s="39"/>
      <c r="D227" s="39"/>
      <c r="E227" s="39"/>
      <c r="F227" s="39"/>
      <c r="G227" s="40"/>
      <c r="H227" s="40"/>
      <c r="I227" s="40"/>
      <c r="J227" s="41" t="str">
        <f aca="false">IF(OR($B227="",$H227=""),"",IF($H227&gt;DateRef,0,YEARFRAC($H227,DateRef,1)))</f>
        <v/>
      </c>
      <c r="K227" s="42" t="str">
        <f aca="false">IF(OR($B227="",$H227=""),"",IF(EDATE($H227,12)&lt;=DateRef,"Plus d'un an","Moins d'un an"))</f>
        <v/>
      </c>
      <c r="L227" s="40"/>
      <c r="M227" s="43" t="str">
        <f aca="false">IF(OR($B227="",$A227=""),"",IF(SUMPRODUCT(MAX((Journal!$A$6:$A$1005=$A227)*Journal!$C$6:$C$1005))=0,"",SUMPRODUCT(MAX((Journal!$A$6:$A$1005=$A227)*Journal!$C$6:$C$1005))))</f>
        <v/>
      </c>
      <c r="N227" s="43" t="str">
        <f aca="false">IF($B227="","",IF(MAX($L227,$M227)=0,"",MAX($L227,$M227)))</f>
        <v/>
      </c>
      <c r="O227" s="44" t="str">
        <f aca="false">IF(OR($B227="",$H227=""),"",IF($N227="",IF(EDATE($H227,DelaiPremierEPP)&gt;DateRef,"1er EPP (1re année)","Aucun entretien renseigné"),IF(AND(ReglesTransitoires="Oui",EDATE($N227,AnciennePeriodiciteEP*12)&lt;DateVigueur),"Retard antérieur à la réforme","Périodicité "&amp;PeriodiciteEPP&amp;" ans")))</f>
        <v/>
      </c>
      <c r="P227" s="43" t="str">
        <f aca="false">IF(OR($B227="",$H227=""),"",IF($N227="",EDATE($H227,DelaiPremierEPP),IF(AND(ReglesTransitoires="Oui",EDATE($N227,AnciennePeriodiciteEP*12)&lt;DateVigueur),EDATE($N227,AnciennePeriodiciteEP*12),EDATE($N227,PeriodiciteEPP*12))))</f>
        <v/>
      </c>
      <c r="Q227" s="40"/>
      <c r="R227" s="45" t="str">
        <f aca="false">IF(OR($P227="",AND($I227&lt;&gt;"",$I227&lt;=DateRef)),"",$P227-DateRef)</f>
        <v/>
      </c>
      <c r="S227" s="42" t="str">
        <f aca="false">IF($B227="","",IF(AND($I227&lt;&gt;"",$I227&lt;=DateRef),"Sorti",IF($H227="","À compléter",IF(AND($Q227&lt;&gt;"",$Q227&gt;=DateRef,$Q227&lt;=$P227),"Planifié",IF($R227&lt;0,"En retard",IF($R227&lt;=SeuilAlerteEPP,"À planifier","À jour"))))))</f>
        <v/>
      </c>
      <c r="T227" s="46" t="str">
        <f aca="false">IF(OR($B227="",$S227="Sorti"),"",MID(IF($H227=""," | Date d'embauche manquante","")&amp;IF(AND($K227="Plus d'un an",$N227="")," | Précédent entretien à renseigner (ancienneté &gt; 1 an)","")&amp;IF($O227="Retard antérieur à la réforme"," | Ancien délai de 2 ans expiré avant la réforme","")&amp;IF(AND($N227&lt;&gt;"",$H227&lt;&gt;"",$N227&lt;$H227)," | Entretien antérieur à l'embauche ?","")&amp;IF(AND($N227&lt;&gt;"",$N227&gt;DateRef)," | Entretien daté dans le futur ?","")&amp;IF(AND($Q227&lt;&gt;"",$P227&lt;&gt;"",$Q227&gt;$P227)," | Date prévue après l'échéance","")&amp;IF(AND($Q227&lt;&gt;"",$Q227&lt;DateRef,OR($N227="",$N227&lt;$Q227))," | Entretien prévu passé : le consigner au Journal","")&amp;IF(AND($G227&lt;&gt;"",$X227="",YEAR(DateRef)-YEAR($G227)&gt;=AgeMiCarriere-1,YEAR(DateRef)-YEAR($G227)&lt;=AgeMiCarriere+1)," | Visite de mi-carrière à vérifier",""),4,1000))</f>
        <v/>
      </c>
      <c r="U227" s="39"/>
      <c r="V227" s="40"/>
      <c r="W227" s="42" t="str">
        <f aca="false">IF(OR($B227="",$V227=""),"",IF(AND($I227&lt;&gt;"",$I227&lt;=DateRef),"",IF(AND($N227&lt;&gt;"",$N227&gt;=$V227),"Réalisé",IF(AND($N227&lt;&gt;"",$N227&gt;=EDATE($V227,-FenetreRetour)),"Dispensé (EPP récent)",IF($V227&gt;DateRef,"À prévoir à la reprise","À proposer (reprise passée)")))))</f>
        <v/>
      </c>
      <c r="X227" s="40"/>
      <c r="Y227" s="43" t="str">
        <f aca="false">IF(OR($B227="",$X227=""),"",EDATE($X227,DelaiMiCarriere))</f>
        <v/>
      </c>
      <c r="Z227" s="42" t="str">
        <f aca="false">IF(OR($B227="",$X227=""),"",IF(AND($I227&lt;&gt;"",$I227&lt;=DateRef),"",IF(AND($N227&lt;&gt;"",$N227&gt;=$X227),"Réalisé",IF($Y227&lt;DateRef,"En retard","À planifier"))))</f>
        <v/>
      </c>
      <c r="AA227" s="47" t="str">
        <f aca="false">IF(OR($B227="",$G227=""),"",IF($G227&gt;DateRef,"",DATEDIF($G227,DateRef,"y")))</f>
        <v/>
      </c>
      <c r="AB227" s="43" t="str">
        <f aca="false">IF(OR($B227="",$G227=""),"",EDATE($G227,AgeFinCarriere*12))</f>
        <v/>
      </c>
      <c r="AC227" s="42" t="str">
        <f aca="false">IF(OR($B227="",$G227="",$H227=""),"",IF(AND($I227&lt;&gt;"",$I227&lt;=DateRef),"",IF($AB227&lt;DateVigueur,"Non concerné",IF(AND($N227&lt;&gt;"",$N227&gt;=MAX(EDATE($AB227,-FenetreFinCarriere*12),DateVigueur),$N227&lt;=$AB227),"Réalisé",IF(DateRef&gt;$AB227,"Non réalisé",IF(AND($Q227&lt;&gt;"",$Q227&gt;=EDATE($AB227,-FenetreFinCarriere*12),$Q227&lt;=$AB227),"Planifié dans la fenêtre",IF(AND(MAX($P227,DateRef)&gt;=EDATE($AB227,-FenetreFinCarriere*12),MAX($P227,DateRef)&lt;=$AB227),"Prochain EPP dans la fenêtre",IF(MAX($P227,DateRef)&gt;$AB227,"À programmer avant 60 ans",""))))))))</f>
        <v/>
      </c>
      <c r="AD227" s="40"/>
      <c r="AE227" s="43" t="str">
        <f aca="false">IF(OR($B227="",$H227="",AND($I227&lt;&gt;"",$I227&lt;=DateRef)),"",MAX($H227,$AD227,IF($A227="",0,SUMPRODUCT(MAX((Journal!$A$6:$A$1005=$A227)*((Journal!$D$6:$D$1005=TypeEDL)+(Journal!$D$6:$D$1005=TypeBilan6))*Journal!$C$6:$C$1005)))))</f>
        <v/>
      </c>
      <c r="AF227" s="43" t="str">
        <f aca="false">IF($AE227="","",IF(AND(ReglesTransitoires="Oui",EDATE($AE227,AnciennePeriodiciteEDL*12)&lt;DateVigueur),EDATE($AE227,AnciennePeriodiciteEDL*12),EDATE($AE227,PeriodiciteEDL*12)))</f>
        <v/>
      </c>
      <c r="AG227" s="42" t="str">
        <f aca="false">IF($AF227="","",IF(AND($I227&lt;&gt;"",$I227&lt;=DateRef),"",IF($AF227&lt;DateRef,"En retard",IF($AF227-DateRef&lt;=SeuilAlerteEDL,"À prévoir","À jour"))))</f>
        <v/>
      </c>
      <c r="AH227" s="39"/>
      <c r="AI227" s="39"/>
      <c r="AJ227" s="42" t="str">
        <f aca="false">IF(OR($B227="",$H227=""),"",IF(AND($I227&lt;&gt;"",$I227&lt;=DateRef),"",IF(Effectif&lt;SeuilEffectif,"Non concerné (&lt; "&amp;SeuilEffectif&amp;" salariés)",IF($AH227="Oui","Pas de risque",IF(AND(OR($AI227="Non",$S227="En retard"),$AH227="Non"),"Risque abondement",IF(OR($AI227="Non",$S227="En retard"),"À vérifier (formation ?)",IF($AI227="Oui","Pas de risque","À compléter")))))))</f>
        <v/>
      </c>
      <c r="AK227" s="39"/>
    </row>
    <row r="228" customFormat="false" ht="15" hidden="false" customHeight="false" outlineLevel="0" collapsed="false">
      <c r="A228" s="39"/>
      <c r="B228" s="39"/>
      <c r="C228" s="39"/>
      <c r="D228" s="39"/>
      <c r="E228" s="39"/>
      <c r="F228" s="39"/>
      <c r="G228" s="40"/>
      <c r="H228" s="40"/>
      <c r="I228" s="40"/>
      <c r="J228" s="41" t="str">
        <f aca="false">IF(OR($B228="",$H228=""),"",IF($H228&gt;DateRef,0,YEARFRAC($H228,DateRef,1)))</f>
        <v/>
      </c>
      <c r="K228" s="42" t="str">
        <f aca="false">IF(OR($B228="",$H228=""),"",IF(EDATE($H228,12)&lt;=DateRef,"Plus d'un an","Moins d'un an"))</f>
        <v/>
      </c>
      <c r="L228" s="40"/>
      <c r="M228" s="43" t="str">
        <f aca="false">IF(OR($B228="",$A228=""),"",IF(SUMPRODUCT(MAX((Journal!$A$6:$A$1005=$A228)*Journal!$C$6:$C$1005))=0,"",SUMPRODUCT(MAX((Journal!$A$6:$A$1005=$A228)*Journal!$C$6:$C$1005))))</f>
        <v/>
      </c>
      <c r="N228" s="43" t="str">
        <f aca="false">IF($B228="","",IF(MAX($L228,$M228)=0,"",MAX($L228,$M228)))</f>
        <v/>
      </c>
      <c r="O228" s="44" t="str">
        <f aca="false">IF(OR($B228="",$H228=""),"",IF($N228="",IF(EDATE($H228,DelaiPremierEPP)&gt;DateRef,"1er EPP (1re année)","Aucun entretien renseigné"),IF(AND(ReglesTransitoires="Oui",EDATE($N228,AnciennePeriodiciteEP*12)&lt;DateVigueur),"Retard antérieur à la réforme","Périodicité "&amp;PeriodiciteEPP&amp;" ans")))</f>
        <v/>
      </c>
      <c r="P228" s="43" t="str">
        <f aca="false">IF(OR($B228="",$H228=""),"",IF($N228="",EDATE($H228,DelaiPremierEPP),IF(AND(ReglesTransitoires="Oui",EDATE($N228,AnciennePeriodiciteEP*12)&lt;DateVigueur),EDATE($N228,AnciennePeriodiciteEP*12),EDATE($N228,PeriodiciteEPP*12))))</f>
        <v/>
      </c>
      <c r="Q228" s="40"/>
      <c r="R228" s="45" t="str">
        <f aca="false">IF(OR($P228="",AND($I228&lt;&gt;"",$I228&lt;=DateRef)),"",$P228-DateRef)</f>
        <v/>
      </c>
      <c r="S228" s="42" t="str">
        <f aca="false">IF($B228="","",IF(AND($I228&lt;&gt;"",$I228&lt;=DateRef),"Sorti",IF($H228="","À compléter",IF(AND($Q228&lt;&gt;"",$Q228&gt;=DateRef,$Q228&lt;=$P228),"Planifié",IF($R228&lt;0,"En retard",IF($R228&lt;=SeuilAlerteEPP,"À planifier","À jour"))))))</f>
        <v/>
      </c>
      <c r="T228" s="46" t="str">
        <f aca="false">IF(OR($B228="",$S228="Sorti"),"",MID(IF($H228=""," | Date d'embauche manquante","")&amp;IF(AND($K228="Plus d'un an",$N228="")," | Précédent entretien à renseigner (ancienneté &gt; 1 an)","")&amp;IF($O228="Retard antérieur à la réforme"," | Ancien délai de 2 ans expiré avant la réforme","")&amp;IF(AND($N228&lt;&gt;"",$H228&lt;&gt;"",$N228&lt;$H228)," | Entretien antérieur à l'embauche ?","")&amp;IF(AND($N228&lt;&gt;"",$N228&gt;DateRef)," | Entretien daté dans le futur ?","")&amp;IF(AND($Q228&lt;&gt;"",$P228&lt;&gt;"",$Q228&gt;$P228)," | Date prévue après l'échéance","")&amp;IF(AND($Q228&lt;&gt;"",$Q228&lt;DateRef,OR($N228="",$N228&lt;$Q228))," | Entretien prévu passé : le consigner au Journal","")&amp;IF(AND($G228&lt;&gt;"",$X228="",YEAR(DateRef)-YEAR($G228)&gt;=AgeMiCarriere-1,YEAR(DateRef)-YEAR($G228)&lt;=AgeMiCarriere+1)," | Visite de mi-carrière à vérifier",""),4,1000))</f>
        <v/>
      </c>
      <c r="U228" s="39"/>
      <c r="V228" s="40"/>
      <c r="W228" s="42" t="str">
        <f aca="false">IF(OR($B228="",$V228=""),"",IF(AND($I228&lt;&gt;"",$I228&lt;=DateRef),"",IF(AND($N228&lt;&gt;"",$N228&gt;=$V228),"Réalisé",IF(AND($N228&lt;&gt;"",$N228&gt;=EDATE($V228,-FenetreRetour)),"Dispensé (EPP récent)",IF($V228&gt;DateRef,"À prévoir à la reprise","À proposer (reprise passée)")))))</f>
        <v/>
      </c>
      <c r="X228" s="40"/>
      <c r="Y228" s="43" t="str">
        <f aca="false">IF(OR($B228="",$X228=""),"",EDATE($X228,DelaiMiCarriere))</f>
        <v/>
      </c>
      <c r="Z228" s="42" t="str">
        <f aca="false">IF(OR($B228="",$X228=""),"",IF(AND($I228&lt;&gt;"",$I228&lt;=DateRef),"",IF(AND($N228&lt;&gt;"",$N228&gt;=$X228),"Réalisé",IF($Y228&lt;DateRef,"En retard","À planifier"))))</f>
        <v/>
      </c>
      <c r="AA228" s="47" t="str">
        <f aca="false">IF(OR($B228="",$G228=""),"",IF($G228&gt;DateRef,"",DATEDIF($G228,DateRef,"y")))</f>
        <v/>
      </c>
      <c r="AB228" s="43" t="str">
        <f aca="false">IF(OR($B228="",$G228=""),"",EDATE($G228,AgeFinCarriere*12))</f>
        <v/>
      </c>
      <c r="AC228" s="42" t="str">
        <f aca="false">IF(OR($B228="",$G228="",$H228=""),"",IF(AND($I228&lt;&gt;"",$I228&lt;=DateRef),"",IF($AB228&lt;DateVigueur,"Non concerné",IF(AND($N228&lt;&gt;"",$N228&gt;=MAX(EDATE($AB228,-FenetreFinCarriere*12),DateVigueur),$N228&lt;=$AB228),"Réalisé",IF(DateRef&gt;$AB228,"Non réalisé",IF(AND($Q228&lt;&gt;"",$Q228&gt;=EDATE($AB228,-FenetreFinCarriere*12),$Q228&lt;=$AB228),"Planifié dans la fenêtre",IF(AND(MAX($P228,DateRef)&gt;=EDATE($AB228,-FenetreFinCarriere*12),MAX($P228,DateRef)&lt;=$AB228),"Prochain EPP dans la fenêtre",IF(MAX($P228,DateRef)&gt;$AB228,"À programmer avant 60 ans",""))))))))</f>
        <v/>
      </c>
      <c r="AD228" s="40"/>
      <c r="AE228" s="43" t="str">
        <f aca="false">IF(OR($B228="",$H228="",AND($I228&lt;&gt;"",$I228&lt;=DateRef)),"",MAX($H228,$AD228,IF($A228="",0,SUMPRODUCT(MAX((Journal!$A$6:$A$1005=$A228)*((Journal!$D$6:$D$1005=TypeEDL)+(Journal!$D$6:$D$1005=TypeBilan6))*Journal!$C$6:$C$1005)))))</f>
        <v/>
      </c>
      <c r="AF228" s="43" t="str">
        <f aca="false">IF($AE228="","",IF(AND(ReglesTransitoires="Oui",EDATE($AE228,AnciennePeriodiciteEDL*12)&lt;DateVigueur),EDATE($AE228,AnciennePeriodiciteEDL*12),EDATE($AE228,PeriodiciteEDL*12)))</f>
        <v/>
      </c>
      <c r="AG228" s="42" t="str">
        <f aca="false">IF($AF228="","",IF(AND($I228&lt;&gt;"",$I228&lt;=DateRef),"",IF($AF228&lt;DateRef,"En retard",IF($AF228-DateRef&lt;=SeuilAlerteEDL,"À prévoir","À jour"))))</f>
        <v/>
      </c>
      <c r="AH228" s="39"/>
      <c r="AI228" s="39"/>
      <c r="AJ228" s="42" t="str">
        <f aca="false">IF(OR($B228="",$H228=""),"",IF(AND($I228&lt;&gt;"",$I228&lt;=DateRef),"",IF(Effectif&lt;SeuilEffectif,"Non concerné (&lt; "&amp;SeuilEffectif&amp;" salariés)",IF($AH228="Oui","Pas de risque",IF(AND(OR($AI228="Non",$S228="En retard"),$AH228="Non"),"Risque abondement",IF(OR($AI228="Non",$S228="En retard"),"À vérifier (formation ?)",IF($AI228="Oui","Pas de risque","À compléter")))))))</f>
        <v/>
      </c>
      <c r="AK228" s="39"/>
    </row>
    <row r="229" customFormat="false" ht="15" hidden="false" customHeight="false" outlineLevel="0" collapsed="false">
      <c r="A229" s="39"/>
      <c r="B229" s="39"/>
      <c r="C229" s="39"/>
      <c r="D229" s="39"/>
      <c r="E229" s="39"/>
      <c r="F229" s="39"/>
      <c r="G229" s="40"/>
      <c r="H229" s="40"/>
      <c r="I229" s="40"/>
      <c r="J229" s="41" t="str">
        <f aca="false">IF(OR($B229="",$H229=""),"",IF($H229&gt;DateRef,0,YEARFRAC($H229,DateRef,1)))</f>
        <v/>
      </c>
      <c r="K229" s="42" t="str">
        <f aca="false">IF(OR($B229="",$H229=""),"",IF(EDATE($H229,12)&lt;=DateRef,"Plus d'un an","Moins d'un an"))</f>
        <v/>
      </c>
      <c r="L229" s="40"/>
      <c r="M229" s="43" t="str">
        <f aca="false">IF(OR($B229="",$A229=""),"",IF(SUMPRODUCT(MAX((Journal!$A$6:$A$1005=$A229)*Journal!$C$6:$C$1005))=0,"",SUMPRODUCT(MAX((Journal!$A$6:$A$1005=$A229)*Journal!$C$6:$C$1005))))</f>
        <v/>
      </c>
      <c r="N229" s="43" t="str">
        <f aca="false">IF($B229="","",IF(MAX($L229,$M229)=0,"",MAX($L229,$M229)))</f>
        <v/>
      </c>
      <c r="O229" s="44" t="str">
        <f aca="false">IF(OR($B229="",$H229=""),"",IF($N229="",IF(EDATE($H229,DelaiPremierEPP)&gt;DateRef,"1er EPP (1re année)","Aucun entretien renseigné"),IF(AND(ReglesTransitoires="Oui",EDATE($N229,AnciennePeriodiciteEP*12)&lt;DateVigueur),"Retard antérieur à la réforme","Périodicité "&amp;PeriodiciteEPP&amp;" ans")))</f>
        <v/>
      </c>
      <c r="P229" s="43" t="str">
        <f aca="false">IF(OR($B229="",$H229=""),"",IF($N229="",EDATE($H229,DelaiPremierEPP),IF(AND(ReglesTransitoires="Oui",EDATE($N229,AnciennePeriodiciteEP*12)&lt;DateVigueur),EDATE($N229,AnciennePeriodiciteEP*12),EDATE($N229,PeriodiciteEPP*12))))</f>
        <v/>
      </c>
      <c r="Q229" s="40"/>
      <c r="R229" s="45" t="str">
        <f aca="false">IF(OR($P229="",AND($I229&lt;&gt;"",$I229&lt;=DateRef)),"",$P229-DateRef)</f>
        <v/>
      </c>
      <c r="S229" s="42" t="str">
        <f aca="false">IF($B229="","",IF(AND($I229&lt;&gt;"",$I229&lt;=DateRef),"Sorti",IF($H229="","À compléter",IF(AND($Q229&lt;&gt;"",$Q229&gt;=DateRef,$Q229&lt;=$P229),"Planifié",IF($R229&lt;0,"En retard",IF($R229&lt;=SeuilAlerteEPP,"À planifier","À jour"))))))</f>
        <v/>
      </c>
      <c r="T229" s="46" t="str">
        <f aca="false">IF(OR($B229="",$S229="Sorti"),"",MID(IF($H229=""," | Date d'embauche manquante","")&amp;IF(AND($K229="Plus d'un an",$N229="")," | Précédent entretien à renseigner (ancienneté &gt; 1 an)","")&amp;IF($O229="Retard antérieur à la réforme"," | Ancien délai de 2 ans expiré avant la réforme","")&amp;IF(AND($N229&lt;&gt;"",$H229&lt;&gt;"",$N229&lt;$H229)," | Entretien antérieur à l'embauche ?","")&amp;IF(AND($N229&lt;&gt;"",$N229&gt;DateRef)," | Entretien daté dans le futur ?","")&amp;IF(AND($Q229&lt;&gt;"",$P229&lt;&gt;"",$Q229&gt;$P229)," | Date prévue après l'échéance","")&amp;IF(AND($Q229&lt;&gt;"",$Q229&lt;DateRef,OR($N229="",$N229&lt;$Q229))," | Entretien prévu passé : le consigner au Journal","")&amp;IF(AND($G229&lt;&gt;"",$X229="",YEAR(DateRef)-YEAR($G229)&gt;=AgeMiCarriere-1,YEAR(DateRef)-YEAR($G229)&lt;=AgeMiCarriere+1)," | Visite de mi-carrière à vérifier",""),4,1000))</f>
        <v/>
      </c>
      <c r="U229" s="39"/>
      <c r="V229" s="40"/>
      <c r="W229" s="42" t="str">
        <f aca="false">IF(OR($B229="",$V229=""),"",IF(AND($I229&lt;&gt;"",$I229&lt;=DateRef),"",IF(AND($N229&lt;&gt;"",$N229&gt;=$V229),"Réalisé",IF(AND($N229&lt;&gt;"",$N229&gt;=EDATE($V229,-FenetreRetour)),"Dispensé (EPP récent)",IF($V229&gt;DateRef,"À prévoir à la reprise","À proposer (reprise passée)")))))</f>
        <v/>
      </c>
      <c r="X229" s="40"/>
      <c r="Y229" s="43" t="str">
        <f aca="false">IF(OR($B229="",$X229=""),"",EDATE($X229,DelaiMiCarriere))</f>
        <v/>
      </c>
      <c r="Z229" s="42" t="str">
        <f aca="false">IF(OR($B229="",$X229=""),"",IF(AND($I229&lt;&gt;"",$I229&lt;=DateRef),"",IF(AND($N229&lt;&gt;"",$N229&gt;=$X229),"Réalisé",IF($Y229&lt;DateRef,"En retard","À planifier"))))</f>
        <v/>
      </c>
      <c r="AA229" s="47" t="str">
        <f aca="false">IF(OR($B229="",$G229=""),"",IF($G229&gt;DateRef,"",DATEDIF($G229,DateRef,"y")))</f>
        <v/>
      </c>
      <c r="AB229" s="43" t="str">
        <f aca="false">IF(OR($B229="",$G229=""),"",EDATE($G229,AgeFinCarriere*12))</f>
        <v/>
      </c>
      <c r="AC229" s="42" t="str">
        <f aca="false">IF(OR($B229="",$G229="",$H229=""),"",IF(AND($I229&lt;&gt;"",$I229&lt;=DateRef),"",IF($AB229&lt;DateVigueur,"Non concerné",IF(AND($N229&lt;&gt;"",$N229&gt;=MAX(EDATE($AB229,-FenetreFinCarriere*12),DateVigueur),$N229&lt;=$AB229),"Réalisé",IF(DateRef&gt;$AB229,"Non réalisé",IF(AND($Q229&lt;&gt;"",$Q229&gt;=EDATE($AB229,-FenetreFinCarriere*12),$Q229&lt;=$AB229),"Planifié dans la fenêtre",IF(AND(MAX($P229,DateRef)&gt;=EDATE($AB229,-FenetreFinCarriere*12),MAX($P229,DateRef)&lt;=$AB229),"Prochain EPP dans la fenêtre",IF(MAX($P229,DateRef)&gt;$AB229,"À programmer avant 60 ans",""))))))))</f>
        <v/>
      </c>
      <c r="AD229" s="40"/>
      <c r="AE229" s="43" t="str">
        <f aca="false">IF(OR($B229="",$H229="",AND($I229&lt;&gt;"",$I229&lt;=DateRef)),"",MAX($H229,$AD229,IF($A229="",0,SUMPRODUCT(MAX((Journal!$A$6:$A$1005=$A229)*((Journal!$D$6:$D$1005=TypeEDL)+(Journal!$D$6:$D$1005=TypeBilan6))*Journal!$C$6:$C$1005)))))</f>
        <v/>
      </c>
      <c r="AF229" s="43" t="str">
        <f aca="false">IF($AE229="","",IF(AND(ReglesTransitoires="Oui",EDATE($AE229,AnciennePeriodiciteEDL*12)&lt;DateVigueur),EDATE($AE229,AnciennePeriodiciteEDL*12),EDATE($AE229,PeriodiciteEDL*12)))</f>
        <v/>
      </c>
      <c r="AG229" s="42" t="str">
        <f aca="false">IF($AF229="","",IF(AND($I229&lt;&gt;"",$I229&lt;=DateRef),"",IF($AF229&lt;DateRef,"En retard",IF($AF229-DateRef&lt;=SeuilAlerteEDL,"À prévoir","À jour"))))</f>
        <v/>
      </c>
      <c r="AH229" s="39"/>
      <c r="AI229" s="39"/>
      <c r="AJ229" s="42" t="str">
        <f aca="false">IF(OR($B229="",$H229=""),"",IF(AND($I229&lt;&gt;"",$I229&lt;=DateRef),"",IF(Effectif&lt;SeuilEffectif,"Non concerné (&lt; "&amp;SeuilEffectif&amp;" salariés)",IF($AH229="Oui","Pas de risque",IF(AND(OR($AI229="Non",$S229="En retard"),$AH229="Non"),"Risque abondement",IF(OR($AI229="Non",$S229="En retard"),"À vérifier (formation ?)",IF($AI229="Oui","Pas de risque","À compléter")))))))</f>
        <v/>
      </c>
      <c r="AK229" s="39"/>
    </row>
    <row r="230" customFormat="false" ht="15" hidden="false" customHeight="false" outlineLevel="0" collapsed="false">
      <c r="A230" s="39"/>
      <c r="B230" s="39"/>
      <c r="C230" s="39"/>
      <c r="D230" s="39"/>
      <c r="E230" s="39"/>
      <c r="F230" s="39"/>
      <c r="G230" s="40"/>
      <c r="H230" s="40"/>
      <c r="I230" s="40"/>
      <c r="J230" s="41" t="str">
        <f aca="false">IF(OR($B230="",$H230=""),"",IF($H230&gt;DateRef,0,YEARFRAC($H230,DateRef,1)))</f>
        <v/>
      </c>
      <c r="K230" s="42" t="str">
        <f aca="false">IF(OR($B230="",$H230=""),"",IF(EDATE($H230,12)&lt;=DateRef,"Plus d'un an","Moins d'un an"))</f>
        <v/>
      </c>
      <c r="L230" s="40"/>
      <c r="M230" s="43" t="str">
        <f aca="false">IF(OR($B230="",$A230=""),"",IF(SUMPRODUCT(MAX((Journal!$A$6:$A$1005=$A230)*Journal!$C$6:$C$1005))=0,"",SUMPRODUCT(MAX((Journal!$A$6:$A$1005=$A230)*Journal!$C$6:$C$1005))))</f>
        <v/>
      </c>
      <c r="N230" s="43" t="str">
        <f aca="false">IF($B230="","",IF(MAX($L230,$M230)=0,"",MAX($L230,$M230)))</f>
        <v/>
      </c>
      <c r="O230" s="44" t="str">
        <f aca="false">IF(OR($B230="",$H230=""),"",IF($N230="",IF(EDATE($H230,DelaiPremierEPP)&gt;DateRef,"1er EPP (1re année)","Aucun entretien renseigné"),IF(AND(ReglesTransitoires="Oui",EDATE($N230,AnciennePeriodiciteEP*12)&lt;DateVigueur),"Retard antérieur à la réforme","Périodicité "&amp;PeriodiciteEPP&amp;" ans")))</f>
        <v/>
      </c>
      <c r="P230" s="43" t="str">
        <f aca="false">IF(OR($B230="",$H230=""),"",IF($N230="",EDATE($H230,DelaiPremierEPP),IF(AND(ReglesTransitoires="Oui",EDATE($N230,AnciennePeriodiciteEP*12)&lt;DateVigueur),EDATE($N230,AnciennePeriodiciteEP*12),EDATE($N230,PeriodiciteEPP*12))))</f>
        <v/>
      </c>
      <c r="Q230" s="40"/>
      <c r="R230" s="45" t="str">
        <f aca="false">IF(OR($P230="",AND($I230&lt;&gt;"",$I230&lt;=DateRef)),"",$P230-DateRef)</f>
        <v/>
      </c>
      <c r="S230" s="42" t="str">
        <f aca="false">IF($B230="","",IF(AND($I230&lt;&gt;"",$I230&lt;=DateRef),"Sorti",IF($H230="","À compléter",IF(AND($Q230&lt;&gt;"",$Q230&gt;=DateRef,$Q230&lt;=$P230),"Planifié",IF($R230&lt;0,"En retard",IF($R230&lt;=SeuilAlerteEPP,"À planifier","À jour"))))))</f>
        <v/>
      </c>
      <c r="T230" s="46" t="str">
        <f aca="false">IF(OR($B230="",$S230="Sorti"),"",MID(IF($H230=""," | Date d'embauche manquante","")&amp;IF(AND($K230="Plus d'un an",$N230="")," | Précédent entretien à renseigner (ancienneté &gt; 1 an)","")&amp;IF($O230="Retard antérieur à la réforme"," | Ancien délai de 2 ans expiré avant la réforme","")&amp;IF(AND($N230&lt;&gt;"",$H230&lt;&gt;"",$N230&lt;$H230)," | Entretien antérieur à l'embauche ?","")&amp;IF(AND($N230&lt;&gt;"",$N230&gt;DateRef)," | Entretien daté dans le futur ?","")&amp;IF(AND($Q230&lt;&gt;"",$P230&lt;&gt;"",$Q230&gt;$P230)," | Date prévue après l'échéance","")&amp;IF(AND($Q230&lt;&gt;"",$Q230&lt;DateRef,OR($N230="",$N230&lt;$Q230))," | Entretien prévu passé : le consigner au Journal","")&amp;IF(AND($G230&lt;&gt;"",$X230="",YEAR(DateRef)-YEAR($G230)&gt;=AgeMiCarriere-1,YEAR(DateRef)-YEAR($G230)&lt;=AgeMiCarriere+1)," | Visite de mi-carrière à vérifier",""),4,1000))</f>
        <v/>
      </c>
      <c r="U230" s="39"/>
      <c r="V230" s="40"/>
      <c r="W230" s="42" t="str">
        <f aca="false">IF(OR($B230="",$V230=""),"",IF(AND($I230&lt;&gt;"",$I230&lt;=DateRef),"",IF(AND($N230&lt;&gt;"",$N230&gt;=$V230),"Réalisé",IF(AND($N230&lt;&gt;"",$N230&gt;=EDATE($V230,-FenetreRetour)),"Dispensé (EPP récent)",IF($V230&gt;DateRef,"À prévoir à la reprise","À proposer (reprise passée)")))))</f>
        <v/>
      </c>
      <c r="X230" s="40"/>
      <c r="Y230" s="43" t="str">
        <f aca="false">IF(OR($B230="",$X230=""),"",EDATE($X230,DelaiMiCarriere))</f>
        <v/>
      </c>
      <c r="Z230" s="42" t="str">
        <f aca="false">IF(OR($B230="",$X230=""),"",IF(AND($I230&lt;&gt;"",$I230&lt;=DateRef),"",IF(AND($N230&lt;&gt;"",$N230&gt;=$X230),"Réalisé",IF($Y230&lt;DateRef,"En retard","À planifier"))))</f>
        <v/>
      </c>
      <c r="AA230" s="47" t="str">
        <f aca="false">IF(OR($B230="",$G230=""),"",IF($G230&gt;DateRef,"",DATEDIF($G230,DateRef,"y")))</f>
        <v/>
      </c>
      <c r="AB230" s="43" t="str">
        <f aca="false">IF(OR($B230="",$G230=""),"",EDATE($G230,AgeFinCarriere*12))</f>
        <v/>
      </c>
      <c r="AC230" s="42" t="str">
        <f aca="false">IF(OR($B230="",$G230="",$H230=""),"",IF(AND($I230&lt;&gt;"",$I230&lt;=DateRef),"",IF($AB230&lt;DateVigueur,"Non concerné",IF(AND($N230&lt;&gt;"",$N230&gt;=MAX(EDATE($AB230,-FenetreFinCarriere*12),DateVigueur),$N230&lt;=$AB230),"Réalisé",IF(DateRef&gt;$AB230,"Non réalisé",IF(AND($Q230&lt;&gt;"",$Q230&gt;=EDATE($AB230,-FenetreFinCarriere*12),$Q230&lt;=$AB230),"Planifié dans la fenêtre",IF(AND(MAX($P230,DateRef)&gt;=EDATE($AB230,-FenetreFinCarriere*12),MAX($P230,DateRef)&lt;=$AB230),"Prochain EPP dans la fenêtre",IF(MAX($P230,DateRef)&gt;$AB230,"À programmer avant 60 ans",""))))))))</f>
        <v/>
      </c>
      <c r="AD230" s="40"/>
      <c r="AE230" s="43" t="str">
        <f aca="false">IF(OR($B230="",$H230="",AND($I230&lt;&gt;"",$I230&lt;=DateRef)),"",MAX($H230,$AD230,IF($A230="",0,SUMPRODUCT(MAX((Journal!$A$6:$A$1005=$A230)*((Journal!$D$6:$D$1005=TypeEDL)+(Journal!$D$6:$D$1005=TypeBilan6))*Journal!$C$6:$C$1005)))))</f>
        <v/>
      </c>
      <c r="AF230" s="43" t="str">
        <f aca="false">IF($AE230="","",IF(AND(ReglesTransitoires="Oui",EDATE($AE230,AnciennePeriodiciteEDL*12)&lt;DateVigueur),EDATE($AE230,AnciennePeriodiciteEDL*12),EDATE($AE230,PeriodiciteEDL*12)))</f>
        <v/>
      </c>
      <c r="AG230" s="42" t="str">
        <f aca="false">IF($AF230="","",IF(AND($I230&lt;&gt;"",$I230&lt;=DateRef),"",IF($AF230&lt;DateRef,"En retard",IF($AF230-DateRef&lt;=SeuilAlerteEDL,"À prévoir","À jour"))))</f>
        <v/>
      </c>
      <c r="AH230" s="39"/>
      <c r="AI230" s="39"/>
      <c r="AJ230" s="42" t="str">
        <f aca="false">IF(OR($B230="",$H230=""),"",IF(AND($I230&lt;&gt;"",$I230&lt;=DateRef),"",IF(Effectif&lt;SeuilEffectif,"Non concerné (&lt; "&amp;SeuilEffectif&amp;" salariés)",IF($AH230="Oui","Pas de risque",IF(AND(OR($AI230="Non",$S230="En retard"),$AH230="Non"),"Risque abondement",IF(OR($AI230="Non",$S230="En retard"),"À vérifier (formation ?)",IF($AI230="Oui","Pas de risque","À compléter")))))))</f>
        <v/>
      </c>
      <c r="AK230" s="39"/>
    </row>
    <row r="231" customFormat="false" ht="15" hidden="false" customHeight="false" outlineLevel="0" collapsed="false">
      <c r="A231" s="39"/>
      <c r="B231" s="39"/>
      <c r="C231" s="39"/>
      <c r="D231" s="39"/>
      <c r="E231" s="39"/>
      <c r="F231" s="39"/>
      <c r="G231" s="40"/>
      <c r="H231" s="40"/>
      <c r="I231" s="40"/>
      <c r="J231" s="41" t="str">
        <f aca="false">IF(OR($B231="",$H231=""),"",IF($H231&gt;DateRef,0,YEARFRAC($H231,DateRef,1)))</f>
        <v/>
      </c>
      <c r="K231" s="42" t="str">
        <f aca="false">IF(OR($B231="",$H231=""),"",IF(EDATE($H231,12)&lt;=DateRef,"Plus d'un an","Moins d'un an"))</f>
        <v/>
      </c>
      <c r="L231" s="40"/>
      <c r="M231" s="43" t="str">
        <f aca="false">IF(OR($B231="",$A231=""),"",IF(SUMPRODUCT(MAX((Journal!$A$6:$A$1005=$A231)*Journal!$C$6:$C$1005))=0,"",SUMPRODUCT(MAX((Journal!$A$6:$A$1005=$A231)*Journal!$C$6:$C$1005))))</f>
        <v/>
      </c>
      <c r="N231" s="43" t="str">
        <f aca="false">IF($B231="","",IF(MAX($L231,$M231)=0,"",MAX($L231,$M231)))</f>
        <v/>
      </c>
      <c r="O231" s="44" t="str">
        <f aca="false">IF(OR($B231="",$H231=""),"",IF($N231="",IF(EDATE($H231,DelaiPremierEPP)&gt;DateRef,"1er EPP (1re année)","Aucun entretien renseigné"),IF(AND(ReglesTransitoires="Oui",EDATE($N231,AnciennePeriodiciteEP*12)&lt;DateVigueur),"Retard antérieur à la réforme","Périodicité "&amp;PeriodiciteEPP&amp;" ans")))</f>
        <v/>
      </c>
      <c r="P231" s="43" t="str">
        <f aca="false">IF(OR($B231="",$H231=""),"",IF($N231="",EDATE($H231,DelaiPremierEPP),IF(AND(ReglesTransitoires="Oui",EDATE($N231,AnciennePeriodiciteEP*12)&lt;DateVigueur),EDATE($N231,AnciennePeriodiciteEP*12),EDATE($N231,PeriodiciteEPP*12))))</f>
        <v/>
      </c>
      <c r="Q231" s="40"/>
      <c r="R231" s="45" t="str">
        <f aca="false">IF(OR($P231="",AND($I231&lt;&gt;"",$I231&lt;=DateRef)),"",$P231-DateRef)</f>
        <v/>
      </c>
      <c r="S231" s="42" t="str">
        <f aca="false">IF($B231="","",IF(AND($I231&lt;&gt;"",$I231&lt;=DateRef),"Sorti",IF($H231="","À compléter",IF(AND($Q231&lt;&gt;"",$Q231&gt;=DateRef,$Q231&lt;=$P231),"Planifié",IF($R231&lt;0,"En retard",IF($R231&lt;=SeuilAlerteEPP,"À planifier","À jour"))))))</f>
        <v/>
      </c>
      <c r="T231" s="46" t="str">
        <f aca="false">IF(OR($B231="",$S231="Sorti"),"",MID(IF($H231=""," | Date d'embauche manquante","")&amp;IF(AND($K231="Plus d'un an",$N231="")," | Précédent entretien à renseigner (ancienneté &gt; 1 an)","")&amp;IF($O231="Retard antérieur à la réforme"," | Ancien délai de 2 ans expiré avant la réforme","")&amp;IF(AND($N231&lt;&gt;"",$H231&lt;&gt;"",$N231&lt;$H231)," | Entretien antérieur à l'embauche ?","")&amp;IF(AND($N231&lt;&gt;"",$N231&gt;DateRef)," | Entretien daté dans le futur ?","")&amp;IF(AND($Q231&lt;&gt;"",$P231&lt;&gt;"",$Q231&gt;$P231)," | Date prévue après l'échéance","")&amp;IF(AND($Q231&lt;&gt;"",$Q231&lt;DateRef,OR($N231="",$N231&lt;$Q231))," | Entretien prévu passé : le consigner au Journal","")&amp;IF(AND($G231&lt;&gt;"",$X231="",YEAR(DateRef)-YEAR($G231)&gt;=AgeMiCarriere-1,YEAR(DateRef)-YEAR($G231)&lt;=AgeMiCarriere+1)," | Visite de mi-carrière à vérifier",""),4,1000))</f>
        <v/>
      </c>
      <c r="U231" s="39"/>
      <c r="V231" s="40"/>
      <c r="W231" s="42" t="str">
        <f aca="false">IF(OR($B231="",$V231=""),"",IF(AND($I231&lt;&gt;"",$I231&lt;=DateRef),"",IF(AND($N231&lt;&gt;"",$N231&gt;=$V231),"Réalisé",IF(AND($N231&lt;&gt;"",$N231&gt;=EDATE($V231,-FenetreRetour)),"Dispensé (EPP récent)",IF($V231&gt;DateRef,"À prévoir à la reprise","À proposer (reprise passée)")))))</f>
        <v/>
      </c>
      <c r="X231" s="40"/>
      <c r="Y231" s="43" t="str">
        <f aca="false">IF(OR($B231="",$X231=""),"",EDATE($X231,DelaiMiCarriere))</f>
        <v/>
      </c>
      <c r="Z231" s="42" t="str">
        <f aca="false">IF(OR($B231="",$X231=""),"",IF(AND($I231&lt;&gt;"",$I231&lt;=DateRef),"",IF(AND($N231&lt;&gt;"",$N231&gt;=$X231),"Réalisé",IF($Y231&lt;DateRef,"En retard","À planifier"))))</f>
        <v/>
      </c>
      <c r="AA231" s="47" t="str">
        <f aca="false">IF(OR($B231="",$G231=""),"",IF($G231&gt;DateRef,"",DATEDIF($G231,DateRef,"y")))</f>
        <v/>
      </c>
      <c r="AB231" s="43" t="str">
        <f aca="false">IF(OR($B231="",$G231=""),"",EDATE($G231,AgeFinCarriere*12))</f>
        <v/>
      </c>
      <c r="AC231" s="42" t="str">
        <f aca="false">IF(OR($B231="",$G231="",$H231=""),"",IF(AND($I231&lt;&gt;"",$I231&lt;=DateRef),"",IF($AB231&lt;DateVigueur,"Non concerné",IF(AND($N231&lt;&gt;"",$N231&gt;=MAX(EDATE($AB231,-FenetreFinCarriere*12),DateVigueur),$N231&lt;=$AB231),"Réalisé",IF(DateRef&gt;$AB231,"Non réalisé",IF(AND($Q231&lt;&gt;"",$Q231&gt;=EDATE($AB231,-FenetreFinCarriere*12),$Q231&lt;=$AB231),"Planifié dans la fenêtre",IF(AND(MAX($P231,DateRef)&gt;=EDATE($AB231,-FenetreFinCarriere*12),MAX($P231,DateRef)&lt;=$AB231),"Prochain EPP dans la fenêtre",IF(MAX($P231,DateRef)&gt;$AB231,"À programmer avant 60 ans",""))))))))</f>
        <v/>
      </c>
      <c r="AD231" s="40"/>
      <c r="AE231" s="43" t="str">
        <f aca="false">IF(OR($B231="",$H231="",AND($I231&lt;&gt;"",$I231&lt;=DateRef)),"",MAX($H231,$AD231,IF($A231="",0,SUMPRODUCT(MAX((Journal!$A$6:$A$1005=$A231)*((Journal!$D$6:$D$1005=TypeEDL)+(Journal!$D$6:$D$1005=TypeBilan6))*Journal!$C$6:$C$1005)))))</f>
        <v/>
      </c>
      <c r="AF231" s="43" t="str">
        <f aca="false">IF($AE231="","",IF(AND(ReglesTransitoires="Oui",EDATE($AE231,AnciennePeriodiciteEDL*12)&lt;DateVigueur),EDATE($AE231,AnciennePeriodiciteEDL*12),EDATE($AE231,PeriodiciteEDL*12)))</f>
        <v/>
      </c>
      <c r="AG231" s="42" t="str">
        <f aca="false">IF($AF231="","",IF(AND($I231&lt;&gt;"",$I231&lt;=DateRef),"",IF($AF231&lt;DateRef,"En retard",IF($AF231-DateRef&lt;=SeuilAlerteEDL,"À prévoir","À jour"))))</f>
        <v/>
      </c>
      <c r="AH231" s="39"/>
      <c r="AI231" s="39"/>
      <c r="AJ231" s="42" t="str">
        <f aca="false">IF(OR($B231="",$H231=""),"",IF(AND($I231&lt;&gt;"",$I231&lt;=DateRef),"",IF(Effectif&lt;SeuilEffectif,"Non concerné (&lt; "&amp;SeuilEffectif&amp;" salariés)",IF($AH231="Oui","Pas de risque",IF(AND(OR($AI231="Non",$S231="En retard"),$AH231="Non"),"Risque abondement",IF(OR($AI231="Non",$S231="En retard"),"À vérifier (formation ?)",IF($AI231="Oui","Pas de risque","À compléter")))))))</f>
        <v/>
      </c>
      <c r="AK231" s="39"/>
    </row>
    <row r="232" customFormat="false" ht="15" hidden="false" customHeight="false" outlineLevel="0" collapsed="false">
      <c r="A232" s="39"/>
      <c r="B232" s="39"/>
      <c r="C232" s="39"/>
      <c r="D232" s="39"/>
      <c r="E232" s="39"/>
      <c r="F232" s="39"/>
      <c r="G232" s="40"/>
      <c r="H232" s="40"/>
      <c r="I232" s="40"/>
      <c r="J232" s="41" t="str">
        <f aca="false">IF(OR($B232="",$H232=""),"",IF($H232&gt;DateRef,0,YEARFRAC($H232,DateRef,1)))</f>
        <v/>
      </c>
      <c r="K232" s="42" t="str">
        <f aca="false">IF(OR($B232="",$H232=""),"",IF(EDATE($H232,12)&lt;=DateRef,"Plus d'un an","Moins d'un an"))</f>
        <v/>
      </c>
      <c r="L232" s="40"/>
      <c r="M232" s="43" t="str">
        <f aca="false">IF(OR($B232="",$A232=""),"",IF(SUMPRODUCT(MAX((Journal!$A$6:$A$1005=$A232)*Journal!$C$6:$C$1005))=0,"",SUMPRODUCT(MAX((Journal!$A$6:$A$1005=$A232)*Journal!$C$6:$C$1005))))</f>
        <v/>
      </c>
      <c r="N232" s="43" t="str">
        <f aca="false">IF($B232="","",IF(MAX($L232,$M232)=0,"",MAX($L232,$M232)))</f>
        <v/>
      </c>
      <c r="O232" s="44" t="str">
        <f aca="false">IF(OR($B232="",$H232=""),"",IF($N232="",IF(EDATE($H232,DelaiPremierEPP)&gt;DateRef,"1er EPP (1re année)","Aucun entretien renseigné"),IF(AND(ReglesTransitoires="Oui",EDATE($N232,AnciennePeriodiciteEP*12)&lt;DateVigueur),"Retard antérieur à la réforme","Périodicité "&amp;PeriodiciteEPP&amp;" ans")))</f>
        <v/>
      </c>
      <c r="P232" s="43" t="str">
        <f aca="false">IF(OR($B232="",$H232=""),"",IF($N232="",EDATE($H232,DelaiPremierEPP),IF(AND(ReglesTransitoires="Oui",EDATE($N232,AnciennePeriodiciteEP*12)&lt;DateVigueur),EDATE($N232,AnciennePeriodiciteEP*12),EDATE($N232,PeriodiciteEPP*12))))</f>
        <v/>
      </c>
      <c r="Q232" s="40"/>
      <c r="R232" s="45" t="str">
        <f aca="false">IF(OR($P232="",AND($I232&lt;&gt;"",$I232&lt;=DateRef)),"",$P232-DateRef)</f>
        <v/>
      </c>
      <c r="S232" s="42" t="str">
        <f aca="false">IF($B232="","",IF(AND($I232&lt;&gt;"",$I232&lt;=DateRef),"Sorti",IF($H232="","À compléter",IF(AND($Q232&lt;&gt;"",$Q232&gt;=DateRef,$Q232&lt;=$P232),"Planifié",IF($R232&lt;0,"En retard",IF($R232&lt;=SeuilAlerteEPP,"À planifier","À jour"))))))</f>
        <v/>
      </c>
      <c r="T232" s="46" t="str">
        <f aca="false">IF(OR($B232="",$S232="Sorti"),"",MID(IF($H232=""," | Date d'embauche manquante","")&amp;IF(AND($K232="Plus d'un an",$N232="")," | Précédent entretien à renseigner (ancienneté &gt; 1 an)","")&amp;IF($O232="Retard antérieur à la réforme"," | Ancien délai de 2 ans expiré avant la réforme","")&amp;IF(AND($N232&lt;&gt;"",$H232&lt;&gt;"",$N232&lt;$H232)," | Entretien antérieur à l'embauche ?","")&amp;IF(AND($N232&lt;&gt;"",$N232&gt;DateRef)," | Entretien daté dans le futur ?","")&amp;IF(AND($Q232&lt;&gt;"",$P232&lt;&gt;"",$Q232&gt;$P232)," | Date prévue après l'échéance","")&amp;IF(AND($Q232&lt;&gt;"",$Q232&lt;DateRef,OR($N232="",$N232&lt;$Q232))," | Entretien prévu passé : le consigner au Journal","")&amp;IF(AND($G232&lt;&gt;"",$X232="",YEAR(DateRef)-YEAR($G232)&gt;=AgeMiCarriere-1,YEAR(DateRef)-YEAR($G232)&lt;=AgeMiCarriere+1)," | Visite de mi-carrière à vérifier",""),4,1000))</f>
        <v/>
      </c>
      <c r="U232" s="39"/>
      <c r="V232" s="40"/>
      <c r="W232" s="42" t="str">
        <f aca="false">IF(OR($B232="",$V232=""),"",IF(AND($I232&lt;&gt;"",$I232&lt;=DateRef),"",IF(AND($N232&lt;&gt;"",$N232&gt;=$V232),"Réalisé",IF(AND($N232&lt;&gt;"",$N232&gt;=EDATE($V232,-FenetreRetour)),"Dispensé (EPP récent)",IF($V232&gt;DateRef,"À prévoir à la reprise","À proposer (reprise passée)")))))</f>
        <v/>
      </c>
      <c r="X232" s="40"/>
      <c r="Y232" s="43" t="str">
        <f aca="false">IF(OR($B232="",$X232=""),"",EDATE($X232,DelaiMiCarriere))</f>
        <v/>
      </c>
      <c r="Z232" s="42" t="str">
        <f aca="false">IF(OR($B232="",$X232=""),"",IF(AND($I232&lt;&gt;"",$I232&lt;=DateRef),"",IF(AND($N232&lt;&gt;"",$N232&gt;=$X232),"Réalisé",IF($Y232&lt;DateRef,"En retard","À planifier"))))</f>
        <v/>
      </c>
      <c r="AA232" s="47" t="str">
        <f aca="false">IF(OR($B232="",$G232=""),"",IF($G232&gt;DateRef,"",DATEDIF($G232,DateRef,"y")))</f>
        <v/>
      </c>
      <c r="AB232" s="43" t="str">
        <f aca="false">IF(OR($B232="",$G232=""),"",EDATE($G232,AgeFinCarriere*12))</f>
        <v/>
      </c>
      <c r="AC232" s="42" t="str">
        <f aca="false">IF(OR($B232="",$G232="",$H232=""),"",IF(AND($I232&lt;&gt;"",$I232&lt;=DateRef),"",IF($AB232&lt;DateVigueur,"Non concerné",IF(AND($N232&lt;&gt;"",$N232&gt;=MAX(EDATE($AB232,-FenetreFinCarriere*12),DateVigueur),$N232&lt;=$AB232),"Réalisé",IF(DateRef&gt;$AB232,"Non réalisé",IF(AND($Q232&lt;&gt;"",$Q232&gt;=EDATE($AB232,-FenetreFinCarriere*12),$Q232&lt;=$AB232),"Planifié dans la fenêtre",IF(AND(MAX($P232,DateRef)&gt;=EDATE($AB232,-FenetreFinCarriere*12),MAX($P232,DateRef)&lt;=$AB232),"Prochain EPP dans la fenêtre",IF(MAX($P232,DateRef)&gt;$AB232,"À programmer avant 60 ans",""))))))))</f>
        <v/>
      </c>
      <c r="AD232" s="40"/>
      <c r="AE232" s="43" t="str">
        <f aca="false">IF(OR($B232="",$H232="",AND($I232&lt;&gt;"",$I232&lt;=DateRef)),"",MAX($H232,$AD232,IF($A232="",0,SUMPRODUCT(MAX((Journal!$A$6:$A$1005=$A232)*((Journal!$D$6:$D$1005=TypeEDL)+(Journal!$D$6:$D$1005=TypeBilan6))*Journal!$C$6:$C$1005)))))</f>
        <v/>
      </c>
      <c r="AF232" s="43" t="str">
        <f aca="false">IF($AE232="","",IF(AND(ReglesTransitoires="Oui",EDATE($AE232,AnciennePeriodiciteEDL*12)&lt;DateVigueur),EDATE($AE232,AnciennePeriodiciteEDL*12),EDATE($AE232,PeriodiciteEDL*12)))</f>
        <v/>
      </c>
      <c r="AG232" s="42" t="str">
        <f aca="false">IF($AF232="","",IF(AND($I232&lt;&gt;"",$I232&lt;=DateRef),"",IF($AF232&lt;DateRef,"En retard",IF($AF232-DateRef&lt;=SeuilAlerteEDL,"À prévoir","À jour"))))</f>
        <v/>
      </c>
      <c r="AH232" s="39"/>
      <c r="AI232" s="39"/>
      <c r="AJ232" s="42" t="str">
        <f aca="false">IF(OR($B232="",$H232=""),"",IF(AND($I232&lt;&gt;"",$I232&lt;=DateRef),"",IF(Effectif&lt;SeuilEffectif,"Non concerné (&lt; "&amp;SeuilEffectif&amp;" salariés)",IF($AH232="Oui","Pas de risque",IF(AND(OR($AI232="Non",$S232="En retard"),$AH232="Non"),"Risque abondement",IF(OR($AI232="Non",$S232="En retard"),"À vérifier (formation ?)",IF($AI232="Oui","Pas de risque","À compléter")))))))</f>
        <v/>
      </c>
      <c r="AK232" s="39"/>
    </row>
    <row r="233" customFormat="false" ht="15" hidden="false" customHeight="false" outlineLevel="0" collapsed="false">
      <c r="A233" s="39"/>
      <c r="B233" s="39"/>
      <c r="C233" s="39"/>
      <c r="D233" s="39"/>
      <c r="E233" s="39"/>
      <c r="F233" s="39"/>
      <c r="G233" s="40"/>
      <c r="H233" s="40"/>
      <c r="I233" s="40"/>
      <c r="J233" s="41" t="str">
        <f aca="false">IF(OR($B233="",$H233=""),"",IF($H233&gt;DateRef,0,YEARFRAC($H233,DateRef,1)))</f>
        <v/>
      </c>
      <c r="K233" s="42" t="str">
        <f aca="false">IF(OR($B233="",$H233=""),"",IF(EDATE($H233,12)&lt;=DateRef,"Plus d'un an","Moins d'un an"))</f>
        <v/>
      </c>
      <c r="L233" s="40"/>
      <c r="M233" s="43" t="str">
        <f aca="false">IF(OR($B233="",$A233=""),"",IF(SUMPRODUCT(MAX((Journal!$A$6:$A$1005=$A233)*Journal!$C$6:$C$1005))=0,"",SUMPRODUCT(MAX((Journal!$A$6:$A$1005=$A233)*Journal!$C$6:$C$1005))))</f>
        <v/>
      </c>
      <c r="N233" s="43" t="str">
        <f aca="false">IF($B233="","",IF(MAX($L233,$M233)=0,"",MAX($L233,$M233)))</f>
        <v/>
      </c>
      <c r="O233" s="44" t="str">
        <f aca="false">IF(OR($B233="",$H233=""),"",IF($N233="",IF(EDATE($H233,DelaiPremierEPP)&gt;DateRef,"1er EPP (1re année)","Aucun entretien renseigné"),IF(AND(ReglesTransitoires="Oui",EDATE($N233,AnciennePeriodiciteEP*12)&lt;DateVigueur),"Retard antérieur à la réforme","Périodicité "&amp;PeriodiciteEPP&amp;" ans")))</f>
        <v/>
      </c>
      <c r="P233" s="43" t="str">
        <f aca="false">IF(OR($B233="",$H233=""),"",IF($N233="",EDATE($H233,DelaiPremierEPP),IF(AND(ReglesTransitoires="Oui",EDATE($N233,AnciennePeriodiciteEP*12)&lt;DateVigueur),EDATE($N233,AnciennePeriodiciteEP*12),EDATE($N233,PeriodiciteEPP*12))))</f>
        <v/>
      </c>
      <c r="Q233" s="40"/>
      <c r="R233" s="45" t="str">
        <f aca="false">IF(OR($P233="",AND($I233&lt;&gt;"",$I233&lt;=DateRef)),"",$P233-DateRef)</f>
        <v/>
      </c>
      <c r="S233" s="42" t="str">
        <f aca="false">IF($B233="","",IF(AND($I233&lt;&gt;"",$I233&lt;=DateRef),"Sorti",IF($H233="","À compléter",IF(AND($Q233&lt;&gt;"",$Q233&gt;=DateRef,$Q233&lt;=$P233),"Planifié",IF($R233&lt;0,"En retard",IF($R233&lt;=SeuilAlerteEPP,"À planifier","À jour"))))))</f>
        <v/>
      </c>
      <c r="T233" s="46" t="str">
        <f aca="false">IF(OR($B233="",$S233="Sorti"),"",MID(IF($H233=""," | Date d'embauche manquante","")&amp;IF(AND($K233="Plus d'un an",$N233="")," | Précédent entretien à renseigner (ancienneté &gt; 1 an)","")&amp;IF($O233="Retard antérieur à la réforme"," | Ancien délai de 2 ans expiré avant la réforme","")&amp;IF(AND($N233&lt;&gt;"",$H233&lt;&gt;"",$N233&lt;$H233)," | Entretien antérieur à l'embauche ?","")&amp;IF(AND($N233&lt;&gt;"",$N233&gt;DateRef)," | Entretien daté dans le futur ?","")&amp;IF(AND($Q233&lt;&gt;"",$P233&lt;&gt;"",$Q233&gt;$P233)," | Date prévue après l'échéance","")&amp;IF(AND($Q233&lt;&gt;"",$Q233&lt;DateRef,OR($N233="",$N233&lt;$Q233))," | Entretien prévu passé : le consigner au Journal","")&amp;IF(AND($G233&lt;&gt;"",$X233="",YEAR(DateRef)-YEAR($G233)&gt;=AgeMiCarriere-1,YEAR(DateRef)-YEAR($G233)&lt;=AgeMiCarriere+1)," | Visite de mi-carrière à vérifier",""),4,1000))</f>
        <v/>
      </c>
      <c r="U233" s="39"/>
      <c r="V233" s="40"/>
      <c r="W233" s="42" t="str">
        <f aca="false">IF(OR($B233="",$V233=""),"",IF(AND($I233&lt;&gt;"",$I233&lt;=DateRef),"",IF(AND($N233&lt;&gt;"",$N233&gt;=$V233),"Réalisé",IF(AND($N233&lt;&gt;"",$N233&gt;=EDATE($V233,-FenetreRetour)),"Dispensé (EPP récent)",IF($V233&gt;DateRef,"À prévoir à la reprise","À proposer (reprise passée)")))))</f>
        <v/>
      </c>
      <c r="X233" s="40"/>
      <c r="Y233" s="43" t="str">
        <f aca="false">IF(OR($B233="",$X233=""),"",EDATE($X233,DelaiMiCarriere))</f>
        <v/>
      </c>
      <c r="Z233" s="42" t="str">
        <f aca="false">IF(OR($B233="",$X233=""),"",IF(AND($I233&lt;&gt;"",$I233&lt;=DateRef),"",IF(AND($N233&lt;&gt;"",$N233&gt;=$X233),"Réalisé",IF($Y233&lt;DateRef,"En retard","À planifier"))))</f>
        <v/>
      </c>
      <c r="AA233" s="47" t="str">
        <f aca="false">IF(OR($B233="",$G233=""),"",IF($G233&gt;DateRef,"",DATEDIF($G233,DateRef,"y")))</f>
        <v/>
      </c>
      <c r="AB233" s="43" t="str">
        <f aca="false">IF(OR($B233="",$G233=""),"",EDATE($G233,AgeFinCarriere*12))</f>
        <v/>
      </c>
      <c r="AC233" s="42" t="str">
        <f aca="false">IF(OR($B233="",$G233="",$H233=""),"",IF(AND($I233&lt;&gt;"",$I233&lt;=DateRef),"",IF($AB233&lt;DateVigueur,"Non concerné",IF(AND($N233&lt;&gt;"",$N233&gt;=MAX(EDATE($AB233,-FenetreFinCarriere*12),DateVigueur),$N233&lt;=$AB233),"Réalisé",IF(DateRef&gt;$AB233,"Non réalisé",IF(AND($Q233&lt;&gt;"",$Q233&gt;=EDATE($AB233,-FenetreFinCarriere*12),$Q233&lt;=$AB233),"Planifié dans la fenêtre",IF(AND(MAX($P233,DateRef)&gt;=EDATE($AB233,-FenetreFinCarriere*12),MAX($P233,DateRef)&lt;=$AB233),"Prochain EPP dans la fenêtre",IF(MAX($P233,DateRef)&gt;$AB233,"À programmer avant 60 ans",""))))))))</f>
        <v/>
      </c>
      <c r="AD233" s="40"/>
      <c r="AE233" s="43" t="str">
        <f aca="false">IF(OR($B233="",$H233="",AND($I233&lt;&gt;"",$I233&lt;=DateRef)),"",MAX($H233,$AD233,IF($A233="",0,SUMPRODUCT(MAX((Journal!$A$6:$A$1005=$A233)*((Journal!$D$6:$D$1005=TypeEDL)+(Journal!$D$6:$D$1005=TypeBilan6))*Journal!$C$6:$C$1005)))))</f>
        <v/>
      </c>
      <c r="AF233" s="43" t="str">
        <f aca="false">IF($AE233="","",IF(AND(ReglesTransitoires="Oui",EDATE($AE233,AnciennePeriodiciteEDL*12)&lt;DateVigueur),EDATE($AE233,AnciennePeriodiciteEDL*12),EDATE($AE233,PeriodiciteEDL*12)))</f>
        <v/>
      </c>
      <c r="AG233" s="42" t="str">
        <f aca="false">IF($AF233="","",IF(AND($I233&lt;&gt;"",$I233&lt;=DateRef),"",IF($AF233&lt;DateRef,"En retard",IF($AF233-DateRef&lt;=SeuilAlerteEDL,"À prévoir","À jour"))))</f>
        <v/>
      </c>
      <c r="AH233" s="39"/>
      <c r="AI233" s="39"/>
      <c r="AJ233" s="42" t="str">
        <f aca="false">IF(OR($B233="",$H233=""),"",IF(AND($I233&lt;&gt;"",$I233&lt;=DateRef),"",IF(Effectif&lt;SeuilEffectif,"Non concerné (&lt; "&amp;SeuilEffectif&amp;" salariés)",IF($AH233="Oui","Pas de risque",IF(AND(OR($AI233="Non",$S233="En retard"),$AH233="Non"),"Risque abondement",IF(OR($AI233="Non",$S233="En retard"),"À vérifier (formation ?)",IF($AI233="Oui","Pas de risque","À compléter")))))))</f>
        <v/>
      </c>
      <c r="AK233" s="39"/>
    </row>
    <row r="234" customFormat="false" ht="15" hidden="false" customHeight="false" outlineLevel="0" collapsed="false">
      <c r="A234" s="39"/>
      <c r="B234" s="39"/>
      <c r="C234" s="39"/>
      <c r="D234" s="39"/>
      <c r="E234" s="39"/>
      <c r="F234" s="39"/>
      <c r="G234" s="40"/>
      <c r="H234" s="40"/>
      <c r="I234" s="40"/>
      <c r="J234" s="41" t="str">
        <f aca="false">IF(OR($B234="",$H234=""),"",IF($H234&gt;DateRef,0,YEARFRAC($H234,DateRef,1)))</f>
        <v/>
      </c>
      <c r="K234" s="42" t="str">
        <f aca="false">IF(OR($B234="",$H234=""),"",IF(EDATE($H234,12)&lt;=DateRef,"Plus d'un an","Moins d'un an"))</f>
        <v/>
      </c>
      <c r="L234" s="40"/>
      <c r="M234" s="43" t="str">
        <f aca="false">IF(OR($B234="",$A234=""),"",IF(SUMPRODUCT(MAX((Journal!$A$6:$A$1005=$A234)*Journal!$C$6:$C$1005))=0,"",SUMPRODUCT(MAX((Journal!$A$6:$A$1005=$A234)*Journal!$C$6:$C$1005))))</f>
        <v/>
      </c>
      <c r="N234" s="43" t="str">
        <f aca="false">IF($B234="","",IF(MAX($L234,$M234)=0,"",MAX($L234,$M234)))</f>
        <v/>
      </c>
      <c r="O234" s="44" t="str">
        <f aca="false">IF(OR($B234="",$H234=""),"",IF($N234="",IF(EDATE($H234,DelaiPremierEPP)&gt;DateRef,"1er EPP (1re année)","Aucun entretien renseigné"),IF(AND(ReglesTransitoires="Oui",EDATE($N234,AnciennePeriodiciteEP*12)&lt;DateVigueur),"Retard antérieur à la réforme","Périodicité "&amp;PeriodiciteEPP&amp;" ans")))</f>
        <v/>
      </c>
      <c r="P234" s="43" t="str">
        <f aca="false">IF(OR($B234="",$H234=""),"",IF($N234="",EDATE($H234,DelaiPremierEPP),IF(AND(ReglesTransitoires="Oui",EDATE($N234,AnciennePeriodiciteEP*12)&lt;DateVigueur),EDATE($N234,AnciennePeriodiciteEP*12),EDATE($N234,PeriodiciteEPP*12))))</f>
        <v/>
      </c>
      <c r="Q234" s="40"/>
      <c r="R234" s="45" t="str">
        <f aca="false">IF(OR($P234="",AND($I234&lt;&gt;"",$I234&lt;=DateRef)),"",$P234-DateRef)</f>
        <v/>
      </c>
      <c r="S234" s="42" t="str">
        <f aca="false">IF($B234="","",IF(AND($I234&lt;&gt;"",$I234&lt;=DateRef),"Sorti",IF($H234="","À compléter",IF(AND($Q234&lt;&gt;"",$Q234&gt;=DateRef,$Q234&lt;=$P234),"Planifié",IF($R234&lt;0,"En retard",IF($R234&lt;=SeuilAlerteEPP,"À planifier","À jour"))))))</f>
        <v/>
      </c>
      <c r="T234" s="46" t="str">
        <f aca="false">IF(OR($B234="",$S234="Sorti"),"",MID(IF($H234=""," | Date d'embauche manquante","")&amp;IF(AND($K234="Plus d'un an",$N234="")," | Précédent entretien à renseigner (ancienneté &gt; 1 an)","")&amp;IF($O234="Retard antérieur à la réforme"," | Ancien délai de 2 ans expiré avant la réforme","")&amp;IF(AND($N234&lt;&gt;"",$H234&lt;&gt;"",$N234&lt;$H234)," | Entretien antérieur à l'embauche ?","")&amp;IF(AND($N234&lt;&gt;"",$N234&gt;DateRef)," | Entretien daté dans le futur ?","")&amp;IF(AND($Q234&lt;&gt;"",$P234&lt;&gt;"",$Q234&gt;$P234)," | Date prévue après l'échéance","")&amp;IF(AND($Q234&lt;&gt;"",$Q234&lt;DateRef,OR($N234="",$N234&lt;$Q234))," | Entretien prévu passé : le consigner au Journal","")&amp;IF(AND($G234&lt;&gt;"",$X234="",YEAR(DateRef)-YEAR($G234)&gt;=AgeMiCarriere-1,YEAR(DateRef)-YEAR($G234)&lt;=AgeMiCarriere+1)," | Visite de mi-carrière à vérifier",""),4,1000))</f>
        <v/>
      </c>
      <c r="U234" s="39"/>
      <c r="V234" s="40"/>
      <c r="W234" s="42" t="str">
        <f aca="false">IF(OR($B234="",$V234=""),"",IF(AND($I234&lt;&gt;"",$I234&lt;=DateRef),"",IF(AND($N234&lt;&gt;"",$N234&gt;=$V234),"Réalisé",IF(AND($N234&lt;&gt;"",$N234&gt;=EDATE($V234,-FenetreRetour)),"Dispensé (EPP récent)",IF($V234&gt;DateRef,"À prévoir à la reprise","À proposer (reprise passée)")))))</f>
        <v/>
      </c>
      <c r="X234" s="40"/>
      <c r="Y234" s="43" t="str">
        <f aca="false">IF(OR($B234="",$X234=""),"",EDATE($X234,DelaiMiCarriere))</f>
        <v/>
      </c>
      <c r="Z234" s="42" t="str">
        <f aca="false">IF(OR($B234="",$X234=""),"",IF(AND($I234&lt;&gt;"",$I234&lt;=DateRef),"",IF(AND($N234&lt;&gt;"",$N234&gt;=$X234),"Réalisé",IF($Y234&lt;DateRef,"En retard","À planifier"))))</f>
        <v/>
      </c>
      <c r="AA234" s="47" t="str">
        <f aca="false">IF(OR($B234="",$G234=""),"",IF($G234&gt;DateRef,"",DATEDIF($G234,DateRef,"y")))</f>
        <v/>
      </c>
      <c r="AB234" s="43" t="str">
        <f aca="false">IF(OR($B234="",$G234=""),"",EDATE($G234,AgeFinCarriere*12))</f>
        <v/>
      </c>
      <c r="AC234" s="42" t="str">
        <f aca="false">IF(OR($B234="",$G234="",$H234=""),"",IF(AND($I234&lt;&gt;"",$I234&lt;=DateRef),"",IF($AB234&lt;DateVigueur,"Non concerné",IF(AND($N234&lt;&gt;"",$N234&gt;=MAX(EDATE($AB234,-FenetreFinCarriere*12),DateVigueur),$N234&lt;=$AB234),"Réalisé",IF(DateRef&gt;$AB234,"Non réalisé",IF(AND($Q234&lt;&gt;"",$Q234&gt;=EDATE($AB234,-FenetreFinCarriere*12),$Q234&lt;=$AB234),"Planifié dans la fenêtre",IF(AND(MAX($P234,DateRef)&gt;=EDATE($AB234,-FenetreFinCarriere*12),MAX($P234,DateRef)&lt;=$AB234),"Prochain EPP dans la fenêtre",IF(MAX($P234,DateRef)&gt;$AB234,"À programmer avant 60 ans",""))))))))</f>
        <v/>
      </c>
      <c r="AD234" s="40"/>
      <c r="AE234" s="43" t="str">
        <f aca="false">IF(OR($B234="",$H234="",AND($I234&lt;&gt;"",$I234&lt;=DateRef)),"",MAX($H234,$AD234,IF($A234="",0,SUMPRODUCT(MAX((Journal!$A$6:$A$1005=$A234)*((Journal!$D$6:$D$1005=TypeEDL)+(Journal!$D$6:$D$1005=TypeBilan6))*Journal!$C$6:$C$1005)))))</f>
        <v/>
      </c>
      <c r="AF234" s="43" t="str">
        <f aca="false">IF($AE234="","",IF(AND(ReglesTransitoires="Oui",EDATE($AE234,AnciennePeriodiciteEDL*12)&lt;DateVigueur),EDATE($AE234,AnciennePeriodiciteEDL*12),EDATE($AE234,PeriodiciteEDL*12)))</f>
        <v/>
      </c>
      <c r="AG234" s="42" t="str">
        <f aca="false">IF($AF234="","",IF(AND($I234&lt;&gt;"",$I234&lt;=DateRef),"",IF($AF234&lt;DateRef,"En retard",IF($AF234-DateRef&lt;=SeuilAlerteEDL,"À prévoir","À jour"))))</f>
        <v/>
      </c>
      <c r="AH234" s="39"/>
      <c r="AI234" s="39"/>
      <c r="AJ234" s="42" t="str">
        <f aca="false">IF(OR($B234="",$H234=""),"",IF(AND($I234&lt;&gt;"",$I234&lt;=DateRef),"",IF(Effectif&lt;SeuilEffectif,"Non concerné (&lt; "&amp;SeuilEffectif&amp;" salariés)",IF($AH234="Oui","Pas de risque",IF(AND(OR($AI234="Non",$S234="En retard"),$AH234="Non"),"Risque abondement",IF(OR($AI234="Non",$S234="En retard"),"À vérifier (formation ?)",IF($AI234="Oui","Pas de risque","À compléter")))))))</f>
        <v/>
      </c>
      <c r="AK234" s="39"/>
    </row>
    <row r="235" customFormat="false" ht="15" hidden="false" customHeight="false" outlineLevel="0" collapsed="false">
      <c r="A235" s="39"/>
      <c r="B235" s="39"/>
      <c r="C235" s="39"/>
      <c r="D235" s="39"/>
      <c r="E235" s="39"/>
      <c r="F235" s="39"/>
      <c r="G235" s="40"/>
      <c r="H235" s="40"/>
      <c r="I235" s="40"/>
      <c r="J235" s="41" t="str">
        <f aca="false">IF(OR($B235="",$H235=""),"",IF($H235&gt;DateRef,0,YEARFRAC($H235,DateRef,1)))</f>
        <v/>
      </c>
      <c r="K235" s="42" t="str">
        <f aca="false">IF(OR($B235="",$H235=""),"",IF(EDATE($H235,12)&lt;=DateRef,"Plus d'un an","Moins d'un an"))</f>
        <v/>
      </c>
      <c r="L235" s="40"/>
      <c r="M235" s="43" t="str">
        <f aca="false">IF(OR($B235="",$A235=""),"",IF(SUMPRODUCT(MAX((Journal!$A$6:$A$1005=$A235)*Journal!$C$6:$C$1005))=0,"",SUMPRODUCT(MAX((Journal!$A$6:$A$1005=$A235)*Journal!$C$6:$C$1005))))</f>
        <v/>
      </c>
      <c r="N235" s="43" t="str">
        <f aca="false">IF($B235="","",IF(MAX($L235,$M235)=0,"",MAX($L235,$M235)))</f>
        <v/>
      </c>
      <c r="O235" s="44" t="str">
        <f aca="false">IF(OR($B235="",$H235=""),"",IF($N235="",IF(EDATE($H235,DelaiPremierEPP)&gt;DateRef,"1er EPP (1re année)","Aucun entretien renseigné"),IF(AND(ReglesTransitoires="Oui",EDATE($N235,AnciennePeriodiciteEP*12)&lt;DateVigueur),"Retard antérieur à la réforme","Périodicité "&amp;PeriodiciteEPP&amp;" ans")))</f>
        <v/>
      </c>
      <c r="P235" s="43" t="str">
        <f aca="false">IF(OR($B235="",$H235=""),"",IF($N235="",EDATE($H235,DelaiPremierEPP),IF(AND(ReglesTransitoires="Oui",EDATE($N235,AnciennePeriodiciteEP*12)&lt;DateVigueur),EDATE($N235,AnciennePeriodiciteEP*12),EDATE($N235,PeriodiciteEPP*12))))</f>
        <v/>
      </c>
      <c r="Q235" s="40"/>
      <c r="R235" s="45" t="str">
        <f aca="false">IF(OR($P235="",AND($I235&lt;&gt;"",$I235&lt;=DateRef)),"",$P235-DateRef)</f>
        <v/>
      </c>
      <c r="S235" s="42" t="str">
        <f aca="false">IF($B235="","",IF(AND($I235&lt;&gt;"",$I235&lt;=DateRef),"Sorti",IF($H235="","À compléter",IF(AND($Q235&lt;&gt;"",$Q235&gt;=DateRef,$Q235&lt;=$P235),"Planifié",IF($R235&lt;0,"En retard",IF($R235&lt;=SeuilAlerteEPP,"À planifier","À jour"))))))</f>
        <v/>
      </c>
      <c r="T235" s="46" t="str">
        <f aca="false">IF(OR($B235="",$S235="Sorti"),"",MID(IF($H235=""," | Date d'embauche manquante","")&amp;IF(AND($K235="Plus d'un an",$N235="")," | Précédent entretien à renseigner (ancienneté &gt; 1 an)","")&amp;IF($O235="Retard antérieur à la réforme"," | Ancien délai de 2 ans expiré avant la réforme","")&amp;IF(AND($N235&lt;&gt;"",$H235&lt;&gt;"",$N235&lt;$H235)," | Entretien antérieur à l'embauche ?","")&amp;IF(AND($N235&lt;&gt;"",$N235&gt;DateRef)," | Entretien daté dans le futur ?","")&amp;IF(AND($Q235&lt;&gt;"",$P235&lt;&gt;"",$Q235&gt;$P235)," | Date prévue après l'échéance","")&amp;IF(AND($Q235&lt;&gt;"",$Q235&lt;DateRef,OR($N235="",$N235&lt;$Q235))," | Entretien prévu passé : le consigner au Journal","")&amp;IF(AND($G235&lt;&gt;"",$X235="",YEAR(DateRef)-YEAR($G235)&gt;=AgeMiCarriere-1,YEAR(DateRef)-YEAR($G235)&lt;=AgeMiCarriere+1)," | Visite de mi-carrière à vérifier",""),4,1000))</f>
        <v/>
      </c>
      <c r="U235" s="39"/>
      <c r="V235" s="40"/>
      <c r="W235" s="42" t="str">
        <f aca="false">IF(OR($B235="",$V235=""),"",IF(AND($I235&lt;&gt;"",$I235&lt;=DateRef),"",IF(AND($N235&lt;&gt;"",$N235&gt;=$V235),"Réalisé",IF(AND($N235&lt;&gt;"",$N235&gt;=EDATE($V235,-FenetreRetour)),"Dispensé (EPP récent)",IF($V235&gt;DateRef,"À prévoir à la reprise","À proposer (reprise passée)")))))</f>
        <v/>
      </c>
      <c r="X235" s="40"/>
      <c r="Y235" s="43" t="str">
        <f aca="false">IF(OR($B235="",$X235=""),"",EDATE($X235,DelaiMiCarriere))</f>
        <v/>
      </c>
      <c r="Z235" s="42" t="str">
        <f aca="false">IF(OR($B235="",$X235=""),"",IF(AND($I235&lt;&gt;"",$I235&lt;=DateRef),"",IF(AND($N235&lt;&gt;"",$N235&gt;=$X235),"Réalisé",IF($Y235&lt;DateRef,"En retard","À planifier"))))</f>
        <v/>
      </c>
      <c r="AA235" s="47" t="str">
        <f aca="false">IF(OR($B235="",$G235=""),"",IF($G235&gt;DateRef,"",DATEDIF($G235,DateRef,"y")))</f>
        <v/>
      </c>
      <c r="AB235" s="43" t="str">
        <f aca="false">IF(OR($B235="",$G235=""),"",EDATE($G235,AgeFinCarriere*12))</f>
        <v/>
      </c>
      <c r="AC235" s="42" t="str">
        <f aca="false">IF(OR($B235="",$G235="",$H235=""),"",IF(AND($I235&lt;&gt;"",$I235&lt;=DateRef),"",IF($AB235&lt;DateVigueur,"Non concerné",IF(AND($N235&lt;&gt;"",$N235&gt;=MAX(EDATE($AB235,-FenetreFinCarriere*12),DateVigueur),$N235&lt;=$AB235),"Réalisé",IF(DateRef&gt;$AB235,"Non réalisé",IF(AND($Q235&lt;&gt;"",$Q235&gt;=EDATE($AB235,-FenetreFinCarriere*12),$Q235&lt;=$AB235),"Planifié dans la fenêtre",IF(AND(MAX($P235,DateRef)&gt;=EDATE($AB235,-FenetreFinCarriere*12),MAX($P235,DateRef)&lt;=$AB235),"Prochain EPP dans la fenêtre",IF(MAX($P235,DateRef)&gt;$AB235,"À programmer avant 60 ans",""))))))))</f>
        <v/>
      </c>
      <c r="AD235" s="40"/>
      <c r="AE235" s="43" t="str">
        <f aca="false">IF(OR($B235="",$H235="",AND($I235&lt;&gt;"",$I235&lt;=DateRef)),"",MAX($H235,$AD235,IF($A235="",0,SUMPRODUCT(MAX((Journal!$A$6:$A$1005=$A235)*((Journal!$D$6:$D$1005=TypeEDL)+(Journal!$D$6:$D$1005=TypeBilan6))*Journal!$C$6:$C$1005)))))</f>
        <v/>
      </c>
      <c r="AF235" s="43" t="str">
        <f aca="false">IF($AE235="","",IF(AND(ReglesTransitoires="Oui",EDATE($AE235,AnciennePeriodiciteEDL*12)&lt;DateVigueur),EDATE($AE235,AnciennePeriodiciteEDL*12),EDATE($AE235,PeriodiciteEDL*12)))</f>
        <v/>
      </c>
      <c r="AG235" s="42" t="str">
        <f aca="false">IF($AF235="","",IF(AND($I235&lt;&gt;"",$I235&lt;=DateRef),"",IF($AF235&lt;DateRef,"En retard",IF($AF235-DateRef&lt;=SeuilAlerteEDL,"À prévoir","À jour"))))</f>
        <v/>
      </c>
      <c r="AH235" s="39"/>
      <c r="AI235" s="39"/>
      <c r="AJ235" s="42" t="str">
        <f aca="false">IF(OR($B235="",$H235=""),"",IF(AND($I235&lt;&gt;"",$I235&lt;=DateRef),"",IF(Effectif&lt;SeuilEffectif,"Non concerné (&lt; "&amp;SeuilEffectif&amp;" salariés)",IF($AH235="Oui","Pas de risque",IF(AND(OR($AI235="Non",$S235="En retard"),$AH235="Non"),"Risque abondement",IF(OR($AI235="Non",$S235="En retard"),"À vérifier (formation ?)",IF($AI235="Oui","Pas de risque","À compléter")))))))</f>
        <v/>
      </c>
      <c r="AK235" s="39"/>
    </row>
    <row r="236" customFormat="false" ht="15" hidden="false" customHeight="false" outlineLevel="0" collapsed="false">
      <c r="A236" s="39"/>
      <c r="B236" s="39"/>
      <c r="C236" s="39"/>
      <c r="D236" s="39"/>
      <c r="E236" s="39"/>
      <c r="F236" s="39"/>
      <c r="G236" s="40"/>
      <c r="H236" s="40"/>
      <c r="I236" s="40"/>
      <c r="J236" s="41" t="str">
        <f aca="false">IF(OR($B236="",$H236=""),"",IF($H236&gt;DateRef,0,YEARFRAC($H236,DateRef,1)))</f>
        <v/>
      </c>
      <c r="K236" s="42" t="str">
        <f aca="false">IF(OR($B236="",$H236=""),"",IF(EDATE($H236,12)&lt;=DateRef,"Plus d'un an","Moins d'un an"))</f>
        <v/>
      </c>
      <c r="L236" s="40"/>
      <c r="M236" s="43" t="str">
        <f aca="false">IF(OR($B236="",$A236=""),"",IF(SUMPRODUCT(MAX((Journal!$A$6:$A$1005=$A236)*Journal!$C$6:$C$1005))=0,"",SUMPRODUCT(MAX((Journal!$A$6:$A$1005=$A236)*Journal!$C$6:$C$1005))))</f>
        <v/>
      </c>
      <c r="N236" s="43" t="str">
        <f aca="false">IF($B236="","",IF(MAX($L236,$M236)=0,"",MAX($L236,$M236)))</f>
        <v/>
      </c>
      <c r="O236" s="44" t="str">
        <f aca="false">IF(OR($B236="",$H236=""),"",IF($N236="",IF(EDATE($H236,DelaiPremierEPP)&gt;DateRef,"1er EPP (1re année)","Aucun entretien renseigné"),IF(AND(ReglesTransitoires="Oui",EDATE($N236,AnciennePeriodiciteEP*12)&lt;DateVigueur),"Retard antérieur à la réforme","Périodicité "&amp;PeriodiciteEPP&amp;" ans")))</f>
        <v/>
      </c>
      <c r="P236" s="43" t="str">
        <f aca="false">IF(OR($B236="",$H236=""),"",IF($N236="",EDATE($H236,DelaiPremierEPP),IF(AND(ReglesTransitoires="Oui",EDATE($N236,AnciennePeriodiciteEP*12)&lt;DateVigueur),EDATE($N236,AnciennePeriodiciteEP*12),EDATE($N236,PeriodiciteEPP*12))))</f>
        <v/>
      </c>
      <c r="Q236" s="40"/>
      <c r="R236" s="45" t="str">
        <f aca="false">IF(OR($P236="",AND($I236&lt;&gt;"",$I236&lt;=DateRef)),"",$P236-DateRef)</f>
        <v/>
      </c>
      <c r="S236" s="42" t="str">
        <f aca="false">IF($B236="","",IF(AND($I236&lt;&gt;"",$I236&lt;=DateRef),"Sorti",IF($H236="","À compléter",IF(AND($Q236&lt;&gt;"",$Q236&gt;=DateRef,$Q236&lt;=$P236),"Planifié",IF($R236&lt;0,"En retard",IF($R236&lt;=SeuilAlerteEPP,"À planifier","À jour"))))))</f>
        <v/>
      </c>
      <c r="T236" s="46" t="str">
        <f aca="false">IF(OR($B236="",$S236="Sorti"),"",MID(IF($H236=""," | Date d'embauche manquante","")&amp;IF(AND($K236="Plus d'un an",$N236="")," | Précédent entretien à renseigner (ancienneté &gt; 1 an)","")&amp;IF($O236="Retard antérieur à la réforme"," | Ancien délai de 2 ans expiré avant la réforme","")&amp;IF(AND($N236&lt;&gt;"",$H236&lt;&gt;"",$N236&lt;$H236)," | Entretien antérieur à l'embauche ?","")&amp;IF(AND($N236&lt;&gt;"",$N236&gt;DateRef)," | Entretien daté dans le futur ?","")&amp;IF(AND($Q236&lt;&gt;"",$P236&lt;&gt;"",$Q236&gt;$P236)," | Date prévue après l'échéance","")&amp;IF(AND($Q236&lt;&gt;"",$Q236&lt;DateRef,OR($N236="",$N236&lt;$Q236))," | Entretien prévu passé : le consigner au Journal","")&amp;IF(AND($G236&lt;&gt;"",$X236="",YEAR(DateRef)-YEAR($G236)&gt;=AgeMiCarriere-1,YEAR(DateRef)-YEAR($G236)&lt;=AgeMiCarriere+1)," | Visite de mi-carrière à vérifier",""),4,1000))</f>
        <v/>
      </c>
      <c r="U236" s="39"/>
      <c r="V236" s="40"/>
      <c r="W236" s="42" t="str">
        <f aca="false">IF(OR($B236="",$V236=""),"",IF(AND($I236&lt;&gt;"",$I236&lt;=DateRef),"",IF(AND($N236&lt;&gt;"",$N236&gt;=$V236),"Réalisé",IF(AND($N236&lt;&gt;"",$N236&gt;=EDATE($V236,-FenetreRetour)),"Dispensé (EPP récent)",IF($V236&gt;DateRef,"À prévoir à la reprise","À proposer (reprise passée)")))))</f>
        <v/>
      </c>
      <c r="X236" s="40"/>
      <c r="Y236" s="43" t="str">
        <f aca="false">IF(OR($B236="",$X236=""),"",EDATE($X236,DelaiMiCarriere))</f>
        <v/>
      </c>
      <c r="Z236" s="42" t="str">
        <f aca="false">IF(OR($B236="",$X236=""),"",IF(AND($I236&lt;&gt;"",$I236&lt;=DateRef),"",IF(AND($N236&lt;&gt;"",$N236&gt;=$X236),"Réalisé",IF($Y236&lt;DateRef,"En retard","À planifier"))))</f>
        <v/>
      </c>
      <c r="AA236" s="47" t="str">
        <f aca="false">IF(OR($B236="",$G236=""),"",IF($G236&gt;DateRef,"",DATEDIF($G236,DateRef,"y")))</f>
        <v/>
      </c>
      <c r="AB236" s="43" t="str">
        <f aca="false">IF(OR($B236="",$G236=""),"",EDATE($G236,AgeFinCarriere*12))</f>
        <v/>
      </c>
      <c r="AC236" s="42" t="str">
        <f aca="false">IF(OR($B236="",$G236="",$H236=""),"",IF(AND($I236&lt;&gt;"",$I236&lt;=DateRef),"",IF($AB236&lt;DateVigueur,"Non concerné",IF(AND($N236&lt;&gt;"",$N236&gt;=MAX(EDATE($AB236,-FenetreFinCarriere*12),DateVigueur),$N236&lt;=$AB236),"Réalisé",IF(DateRef&gt;$AB236,"Non réalisé",IF(AND($Q236&lt;&gt;"",$Q236&gt;=EDATE($AB236,-FenetreFinCarriere*12),$Q236&lt;=$AB236),"Planifié dans la fenêtre",IF(AND(MAX($P236,DateRef)&gt;=EDATE($AB236,-FenetreFinCarriere*12),MAX($P236,DateRef)&lt;=$AB236),"Prochain EPP dans la fenêtre",IF(MAX($P236,DateRef)&gt;$AB236,"À programmer avant 60 ans",""))))))))</f>
        <v/>
      </c>
      <c r="AD236" s="40"/>
      <c r="AE236" s="43" t="str">
        <f aca="false">IF(OR($B236="",$H236="",AND($I236&lt;&gt;"",$I236&lt;=DateRef)),"",MAX($H236,$AD236,IF($A236="",0,SUMPRODUCT(MAX((Journal!$A$6:$A$1005=$A236)*((Journal!$D$6:$D$1005=TypeEDL)+(Journal!$D$6:$D$1005=TypeBilan6))*Journal!$C$6:$C$1005)))))</f>
        <v/>
      </c>
      <c r="AF236" s="43" t="str">
        <f aca="false">IF($AE236="","",IF(AND(ReglesTransitoires="Oui",EDATE($AE236,AnciennePeriodiciteEDL*12)&lt;DateVigueur),EDATE($AE236,AnciennePeriodiciteEDL*12),EDATE($AE236,PeriodiciteEDL*12)))</f>
        <v/>
      </c>
      <c r="AG236" s="42" t="str">
        <f aca="false">IF($AF236="","",IF(AND($I236&lt;&gt;"",$I236&lt;=DateRef),"",IF($AF236&lt;DateRef,"En retard",IF($AF236-DateRef&lt;=SeuilAlerteEDL,"À prévoir","À jour"))))</f>
        <v/>
      </c>
      <c r="AH236" s="39"/>
      <c r="AI236" s="39"/>
      <c r="AJ236" s="42" t="str">
        <f aca="false">IF(OR($B236="",$H236=""),"",IF(AND($I236&lt;&gt;"",$I236&lt;=DateRef),"",IF(Effectif&lt;SeuilEffectif,"Non concerné (&lt; "&amp;SeuilEffectif&amp;" salariés)",IF($AH236="Oui","Pas de risque",IF(AND(OR($AI236="Non",$S236="En retard"),$AH236="Non"),"Risque abondement",IF(OR($AI236="Non",$S236="En retard"),"À vérifier (formation ?)",IF($AI236="Oui","Pas de risque","À compléter")))))))</f>
        <v/>
      </c>
      <c r="AK236" s="39"/>
    </row>
    <row r="237" customFormat="false" ht="15" hidden="false" customHeight="false" outlineLevel="0" collapsed="false">
      <c r="A237" s="39"/>
      <c r="B237" s="39"/>
      <c r="C237" s="39"/>
      <c r="D237" s="39"/>
      <c r="E237" s="39"/>
      <c r="F237" s="39"/>
      <c r="G237" s="40"/>
      <c r="H237" s="40"/>
      <c r="I237" s="40"/>
      <c r="J237" s="41" t="str">
        <f aca="false">IF(OR($B237="",$H237=""),"",IF($H237&gt;DateRef,0,YEARFRAC($H237,DateRef,1)))</f>
        <v/>
      </c>
      <c r="K237" s="42" t="str">
        <f aca="false">IF(OR($B237="",$H237=""),"",IF(EDATE($H237,12)&lt;=DateRef,"Plus d'un an","Moins d'un an"))</f>
        <v/>
      </c>
      <c r="L237" s="40"/>
      <c r="M237" s="43" t="str">
        <f aca="false">IF(OR($B237="",$A237=""),"",IF(SUMPRODUCT(MAX((Journal!$A$6:$A$1005=$A237)*Journal!$C$6:$C$1005))=0,"",SUMPRODUCT(MAX((Journal!$A$6:$A$1005=$A237)*Journal!$C$6:$C$1005))))</f>
        <v/>
      </c>
      <c r="N237" s="43" t="str">
        <f aca="false">IF($B237="","",IF(MAX($L237,$M237)=0,"",MAX($L237,$M237)))</f>
        <v/>
      </c>
      <c r="O237" s="44" t="str">
        <f aca="false">IF(OR($B237="",$H237=""),"",IF($N237="",IF(EDATE($H237,DelaiPremierEPP)&gt;DateRef,"1er EPP (1re année)","Aucun entretien renseigné"),IF(AND(ReglesTransitoires="Oui",EDATE($N237,AnciennePeriodiciteEP*12)&lt;DateVigueur),"Retard antérieur à la réforme","Périodicité "&amp;PeriodiciteEPP&amp;" ans")))</f>
        <v/>
      </c>
      <c r="P237" s="43" t="str">
        <f aca="false">IF(OR($B237="",$H237=""),"",IF($N237="",EDATE($H237,DelaiPremierEPP),IF(AND(ReglesTransitoires="Oui",EDATE($N237,AnciennePeriodiciteEP*12)&lt;DateVigueur),EDATE($N237,AnciennePeriodiciteEP*12),EDATE($N237,PeriodiciteEPP*12))))</f>
        <v/>
      </c>
      <c r="Q237" s="40"/>
      <c r="R237" s="45" t="str">
        <f aca="false">IF(OR($P237="",AND($I237&lt;&gt;"",$I237&lt;=DateRef)),"",$P237-DateRef)</f>
        <v/>
      </c>
      <c r="S237" s="42" t="str">
        <f aca="false">IF($B237="","",IF(AND($I237&lt;&gt;"",$I237&lt;=DateRef),"Sorti",IF($H237="","À compléter",IF(AND($Q237&lt;&gt;"",$Q237&gt;=DateRef,$Q237&lt;=$P237),"Planifié",IF($R237&lt;0,"En retard",IF($R237&lt;=SeuilAlerteEPP,"À planifier","À jour"))))))</f>
        <v/>
      </c>
      <c r="T237" s="46" t="str">
        <f aca="false">IF(OR($B237="",$S237="Sorti"),"",MID(IF($H237=""," | Date d'embauche manquante","")&amp;IF(AND($K237="Plus d'un an",$N237="")," | Précédent entretien à renseigner (ancienneté &gt; 1 an)","")&amp;IF($O237="Retard antérieur à la réforme"," | Ancien délai de 2 ans expiré avant la réforme","")&amp;IF(AND($N237&lt;&gt;"",$H237&lt;&gt;"",$N237&lt;$H237)," | Entretien antérieur à l'embauche ?","")&amp;IF(AND($N237&lt;&gt;"",$N237&gt;DateRef)," | Entretien daté dans le futur ?","")&amp;IF(AND($Q237&lt;&gt;"",$P237&lt;&gt;"",$Q237&gt;$P237)," | Date prévue après l'échéance","")&amp;IF(AND($Q237&lt;&gt;"",$Q237&lt;DateRef,OR($N237="",$N237&lt;$Q237))," | Entretien prévu passé : le consigner au Journal","")&amp;IF(AND($G237&lt;&gt;"",$X237="",YEAR(DateRef)-YEAR($G237)&gt;=AgeMiCarriere-1,YEAR(DateRef)-YEAR($G237)&lt;=AgeMiCarriere+1)," | Visite de mi-carrière à vérifier",""),4,1000))</f>
        <v/>
      </c>
      <c r="U237" s="39"/>
      <c r="V237" s="40"/>
      <c r="W237" s="42" t="str">
        <f aca="false">IF(OR($B237="",$V237=""),"",IF(AND($I237&lt;&gt;"",$I237&lt;=DateRef),"",IF(AND($N237&lt;&gt;"",$N237&gt;=$V237),"Réalisé",IF(AND($N237&lt;&gt;"",$N237&gt;=EDATE($V237,-FenetreRetour)),"Dispensé (EPP récent)",IF($V237&gt;DateRef,"À prévoir à la reprise","À proposer (reprise passée)")))))</f>
        <v/>
      </c>
      <c r="X237" s="40"/>
      <c r="Y237" s="43" t="str">
        <f aca="false">IF(OR($B237="",$X237=""),"",EDATE($X237,DelaiMiCarriere))</f>
        <v/>
      </c>
      <c r="Z237" s="42" t="str">
        <f aca="false">IF(OR($B237="",$X237=""),"",IF(AND($I237&lt;&gt;"",$I237&lt;=DateRef),"",IF(AND($N237&lt;&gt;"",$N237&gt;=$X237),"Réalisé",IF($Y237&lt;DateRef,"En retard","À planifier"))))</f>
        <v/>
      </c>
      <c r="AA237" s="47" t="str">
        <f aca="false">IF(OR($B237="",$G237=""),"",IF($G237&gt;DateRef,"",DATEDIF($G237,DateRef,"y")))</f>
        <v/>
      </c>
      <c r="AB237" s="43" t="str">
        <f aca="false">IF(OR($B237="",$G237=""),"",EDATE($G237,AgeFinCarriere*12))</f>
        <v/>
      </c>
      <c r="AC237" s="42" t="str">
        <f aca="false">IF(OR($B237="",$G237="",$H237=""),"",IF(AND($I237&lt;&gt;"",$I237&lt;=DateRef),"",IF($AB237&lt;DateVigueur,"Non concerné",IF(AND($N237&lt;&gt;"",$N237&gt;=MAX(EDATE($AB237,-FenetreFinCarriere*12),DateVigueur),$N237&lt;=$AB237),"Réalisé",IF(DateRef&gt;$AB237,"Non réalisé",IF(AND($Q237&lt;&gt;"",$Q237&gt;=EDATE($AB237,-FenetreFinCarriere*12),$Q237&lt;=$AB237),"Planifié dans la fenêtre",IF(AND(MAX($P237,DateRef)&gt;=EDATE($AB237,-FenetreFinCarriere*12),MAX($P237,DateRef)&lt;=$AB237),"Prochain EPP dans la fenêtre",IF(MAX($P237,DateRef)&gt;$AB237,"À programmer avant 60 ans",""))))))))</f>
        <v/>
      </c>
      <c r="AD237" s="40"/>
      <c r="AE237" s="43" t="str">
        <f aca="false">IF(OR($B237="",$H237="",AND($I237&lt;&gt;"",$I237&lt;=DateRef)),"",MAX($H237,$AD237,IF($A237="",0,SUMPRODUCT(MAX((Journal!$A$6:$A$1005=$A237)*((Journal!$D$6:$D$1005=TypeEDL)+(Journal!$D$6:$D$1005=TypeBilan6))*Journal!$C$6:$C$1005)))))</f>
        <v/>
      </c>
      <c r="AF237" s="43" t="str">
        <f aca="false">IF($AE237="","",IF(AND(ReglesTransitoires="Oui",EDATE($AE237,AnciennePeriodiciteEDL*12)&lt;DateVigueur),EDATE($AE237,AnciennePeriodiciteEDL*12),EDATE($AE237,PeriodiciteEDL*12)))</f>
        <v/>
      </c>
      <c r="AG237" s="42" t="str">
        <f aca="false">IF($AF237="","",IF(AND($I237&lt;&gt;"",$I237&lt;=DateRef),"",IF($AF237&lt;DateRef,"En retard",IF($AF237-DateRef&lt;=SeuilAlerteEDL,"À prévoir","À jour"))))</f>
        <v/>
      </c>
      <c r="AH237" s="39"/>
      <c r="AI237" s="39"/>
      <c r="AJ237" s="42" t="str">
        <f aca="false">IF(OR($B237="",$H237=""),"",IF(AND($I237&lt;&gt;"",$I237&lt;=DateRef),"",IF(Effectif&lt;SeuilEffectif,"Non concerné (&lt; "&amp;SeuilEffectif&amp;" salariés)",IF($AH237="Oui","Pas de risque",IF(AND(OR($AI237="Non",$S237="En retard"),$AH237="Non"),"Risque abondement",IF(OR($AI237="Non",$S237="En retard"),"À vérifier (formation ?)",IF($AI237="Oui","Pas de risque","À compléter")))))))</f>
        <v/>
      </c>
      <c r="AK237" s="39"/>
    </row>
    <row r="238" customFormat="false" ht="15" hidden="false" customHeight="false" outlineLevel="0" collapsed="false">
      <c r="A238" s="39"/>
      <c r="B238" s="39"/>
      <c r="C238" s="39"/>
      <c r="D238" s="39"/>
      <c r="E238" s="39"/>
      <c r="F238" s="39"/>
      <c r="G238" s="40"/>
      <c r="H238" s="40"/>
      <c r="I238" s="40"/>
      <c r="J238" s="41" t="str">
        <f aca="false">IF(OR($B238="",$H238=""),"",IF($H238&gt;DateRef,0,YEARFRAC($H238,DateRef,1)))</f>
        <v/>
      </c>
      <c r="K238" s="42" t="str">
        <f aca="false">IF(OR($B238="",$H238=""),"",IF(EDATE($H238,12)&lt;=DateRef,"Plus d'un an","Moins d'un an"))</f>
        <v/>
      </c>
      <c r="L238" s="40"/>
      <c r="M238" s="43" t="str">
        <f aca="false">IF(OR($B238="",$A238=""),"",IF(SUMPRODUCT(MAX((Journal!$A$6:$A$1005=$A238)*Journal!$C$6:$C$1005))=0,"",SUMPRODUCT(MAX((Journal!$A$6:$A$1005=$A238)*Journal!$C$6:$C$1005))))</f>
        <v/>
      </c>
      <c r="N238" s="43" t="str">
        <f aca="false">IF($B238="","",IF(MAX($L238,$M238)=0,"",MAX($L238,$M238)))</f>
        <v/>
      </c>
      <c r="O238" s="44" t="str">
        <f aca="false">IF(OR($B238="",$H238=""),"",IF($N238="",IF(EDATE($H238,DelaiPremierEPP)&gt;DateRef,"1er EPP (1re année)","Aucun entretien renseigné"),IF(AND(ReglesTransitoires="Oui",EDATE($N238,AnciennePeriodiciteEP*12)&lt;DateVigueur),"Retard antérieur à la réforme","Périodicité "&amp;PeriodiciteEPP&amp;" ans")))</f>
        <v/>
      </c>
      <c r="P238" s="43" t="str">
        <f aca="false">IF(OR($B238="",$H238=""),"",IF($N238="",EDATE($H238,DelaiPremierEPP),IF(AND(ReglesTransitoires="Oui",EDATE($N238,AnciennePeriodiciteEP*12)&lt;DateVigueur),EDATE($N238,AnciennePeriodiciteEP*12),EDATE($N238,PeriodiciteEPP*12))))</f>
        <v/>
      </c>
      <c r="Q238" s="40"/>
      <c r="R238" s="45" t="str">
        <f aca="false">IF(OR($P238="",AND($I238&lt;&gt;"",$I238&lt;=DateRef)),"",$P238-DateRef)</f>
        <v/>
      </c>
      <c r="S238" s="42" t="str">
        <f aca="false">IF($B238="","",IF(AND($I238&lt;&gt;"",$I238&lt;=DateRef),"Sorti",IF($H238="","À compléter",IF(AND($Q238&lt;&gt;"",$Q238&gt;=DateRef,$Q238&lt;=$P238),"Planifié",IF($R238&lt;0,"En retard",IF($R238&lt;=SeuilAlerteEPP,"À planifier","À jour"))))))</f>
        <v/>
      </c>
      <c r="T238" s="46" t="str">
        <f aca="false">IF(OR($B238="",$S238="Sorti"),"",MID(IF($H238=""," | Date d'embauche manquante","")&amp;IF(AND($K238="Plus d'un an",$N238="")," | Précédent entretien à renseigner (ancienneté &gt; 1 an)","")&amp;IF($O238="Retard antérieur à la réforme"," | Ancien délai de 2 ans expiré avant la réforme","")&amp;IF(AND($N238&lt;&gt;"",$H238&lt;&gt;"",$N238&lt;$H238)," | Entretien antérieur à l'embauche ?","")&amp;IF(AND($N238&lt;&gt;"",$N238&gt;DateRef)," | Entretien daté dans le futur ?","")&amp;IF(AND($Q238&lt;&gt;"",$P238&lt;&gt;"",$Q238&gt;$P238)," | Date prévue après l'échéance","")&amp;IF(AND($Q238&lt;&gt;"",$Q238&lt;DateRef,OR($N238="",$N238&lt;$Q238))," | Entretien prévu passé : le consigner au Journal","")&amp;IF(AND($G238&lt;&gt;"",$X238="",YEAR(DateRef)-YEAR($G238)&gt;=AgeMiCarriere-1,YEAR(DateRef)-YEAR($G238)&lt;=AgeMiCarriere+1)," | Visite de mi-carrière à vérifier",""),4,1000))</f>
        <v/>
      </c>
      <c r="U238" s="39"/>
      <c r="V238" s="40"/>
      <c r="W238" s="42" t="str">
        <f aca="false">IF(OR($B238="",$V238=""),"",IF(AND($I238&lt;&gt;"",$I238&lt;=DateRef),"",IF(AND($N238&lt;&gt;"",$N238&gt;=$V238),"Réalisé",IF(AND($N238&lt;&gt;"",$N238&gt;=EDATE($V238,-FenetreRetour)),"Dispensé (EPP récent)",IF($V238&gt;DateRef,"À prévoir à la reprise","À proposer (reprise passée)")))))</f>
        <v/>
      </c>
      <c r="X238" s="40"/>
      <c r="Y238" s="43" t="str">
        <f aca="false">IF(OR($B238="",$X238=""),"",EDATE($X238,DelaiMiCarriere))</f>
        <v/>
      </c>
      <c r="Z238" s="42" t="str">
        <f aca="false">IF(OR($B238="",$X238=""),"",IF(AND($I238&lt;&gt;"",$I238&lt;=DateRef),"",IF(AND($N238&lt;&gt;"",$N238&gt;=$X238),"Réalisé",IF($Y238&lt;DateRef,"En retard","À planifier"))))</f>
        <v/>
      </c>
      <c r="AA238" s="47" t="str">
        <f aca="false">IF(OR($B238="",$G238=""),"",IF($G238&gt;DateRef,"",DATEDIF($G238,DateRef,"y")))</f>
        <v/>
      </c>
      <c r="AB238" s="43" t="str">
        <f aca="false">IF(OR($B238="",$G238=""),"",EDATE($G238,AgeFinCarriere*12))</f>
        <v/>
      </c>
      <c r="AC238" s="42" t="str">
        <f aca="false">IF(OR($B238="",$G238="",$H238=""),"",IF(AND($I238&lt;&gt;"",$I238&lt;=DateRef),"",IF($AB238&lt;DateVigueur,"Non concerné",IF(AND($N238&lt;&gt;"",$N238&gt;=MAX(EDATE($AB238,-FenetreFinCarriere*12),DateVigueur),$N238&lt;=$AB238),"Réalisé",IF(DateRef&gt;$AB238,"Non réalisé",IF(AND($Q238&lt;&gt;"",$Q238&gt;=EDATE($AB238,-FenetreFinCarriere*12),$Q238&lt;=$AB238),"Planifié dans la fenêtre",IF(AND(MAX($P238,DateRef)&gt;=EDATE($AB238,-FenetreFinCarriere*12),MAX($P238,DateRef)&lt;=$AB238),"Prochain EPP dans la fenêtre",IF(MAX($P238,DateRef)&gt;$AB238,"À programmer avant 60 ans",""))))))))</f>
        <v/>
      </c>
      <c r="AD238" s="40"/>
      <c r="AE238" s="43" t="str">
        <f aca="false">IF(OR($B238="",$H238="",AND($I238&lt;&gt;"",$I238&lt;=DateRef)),"",MAX($H238,$AD238,IF($A238="",0,SUMPRODUCT(MAX((Journal!$A$6:$A$1005=$A238)*((Journal!$D$6:$D$1005=TypeEDL)+(Journal!$D$6:$D$1005=TypeBilan6))*Journal!$C$6:$C$1005)))))</f>
        <v/>
      </c>
      <c r="AF238" s="43" t="str">
        <f aca="false">IF($AE238="","",IF(AND(ReglesTransitoires="Oui",EDATE($AE238,AnciennePeriodiciteEDL*12)&lt;DateVigueur),EDATE($AE238,AnciennePeriodiciteEDL*12),EDATE($AE238,PeriodiciteEDL*12)))</f>
        <v/>
      </c>
      <c r="AG238" s="42" t="str">
        <f aca="false">IF($AF238="","",IF(AND($I238&lt;&gt;"",$I238&lt;=DateRef),"",IF($AF238&lt;DateRef,"En retard",IF($AF238-DateRef&lt;=SeuilAlerteEDL,"À prévoir","À jour"))))</f>
        <v/>
      </c>
      <c r="AH238" s="39"/>
      <c r="AI238" s="39"/>
      <c r="AJ238" s="42" t="str">
        <f aca="false">IF(OR($B238="",$H238=""),"",IF(AND($I238&lt;&gt;"",$I238&lt;=DateRef),"",IF(Effectif&lt;SeuilEffectif,"Non concerné (&lt; "&amp;SeuilEffectif&amp;" salariés)",IF($AH238="Oui","Pas de risque",IF(AND(OR($AI238="Non",$S238="En retard"),$AH238="Non"),"Risque abondement",IF(OR($AI238="Non",$S238="En retard"),"À vérifier (formation ?)",IF($AI238="Oui","Pas de risque","À compléter")))))))</f>
        <v/>
      </c>
      <c r="AK238" s="39"/>
    </row>
    <row r="239" customFormat="false" ht="15" hidden="false" customHeight="false" outlineLevel="0" collapsed="false">
      <c r="A239" s="39"/>
      <c r="B239" s="39"/>
      <c r="C239" s="39"/>
      <c r="D239" s="39"/>
      <c r="E239" s="39"/>
      <c r="F239" s="39"/>
      <c r="G239" s="40"/>
      <c r="H239" s="40"/>
      <c r="I239" s="40"/>
      <c r="J239" s="41" t="str">
        <f aca="false">IF(OR($B239="",$H239=""),"",IF($H239&gt;DateRef,0,YEARFRAC($H239,DateRef,1)))</f>
        <v/>
      </c>
      <c r="K239" s="42" t="str">
        <f aca="false">IF(OR($B239="",$H239=""),"",IF(EDATE($H239,12)&lt;=DateRef,"Plus d'un an","Moins d'un an"))</f>
        <v/>
      </c>
      <c r="L239" s="40"/>
      <c r="M239" s="43" t="str">
        <f aca="false">IF(OR($B239="",$A239=""),"",IF(SUMPRODUCT(MAX((Journal!$A$6:$A$1005=$A239)*Journal!$C$6:$C$1005))=0,"",SUMPRODUCT(MAX((Journal!$A$6:$A$1005=$A239)*Journal!$C$6:$C$1005))))</f>
        <v/>
      </c>
      <c r="N239" s="43" t="str">
        <f aca="false">IF($B239="","",IF(MAX($L239,$M239)=0,"",MAX($L239,$M239)))</f>
        <v/>
      </c>
      <c r="O239" s="44" t="str">
        <f aca="false">IF(OR($B239="",$H239=""),"",IF($N239="",IF(EDATE($H239,DelaiPremierEPP)&gt;DateRef,"1er EPP (1re année)","Aucun entretien renseigné"),IF(AND(ReglesTransitoires="Oui",EDATE($N239,AnciennePeriodiciteEP*12)&lt;DateVigueur),"Retard antérieur à la réforme","Périodicité "&amp;PeriodiciteEPP&amp;" ans")))</f>
        <v/>
      </c>
      <c r="P239" s="43" t="str">
        <f aca="false">IF(OR($B239="",$H239=""),"",IF($N239="",EDATE($H239,DelaiPremierEPP),IF(AND(ReglesTransitoires="Oui",EDATE($N239,AnciennePeriodiciteEP*12)&lt;DateVigueur),EDATE($N239,AnciennePeriodiciteEP*12),EDATE($N239,PeriodiciteEPP*12))))</f>
        <v/>
      </c>
      <c r="Q239" s="40"/>
      <c r="R239" s="45" t="str">
        <f aca="false">IF(OR($P239="",AND($I239&lt;&gt;"",$I239&lt;=DateRef)),"",$P239-DateRef)</f>
        <v/>
      </c>
      <c r="S239" s="42" t="str">
        <f aca="false">IF($B239="","",IF(AND($I239&lt;&gt;"",$I239&lt;=DateRef),"Sorti",IF($H239="","À compléter",IF(AND($Q239&lt;&gt;"",$Q239&gt;=DateRef,$Q239&lt;=$P239),"Planifié",IF($R239&lt;0,"En retard",IF($R239&lt;=SeuilAlerteEPP,"À planifier","À jour"))))))</f>
        <v/>
      </c>
      <c r="T239" s="46" t="str">
        <f aca="false">IF(OR($B239="",$S239="Sorti"),"",MID(IF($H239=""," | Date d'embauche manquante","")&amp;IF(AND($K239="Plus d'un an",$N239="")," | Précédent entretien à renseigner (ancienneté &gt; 1 an)","")&amp;IF($O239="Retard antérieur à la réforme"," | Ancien délai de 2 ans expiré avant la réforme","")&amp;IF(AND($N239&lt;&gt;"",$H239&lt;&gt;"",$N239&lt;$H239)," | Entretien antérieur à l'embauche ?","")&amp;IF(AND($N239&lt;&gt;"",$N239&gt;DateRef)," | Entretien daté dans le futur ?","")&amp;IF(AND($Q239&lt;&gt;"",$P239&lt;&gt;"",$Q239&gt;$P239)," | Date prévue après l'échéance","")&amp;IF(AND($Q239&lt;&gt;"",$Q239&lt;DateRef,OR($N239="",$N239&lt;$Q239))," | Entretien prévu passé : le consigner au Journal","")&amp;IF(AND($G239&lt;&gt;"",$X239="",YEAR(DateRef)-YEAR($G239)&gt;=AgeMiCarriere-1,YEAR(DateRef)-YEAR($G239)&lt;=AgeMiCarriere+1)," | Visite de mi-carrière à vérifier",""),4,1000))</f>
        <v/>
      </c>
      <c r="U239" s="39"/>
      <c r="V239" s="40"/>
      <c r="W239" s="42" t="str">
        <f aca="false">IF(OR($B239="",$V239=""),"",IF(AND($I239&lt;&gt;"",$I239&lt;=DateRef),"",IF(AND($N239&lt;&gt;"",$N239&gt;=$V239),"Réalisé",IF(AND($N239&lt;&gt;"",$N239&gt;=EDATE($V239,-FenetreRetour)),"Dispensé (EPP récent)",IF($V239&gt;DateRef,"À prévoir à la reprise","À proposer (reprise passée)")))))</f>
        <v/>
      </c>
      <c r="X239" s="40"/>
      <c r="Y239" s="43" t="str">
        <f aca="false">IF(OR($B239="",$X239=""),"",EDATE($X239,DelaiMiCarriere))</f>
        <v/>
      </c>
      <c r="Z239" s="42" t="str">
        <f aca="false">IF(OR($B239="",$X239=""),"",IF(AND($I239&lt;&gt;"",$I239&lt;=DateRef),"",IF(AND($N239&lt;&gt;"",$N239&gt;=$X239),"Réalisé",IF($Y239&lt;DateRef,"En retard","À planifier"))))</f>
        <v/>
      </c>
      <c r="AA239" s="47" t="str">
        <f aca="false">IF(OR($B239="",$G239=""),"",IF($G239&gt;DateRef,"",DATEDIF($G239,DateRef,"y")))</f>
        <v/>
      </c>
      <c r="AB239" s="43" t="str">
        <f aca="false">IF(OR($B239="",$G239=""),"",EDATE($G239,AgeFinCarriere*12))</f>
        <v/>
      </c>
      <c r="AC239" s="42" t="str">
        <f aca="false">IF(OR($B239="",$G239="",$H239=""),"",IF(AND($I239&lt;&gt;"",$I239&lt;=DateRef),"",IF($AB239&lt;DateVigueur,"Non concerné",IF(AND($N239&lt;&gt;"",$N239&gt;=MAX(EDATE($AB239,-FenetreFinCarriere*12),DateVigueur),$N239&lt;=$AB239),"Réalisé",IF(DateRef&gt;$AB239,"Non réalisé",IF(AND($Q239&lt;&gt;"",$Q239&gt;=EDATE($AB239,-FenetreFinCarriere*12),$Q239&lt;=$AB239),"Planifié dans la fenêtre",IF(AND(MAX($P239,DateRef)&gt;=EDATE($AB239,-FenetreFinCarriere*12),MAX($P239,DateRef)&lt;=$AB239),"Prochain EPP dans la fenêtre",IF(MAX($P239,DateRef)&gt;$AB239,"À programmer avant 60 ans",""))))))))</f>
        <v/>
      </c>
      <c r="AD239" s="40"/>
      <c r="AE239" s="43" t="str">
        <f aca="false">IF(OR($B239="",$H239="",AND($I239&lt;&gt;"",$I239&lt;=DateRef)),"",MAX($H239,$AD239,IF($A239="",0,SUMPRODUCT(MAX((Journal!$A$6:$A$1005=$A239)*((Journal!$D$6:$D$1005=TypeEDL)+(Journal!$D$6:$D$1005=TypeBilan6))*Journal!$C$6:$C$1005)))))</f>
        <v/>
      </c>
      <c r="AF239" s="43" t="str">
        <f aca="false">IF($AE239="","",IF(AND(ReglesTransitoires="Oui",EDATE($AE239,AnciennePeriodiciteEDL*12)&lt;DateVigueur),EDATE($AE239,AnciennePeriodiciteEDL*12),EDATE($AE239,PeriodiciteEDL*12)))</f>
        <v/>
      </c>
      <c r="AG239" s="42" t="str">
        <f aca="false">IF($AF239="","",IF(AND($I239&lt;&gt;"",$I239&lt;=DateRef),"",IF($AF239&lt;DateRef,"En retard",IF($AF239-DateRef&lt;=SeuilAlerteEDL,"À prévoir","À jour"))))</f>
        <v/>
      </c>
      <c r="AH239" s="39"/>
      <c r="AI239" s="39"/>
      <c r="AJ239" s="42" t="str">
        <f aca="false">IF(OR($B239="",$H239=""),"",IF(AND($I239&lt;&gt;"",$I239&lt;=DateRef),"",IF(Effectif&lt;SeuilEffectif,"Non concerné (&lt; "&amp;SeuilEffectif&amp;" salariés)",IF($AH239="Oui","Pas de risque",IF(AND(OR($AI239="Non",$S239="En retard"),$AH239="Non"),"Risque abondement",IF(OR($AI239="Non",$S239="En retard"),"À vérifier (formation ?)",IF($AI239="Oui","Pas de risque","À compléter")))))))</f>
        <v/>
      </c>
      <c r="AK239" s="39"/>
    </row>
    <row r="240" customFormat="false" ht="15" hidden="false" customHeight="false" outlineLevel="0" collapsed="false">
      <c r="A240" s="39"/>
      <c r="B240" s="39"/>
      <c r="C240" s="39"/>
      <c r="D240" s="39"/>
      <c r="E240" s="39"/>
      <c r="F240" s="39"/>
      <c r="G240" s="40"/>
      <c r="H240" s="40"/>
      <c r="I240" s="40"/>
      <c r="J240" s="41" t="str">
        <f aca="false">IF(OR($B240="",$H240=""),"",IF($H240&gt;DateRef,0,YEARFRAC($H240,DateRef,1)))</f>
        <v/>
      </c>
      <c r="K240" s="42" t="str">
        <f aca="false">IF(OR($B240="",$H240=""),"",IF(EDATE($H240,12)&lt;=DateRef,"Plus d'un an","Moins d'un an"))</f>
        <v/>
      </c>
      <c r="L240" s="40"/>
      <c r="M240" s="43" t="str">
        <f aca="false">IF(OR($B240="",$A240=""),"",IF(SUMPRODUCT(MAX((Journal!$A$6:$A$1005=$A240)*Journal!$C$6:$C$1005))=0,"",SUMPRODUCT(MAX((Journal!$A$6:$A$1005=$A240)*Journal!$C$6:$C$1005))))</f>
        <v/>
      </c>
      <c r="N240" s="43" t="str">
        <f aca="false">IF($B240="","",IF(MAX($L240,$M240)=0,"",MAX($L240,$M240)))</f>
        <v/>
      </c>
      <c r="O240" s="44" t="str">
        <f aca="false">IF(OR($B240="",$H240=""),"",IF($N240="",IF(EDATE($H240,DelaiPremierEPP)&gt;DateRef,"1er EPP (1re année)","Aucun entretien renseigné"),IF(AND(ReglesTransitoires="Oui",EDATE($N240,AnciennePeriodiciteEP*12)&lt;DateVigueur),"Retard antérieur à la réforme","Périodicité "&amp;PeriodiciteEPP&amp;" ans")))</f>
        <v/>
      </c>
      <c r="P240" s="43" t="str">
        <f aca="false">IF(OR($B240="",$H240=""),"",IF($N240="",EDATE($H240,DelaiPremierEPP),IF(AND(ReglesTransitoires="Oui",EDATE($N240,AnciennePeriodiciteEP*12)&lt;DateVigueur),EDATE($N240,AnciennePeriodiciteEP*12),EDATE($N240,PeriodiciteEPP*12))))</f>
        <v/>
      </c>
      <c r="Q240" s="40"/>
      <c r="R240" s="45" t="str">
        <f aca="false">IF(OR($P240="",AND($I240&lt;&gt;"",$I240&lt;=DateRef)),"",$P240-DateRef)</f>
        <v/>
      </c>
      <c r="S240" s="42" t="str">
        <f aca="false">IF($B240="","",IF(AND($I240&lt;&gt;"",$I240&lt;=DateRef),"Sorti",IF($H240="","À compléter",IF(AND($Q240&lt;&gt;"",$Q240&gt;=DateRef,$Q240&lt;=$P240),"Planifié",IF($R240&lt;0,"En retard",IF($R240&lt;=SeuilAlerteEPP,"À planifier","À jour"))))))</f>
        <v/>
      </c>
      <c r="T240" s="46" t="str">
        <f aca="false">IF(OR($B240="",$S240="Sorti"),"",MID(IF($H240=""," | Date d'embauche manquante","")&amp;IF(AND($K240="Plus d'un an",$N240="")," | Précédent entretien à renseigner (ancienneté &gt; 1 an)","")&amp;IF($O240="Retard antérieur à la réforme"," | Ancien délai de 2 ans expiré avant la réforme","")&amp;IF(AND($N240&lt;&gt;"",$H240&lt;&gt;"",$N240&lt;$H240)," | Entretien antérieur à l'embauche ?","")&amp;IF(AND($N240&lt;&gt;"",$N240&gt;DateRef)," | Entretien daté dans le futur ?","")&amp;IF(AND($Q240&lt;&gt;"",$P240&lt;&gt;"",$Q240&gt;$P240)," | Date prévue après l'échéance","")&amp;IF(AND($Q240&lt;&gt;"",$Q240&lt;DateRef,OR($N240="",$N240&lt;$Q240))," | Entretien prévu passé : le consigner au Journal","")&amp;IF(AND($G240&lt;&gt;"",$X240="",YEAR(DateRef)-YEAR($G240)&gt;=AgeMiCarriere-1,YEAR(DateRef)-YEAR($G240)&lt;=AgeMiCarriere+1)," | Visite de mi-carrière à vérifier",""),4,1000))</f>
        <v/>
      </c>
      <c r="U240" s="39"/>
      <c r="V240" s="40"/>
      <c r="W240" s="42" t="str">
        <f aca="false">IF(OR($B240="",$V240=""),"",IF(AND($I240&lt;&gt;"",$I240&lt;=DateRef),"",IF(AND($N240&lt;&gt;"",$N240&gt;=$V240),"Réalisé",IF(AND($N240&lt;&gt;"",$N240&gt;=EDATE($V240,-FenetreRetour)),"Dispensé (EPP récent)",IF($V240&gt;DateRef,"À prévoir à la reprise","À proposer (reprise passée)")))))</f>
        <v/>
      </c>
      <c r="X240" s="40"/>
      <c r="Y240" s="43" t="str">
        <f aca="false">IF(OR($B240="",$X240=""),"",EDATE($X240,DelaiMiCarriere))</f>
        <v/>
      </c>
      <c r="Z240" s="42" t="str">
        <f aca="false">IF(OR($B240="",$X240=""),"",IF(AND($I240&lt;&gt;"",$I240&lt;=DateRef),"",IF(AND($N240&lt;&gt;"",$N240&gt;=$X240),"Réalisé",IF($Y240&lt;DateRef,"En retard","À planifier"))))</f>
        <v/>
      </c>
      <c r="AA240" s="47" t="str">
        <f aca="false">IF(OR($B240="",$G240=""),"",IF($G240&gt;DateRef,"",DATEDIF($G240,DateRef,"y")))</f>
        <v/>
      </c>
      <c r="AB240" s="43" t="str">
        <f aca="false">IF(OR($B240="",$G240=""),"",EDATE($G240,AgeFinCarriere*12))</f>
        <v/>
      </c>
      <c r="AC240" s="42" t="str">
        <f aca="false">IF(OR($B240="",$G240="",$H240=""),"",IF(AND($I240&lt;&gt;"",$I240&lt;=DateRef),"",IF($AB240&lt;DateVigueur,"Non concerné",IF(AND($N240&lt;&gt;"",$N240&gt;=MAX(EDATE($AB240,-FenetreFinCarriere*12),DateVigueur),$N240&lt;=$AB240),"Réalisé",IF(DateRef&gt;$AB240,"Non réalisé",IF(AND($Q240&lt;&gt;"",$Q240&gt;=EDATE($AB240,-FenetreFinCarriere*12),$Q240&lt;=$AB240),"Planifié dans la fenêtre",IF(AND(MAX($P240,DateRef)&gt;=EDATE($AB240,-FenetreFinCarriere*12),MAX($P240,DateRef)&lt;=$AB240),"Prochain EPP dans la fenêtre",IF(MAX($P240,DateRef)&gt;$AB240,"À programmer avant 60 ans",""))))))))</f>
        <v/>
      </c>
      <c r="AD240" s="40"/>
      <c r="AE240" s="43" t="str">
        <f aca="false">IF(OR($B240="",$H240="",AND($I240&lt;&gt;"",$I240&lt;=DateRef)),"",MAX($H240,$AD240,IF($A240="",0,SUMPRODUCT(MAX((Journal!$A$6:$A$1005=$A240)*((Journal!$D$6:$D$1005=TypeEDL)+(Journal!$D$6:$D$1005=TypeBilan6))*Journal!$C$6:$C$1005)))))</f>
        <v/>
      </c>
      <c r="AF240" s="43" t="str">
        <f aca="false">IF($AE240="","",IF(AND(ReglesTransitoires="Oui",EDATE($AE240,AnciennePeriodiciteEDL*12)&lt;DateVigueur),EDATE($AE240,AnciennePeriodiciteEDL*12),EDATE($AE240,PeriodiciteEDL*12)))</f>
        <v/>
      </c>
      <c r="AG240" s="42" t="str">
        <f aca="false">IF($AF240="","",IF(AND($I240&lt;&gt;"",$I240&lt;=DateRef),"",IF($AF240&lt;DateRef,"En retard",IF($AF240-DateRef&lt;=SeuilAlerteEDL,"À prévoir","À jour"))))</f>
        <v/>
      </c>
      <c r="AH240" s="39"/>
      <c r="AI240" s="39"/>
      <c r="AJ240" s="42" t="str">
        <f aca="false">IF(OR($B240="",$H240=""),"",IF(AND($I240&lt;&gt;"",$I240&lt;=DateRef),"",IF(Effectif&lt;SeuilEffectif,"Non concerné (&lt; "&amp;SeuilEffectif&amp;" salariés)",IF($AH240="Oui","Pas de risque",IF(AND(OR($AI240="Non",$S240="En retard"),$AH240="Non"),"Risque abondement",IF(OR($AI240="Non",$S240="En retard"),"À vérifier (formation ?)",IF($AI240="Oui","Pas de risque","À compléter")))))))</f>
        <v/>
      </c>
      <c r="AK240" s="39"/>
    </row>
    <row r="241" customFormat="false" ht="15" hidden="false" customHeight="false" outlineLevel="0" collapsed="false">
      <c r="A241" s="39"/>
      <c r="B241" s="39"/>
      <c r="C241" s="39"/>
      <c r="D241" s="39"/>
      <c r="E241" s="39"/>
      <c r="F241" s="39"/>
      <c r="G241" s="40"/>
      <c r="H241" s="40"/>
      <c r="I241" s="40"/>
      <c r="J241" s="41" t="str">
        <f aca="false">IF(OR($B241="",$H241=""),"",IF($H241&gt;DateRef,0,YEARFRAC($H241,DateRef,1)))</f>
        <v/>
      </c>
      <c r="K241" s="42" t="str">
        <f aca="false">IF(OR($B241="",$H241=""),"",IF(EDATE($H241,12)&lt;=DateRef,"Plus d'un an","Moins d'un an"))</f>
        <v/>
      </c>
      <c r="L241" s="40"/>
      <c r="M241" s="43" t="str">
        <f aca="false">IF(OR($B241="",$A241=""),"",IF(SUMPRODUCT(MAX((Journal!$A$6:$A$1005=$A241)*Journal!$C$6:$C$1005))=0,"",SUMPRODUCT(MAX((Journal!$A$6:$A$1005=$A241)*Journal!$C$6:$C$1005))))</f>
        <v/>
      </c>
      <c r="N241" s="43" t="str">
        <f aca="false">IF($B241="","",IF(MAX($L241,$M241)=0,"",MAX($L241,$M241)))</f>
        <v/>
      </c>
      <c r="O241" s="44" t="str">
        <f aca="false">IF(OR($B241="",$H241=""),"",IF($N241="",IF(EDATE($H241,DelaiPremierEPP)&gt;DateRef,"1er EPP (1re année)","Aucun entretien renseigné"),IF(AND(ReglesTransitoires="Oui",EDATE($N241,AnciennePeriodiciteEP*12)&lt;DateVigueur),"Retard antérieur à la réforme","Périodicité "&amp;PeriodiciteEPP&amp;" ans")))</f>
        <v/>
      </c>
      <c r="P241" s="43" t="str">
        <f aca="false">IF(OR($B241="",$H241=""),"",IF($N241="",EDATE($H241,DelaiPremierEPP),IF(AND(ReglesTransitoires="Oui",EDATE($N241,AnciennePeriodiciteEP*12)&lt;DateVigueur),EDATE($N241,AnciennePeriodiciteEP*12),EDATE($N241,PeriodiciteEPP*12))))</f>
        <v/>
      </c>
      <c r="Q241" s="40"/>
      <c r="R241" s="45" t="str">
        <f aca="false">IF(OR($P241="",AND($I241&lt;&gt;"",$I241&lt;=DateRef)),"",$P241-DateRef)</f>
        <v/>
      </c>
      <c r="S241" s="42" t="str">
        <f aca="false">IF($B241="","",IF(AND($I241&lt;&gt;"",$I241&lt;=DateRef),"Sorti",IF($H241="","À compléter",IF(AND($Q241&lt;&gt;"",$Q241&gt;=DateRef,$Q241&lt;=$P241),"Planifié",IF($R241&lt;0,"En retard",IF($R241&lt;=SeuilAlerteEPP,"À planifier","À jour"))))))</f>
        <v/>
      </c>
      <c r="T241" s="46" t="str">
        <f aca="false">IF(OR($B241="",$S241="Sorti"),"",MID(IF($H241=""," | Date d'embauche manquante","")&amp;IF(AND($K241="Plus d'un an",$N241="")," | Précédent entretien à renseigner (ancienneté &gt; 1 an)","")&amp;IF($O241="Retard antérieur à la réforme"," | Ancien délai de 2 ans expiré avant la réforme","")&amp;IF(AND($N241&lt;&gt;"",$H241&lt;&gt;"",$N241&lt;$H241)," | Entretien antérieur à l'embauche ?","")&amp;IF(AND($N241&lt;&gt;"",$N241&gt;DateRef)," | Entretien daté dans le futur ?","")&amp;IF(AND($Q241&lt;&gt;"",$P241&lt;&gt;"",$Q241&gt;$P241)," | Date prévue après l'échéance","")&amp;IF(AND($Q241&lt;&gt;"",$Q241&lt;DateRef,OR($N241="",$N241&lt;$Q241))," | Entretien prévu passé : le consigner au Journal","")&amp;IF(AND($G241&lt;&gt;"",$X241="",YEAR(DateRef)-YEAR($G241)&gt;=AgeMiCarriere-1,YEAR(DateRef)-YEAR($G241)&lt;=AgeMiCarriere+1)," | Visite de mi-carrière à vérifier",""),4,1000))</f>
        <v/>
      </c>
      <c r="U241" s="39"/>
      <c r="V241" s="40"/>
      <c r="W241" s="42" t="str">
        <f aca="false">IF(OR($B241="",$V241=""),"",IF(AND($I241&lt;&gt;"",$I241&lt;=DateRef),"",IF(AND($N241&lt;&gt;"",$N241&gt;=$V241),"Réalisé",IF(AND($N241&lt;&gt;"",$N241&gt;=EDATE($V241,-FenetreRetour)),"Dispensé (EPP récent)",IF($V241&gt;DateRef,"À prévoir à la reprise","À proposer (reprise passée)")))))</f>
        <v/>
      </c>
      <c r="X241" s="40"/>
      <c r="Y241" s="43" t="str">
        <f aca="false">IF(OR($B241="",$X241=""),"",EDATE($X241,DelaiMiCarriere))</f>
        <v/>
      </c>
      <c r="Z241" s="42" t="str">
        <f aca="false">IF(OR($B241="",$X241=""),"",IF(AND($I241&lt;&gt;"",$I241&lt;=DateRef),"",IF(AND($N241&lt;&gt;"",$N241&gt;=$X241),"Réalisé",IF($Y241&lt;DateRef,"En retard","À planifier"))))</f>
        <v/>
      </c>
      <c r="AA241" s="47" t="str">
        <f aca="false">IF(OR($B241="",$G241=""),"",IF($G241&gt;DateRef,"",DATEDIF($G241,DateRef,"y")))</f>
        <v/>
      </c>
      <c r="AB241" s="43" t="str">
        <f aca="false">IF(OR($B241="",$G241=""),"",EDATE($G241,AgeFinCarriere*12))</f>
        <v/>
      </c>
      <c r="AC241" s="42" t="str">
        <f aca="false">IF(OR($B241="",$G241="",$H241=""),"",IF(AND($I241&lt;&gt;"",$I241&lt;=DateRef),"",IF($AB241&lt;DateVigueur,"Non concerné",IF(AND($N241&lt;&gt;"",$N241&gt;=MAX(EDATE($AB241,-FenetreFinCarriere*12),DateVigueur),$N241&lt;=$AB241),"Réalisé",IF(DateRef&gt;$AB241,"Non réalisé",IF(AND($Q241&lt;&gt;"",$Q241&gt;=EDATE($AB241,-FenetreFinCarriere*12),$Q241&lt;=$AB241),"Planifié dans la fenêtre",IF(AND(MAX($P241,DateRef)&gt;=EDATE($AB241,-FenetreFinCarriere*12),MAX($P241,DateRef)&lt;=$AB241),"Prochain EPP dans la fenêtre",IF(MAX($P241,DateRef)&gt;$AB241,"À programmer avant 60 ans",""))))))))</f>
        <v/>
      </c>
      <c r="AD241" s="40"/>
      <c r="AE241" s="43" t="str">
        <f aca="false">IF(OR($B241="",$H241="",AND($I241&lt;&gt;"",$I241&lt;=DateRef)),"",MAX($H241,$AD241,IF($A241="",0,SUMPRODUCT(MAX((Journal!$A$6:$A$1005=$A241)*((Journal!$D$6:$D$1005=TypeEDL)+(Journal!$D$6:$D$1005=TypeBilan6))*Journal!$C$6:$C$1005)))))</f>
        <v/>
      </c>
      <c r="AF241" s="43" t="str">
        <f aca="false">IF($AE241="","",IF(AND(ReglesTransitoires="Oui",EDATE($AE241,AnciennePeriodiciteEDL*12)&lt;DateVigueur),EDATE($AE241,AnciennePeriodiciteEDL*12),EDATE($AE241,PeriodiciteEDL*12)))</f>
        <v/>
      </c>
      <c r="AG241" s="42" t="str">
        <f aca="false">IF($AF241="","",IF(AND($I241&lt;&gt;"",$I241&lt;=DateRef),"",IF($AF241&lt;DateRef,"En retard",IF($AF241-DateRef&lt;=SeuilAlerteEDL,"À prévoir","À jour"))))</f>
        <v/>
      </c>
      <c r="AH241" s="39"/>
      <c r="AI241" s="39"/>
      <c r="AJ241" s="42" t="str">
        <f aca="false">IF(OR($B241="",$H241=""),"",IF(AND($I241&lt;&gt;"",$I241&lt;=DateRef),"",IF(Effectif&lt;SeuilEffectif,"Non concerné (&lt; "&amp;SeuilEffectif&amp;" salariés)",IF($AH241="Oui","Pas de risque",IF(AND(OR($AI241="Non",$S241="En retard"),$AH241="Non"),"Risque abondement",IF(OR($AI241="Non",$S241="En retard"),"À vérifier (formation ?)",IF($AI241="Oui","Pas de risque","À compléter")))))))</f>
        <v/>
      </c>
      <c r="AK241" s="39"/>
    </row>
    <row r="242" customFormat="false" ht="15" hidden="false" customHeight="false" outlineLevel="0" collapsed="false">
      <c r="A242" s="39"/>
      <c r="B242" s="39"/>
      <c r="C242" s="39"/>
      <c r="D242" s="39"/>
      <c r="E242" s="39"/>
      <c r="F242" s="39"/>
      <c r="G242" s="40"/>
      <c r="H242" s="40"/>
      <c r="I242" s="40"/>
      <c r="J242" s="41" t="str">
        <f aca="false">IF(OR($B242="",$H242=""),"",IF($H242&gt;DateRef,0,YEARFRAC($H242,DateRef,1)))</f>
        <v/>
      </c>
      <c r="K242" s="42" t="str">
        <f aca="false">IF(OR($B242="",$H242=""),"",IF(EDATE($H242,12)&lt;=DateRef,"Plus d'un an","Moins d'un an"))</f>
        <v/>
      </c>
      <c r="L242" s="40"/>
      <c r="M242" s="43" t="str">
        <f aca="false">IF(OR($B242="",$A242=""),"",IF(SUMPRODUCT(MAX((Journal!$A$6:$A$1005=$A242)*Journal!$C$6:$C$1005))=0,"",SUMPRODUCT(MAX((Journal!$A$6:$A$1005=$A242)*Journal!$C$6:$C$1005))))</f>
        <v/>
      </c>
      <c r="N242" s="43" t="str">
        <f aca="false">IF($B242="","",IF(MAX($L242,$M242)=0,"",MAX($L242,$M242)))</f>
        <v/>
      </c>
      <c r="O242" s="44" t="str">
        <f aca="false">IF(OR($B242="",$H242=""),"",IF($N242="",IF(EDATE($H242,DelaiPremierEPP)&gt;DateRef,"1er EPP (1re année)","Aucun entretien renseigné"),IF(AND(ReglesTransitoires="Oui",EDATE($N242,AnciennePeriodiciteEP*12)&lt;DateVigueur),"Retard antérieur à la réforme","Périodicité "&amp;PeriodiciteEPP&amp;" ans")))</f>
        <v/>
      </c>
      <c r="P242" s="43" t="str">
        <f aca="false">IF(OR($B242="",$H242=""),"",IF($N242="",EDATE($H242,DelaiPremierEPP),IF(AND(ReglesTransitoires="Oui",EDATE($N242,AnciennePeriodiciteEP*12)&lt;DateVigueur),EDATE($N242,AnciennePeriodiciteEP*12),EDATE($N242,PeriodiciteEPP*12))))</f>
        <v/>
      </c>
      <c r="Q242" s="40"/>
      <c r="R242" s="45" t="str">
        <f aca="false">IF(OR($P242="",AND($I242&lt;&gt;"",$I242&lt;=DateRef)),"",$P242-DateRef)</f>
        <v/>
      </c>
      <c r="S242" s="42" t="str">
        <f aca="false">IF($B242="","",IF(AND($I242&lt;&gt;"",$I242&lt;=DateRef),"Sorti",IF($H242="","À compléter",IF(AND($Q242&lt;&gt;"",$Q242&gt;=DateRef,$Q242&lt;=$P242),"Planifié",IF($R242&lt;0,"En retard",IF($R242&lt;=SeuilAlerteEPP,"À planifier","À jour"))))))</f>
        <v/>
      </c>
      <c r="T242" s="46" t="str">
        <f aca="false">IF(OR($B242="",$S242="Sorti"),"",MID(IF($H242=""," | Date d'embauche manquante","")&amp;IF(AND($K242="Plus d'un an",$N242="")," | Précédent entretien à renseigner (ancienneté &gt; 1 an)","")&amp;IF($O242="Retard antérieur à la réforme"," | Ancien délai de 2 ans expiré avant la réforme","")&amp;IF(AND($N242&lt;&gt;"",$H242&lt;&gt;"",$N242&lt;$H242)," | Entretien antérieur à l'embauche ?","")&amp;IF(AND($N242&lt;&gt;"",$N242&gt;DateRef)," | Entretien daté dans le futur ?","")&amp;IF(AND($Q242&lt;&gt;"",$P242&lt;&gt;"",$Q242&gt;$P242)," | Date prévue après l'échéance","")&amp;IF(AND($Q242&lt;&gt;"",$Q242&lt;DateRef,OR($N242="",$N242&lt;$Q242))," | Entretien prévu passé : le consigner au Journal","")&amp;IF(AND($G242&lt;&gt;"",$X242="",YEAR(DateRef)-YEAR($G242)&gt;=AgeMiCarriere-1,YEAR(DateRef)-YEAR($G242)&lt;=AgeMiCarriere+1)," | Visite de mi-carrière à vérifier",""),4,1000))</f>
        <v/>
      </c>
      <c r="U242" s="39"/>
      <c r="V242" s="40"/>
      <c r="W242" s="42" t="str">
        <f aca="false">IF(OR($B242="",$V242=""),"",IF(AND($I242&lt;&gt;"",$I242&lt;=DateRef),"",IF(AND($N242&lt;&gt;"",$N242&gt;=$V242),"Réalisé",IF(AND($N242&lt;&gt;"",$N242&gt;=EDATE($V242,-FenetreRetour)),"Dispensé (EPP récent)",IF($V242&gt;DateRef,"À prévoir à la reprise","À proposer (reprise passée)")))))</f>
        <v/>
      </c>
      <c r="X242" s="40"/>
      <c r="Y242" s="43" t="str">
        <f aca="false">IF(OR($B242="",$X242=""),"",EDATE($X242,DelaiMiCarriere))</f>
        <v/>
      </c>
      <c r="Z242" s="42" t="str">
        <f aca="false">IF(OR($B242="",$X242=""),"",IF(AND($I242&lt;&gt;"",$I242&lt;=DateRef),"",IF(AND($N242&lt;&gt;"",$N242&gt;=$X242),"Réalisé",IF($Y242&lt;DateRef,"En retard","À planifier"))))</f>
        <v/>
      </c>
      <c r="AA242" s="47" t="str">
        <f aca="false">IF(OR($B242="",$G242=""),"",IF($G242&gt;DateRef,"",DATEDIF($G242,DateRef,"y")))</f>
        <v/>
      </c>
      <c r="AB242" s="43" t="str">
        <f aca="false">IF(OR($B242="",$G242=""),"",EDATE($G242,AgeFinCarriere*12))</f>
        <v/>
      </c>
      <c r="AC242" s="42" t="str">
        <f aca="false">IF(OR($B242="",$G242="",$H242=""),"",IF(AND($I242&lt;&gt;"",$I242&lt;=DateRef),"",IF($AB242&lt;DateVigueur,"Non concerné",IF(AND($N242&lt;&gt;"",$N242&gt;=MAX(EDATE($AB242,-FenetreFinCarriere*12),DateVigueur),$N242&lt;=$AB242),"Réalisé",IF(DateRef&gt;$AB242,"Non réalisé",IF(AND($Q242&lt;&gt;"",$Q242&gt;=EDATE($AB242,-FenetreFinCarriere*12),$Q242&lt;=$AB242),"Planifié dans la fenêtre",IF(AND(MAX($P242,DateRef)&gt;=EDATE($AB242,-FenetreFinCarriere*12),MAX($P242,DateRef)&lt;=$AB242),"Prochain EPP dans la fenêtre",IF(MAX($P242,DateRef)&gt;$AB242,"À programmer avant 60 ans",""))))))))</f>
        <v/>
      </c>
      <c r="AD242" s="40"/>
      <c r="AE242" s="43" t="str">
        <f aca="false">IF(OR($B242="",$H242="",AND($I242&lt;&gt;"",$I242&lt;=DateRef)),"",MAX($H242,$AD242,IF($A242="",0,SUMPRODUCT(MAX((Journal!$A$6:$A$1005=$A242)*((Journal!$D$6:$D$1005=TypeEDL)+(Journal!$D$6:$D$1005=TypeBilan6))*Journal!$C$6:$C$1005)))))</f>
        <v/>
      </c>
      <c r="AF242" s="43" t="str">
        <f aca="false">IF($AE242="","",IF(AND(ReglesTransitoires="Oui",EDATE($AE242,AnciennePeriodiciteEDL*12)&lt;DateVigueur),EDATE($AE242,AnciennePeriodiciteEDL*12),EDATE($AE242,PeriodiciteEDL*12)))</f>
        <v/>
      </c>
      <c r="AG242" s="42" t="str">
        <f aca="false">IF($AF242="","",IF(AND($I242&lt;&gt;"",$I242&lt;=DateRef),"",IF($AF242&lt;DateRef,"En retard",IF($AF242-DateRef&lt;=SeuilAlerteEDL,"À prévoir","À jour"))))</f>
        <v/>
      </c>
      <c r="AH242" s="39"/>
      <c r="AI242" s="39"/>
      <c r="AJ242" s="42" t="str">
        <f aca="false">IF(OR($B242="",$H242=""),"",IF(AND($I242&lt;&gt;"",$I242&lt;=DateRef),"",IF(Effectif&lt;SeuilEffectif,"Non concerné (&lt; "&amp;SeuilEffectif&amp;" salariés)",IF($AH242="Oui","Pas de risque",IF(AND(OR($AI242="Non",$S242="En retard"),$AH242="Non"),"Risque abondement",IF(OR($AI242="Non",$S242="En retard"),"À vérifier (formation ?)",IF($AI242="Oui","Pas de risque","À compléter")))))))</f>
        <v/>
      </c>
      <c r="AK242" s="39"/>
    </row>
    <row r="243" customFormat="false" ht="15" hidden="false" customHeight="false" outlineLevel="0" collapsed="false">
      <c r="A243" s="39"/>
      <c r="B243" s="39"/>
      <c r="C243" s="39"/>
      <c r="D243" s="39"/>
      <c r="E243" s="39"/>
      <c r="F243" s="39"/>
      <c r="G243" s="40"/>
      <c r="H243" s="40"/>
      <c r="I243" s="40"/>
      <c r="J243" s="41" t="str">
        <f aca="false">IF(OR($B243="",$H243=""),"",IF($H243&gt;DateRef,0,YEARFRAC($H243,DateRef,1)))</f>
        <v/>
      </c>
      <c r="K243" s="42" t="str">
        <f aca="false">IF(OR($B243="",$H243=""),"",IF(EDATE($H243,12)&lt;=DateRef,"Plus d'un an","Moins d'un an"))</f>
        <v/>
      </c>
      <c r="L243" s="40"/>
      <c r="M243" s="43" t="str">
        <f aca="false">IF(OR($B243="",$A243=""),"",IF(SUMPRODUCT(MAX((Journal!$A$6:$A$1005=$A243)*Journal!$C$6:$C$1005))=0,"",SUMPRODUCT(MAX((Journal!$A$6:$A$1005=$A243)*Journal!$C$6:$C$1005))))</f>
        <v/>
      </c>
      <c r="N243" s="43" t="str">
        <f aca="false">IF($B243="","",IF(MAX($L243,$M243)=0,"",MAX($L243,$M243)))</f>
        <v/>
      </c>
      <c r="O243" s="44" t="str">
        <f aca="false">IF(OR($B243="",$H243=""),"",IF($N243="",IF(EDATE($H243,DelaiPremierEPP)&gt;DateRef,"1er EPP (1re année)","Aucun entretien renseigné"),IF(AND(ReglesTransitoires="Oui",EDATE($N243,AnciennePeriodiciteEP*12)&lt;DateVigueur),"Retard antérieur à la réforme","Périodicité "&amp;PeriodiciteEPP&amp;" ans")))</f>
        <v/>
      </c>
      <c r="P243" s="43" t="str">
        <f aca="false">IF(OR($B243="",$H243=""),"",IF($N243="",EDATE($H243,DelaiPremierEPP),IF(AND(ReglesTransitoires="Oui",EDATE($N243,AnciennePeriodiciteEP*12)&lt;DateVigueur),EDATE($N243,AnciennePeriodiciteEP*12),EDATE($N243,PeriodiciteEPP*12))))</f>
        <v/>
      </c>
      <c r="Q243" s="40"/>
      <c r="R243" s="45" t="str">
        <f aca="false">IF(OR($P243="",AND($I243&lt;&gt;"",$I243&lt;=DateRef)),"",$P243-DateRef)</f>
        <v/>
      </c>
      <c r="S243" s="42" t="str">
        <f aca="false">IF($B243="","",IF(AND($I243&lt;&gt;"",$I243&lt;=DateRef),"Sorti",IF($H243="","À compléter",IF(AND($Q243&lt;&gt;"",$Q243&gt;=DateRef,$Q243&lt;=$P243),"Planifié",IF($R243&lt;0,"En retard",IF($R243&lt;=SeuilAlerteEPP,"À planifier","À jour"))))))</f>
        <v/>
      </c>
      <c r="T243" s="46" t="str">
        <f aca="false">IF(OR($B243="",$S243="Sorti"),"",MID(IF($H243=""," | Date d'embauche manquante","")&amp;IF(AND($K243="Plus d'un an",$N243="")," | Précédent entretien à renseigner (ancienneté &gt; 1 an)","")&amp;IF($O243="Retard antérieur à la réforme"," | Ancien délai de 2 ans expiré avant la réforme","")&amp;IF(AND($N243&lt;&gt;"",$H243&lt;&gt;"",$N243&lt;$H243)," | Entretien antérieur à l'embauche ?","")&amp;IF(AND($N243&lt;&gt;"",$N243&gt;DateRef)," | Entretien daté dans le futur ?","")&amp;IF(AND($Q243&lt;&gt;"",$P243&lt;&gt;"",$Q243&gt;$P243)," | Date prévue après l'échéance","")&amp;IF(AND($Q243&lt;&gt;"",$Q243&lt;DateRef,OR($N243="",$N243&lt;$Q243))," | Entretien prévu passé : le consigner au Journal","")&amp;IF(AND($G243&lt;&gt;"",$X243="",YEAR(DateRef)-YEAR($G243)&gt;=AgeMiCarriere-1,YEAR(DateRef)-YEAR($G243)&lt;=AgeMiCarriere+1)," | Visite de mi-carrière à vérifier",""),4,1000))</f>
        <v/>
      </c>
      <c r="U243" s="39"/>
      <c r="V243" s="40"/>
      <c r="W243" s="42" t="str">
        <f aca="false">IF(OR($B243="",$V243=""),"",IF(AND($I243&lt;&gt;"",$I243&lt;=DateRef),"",IF(AND($N243&lt;&gt;"",$N243&gt;=$V243),"Réalisé",IF(AND($N243&lt;&gt;"",$N243&gt;=EDATE($V243,-FenetreRetour)),"Dispensé (EPP récent)",IF($V243&gt;DateRef,"À prévoir à la reprise","À proposer (reprise passée)")))))</f>
        <v/>
      </c>
      <c r="X243" s="40"/>
      <c r="Y243" s="43" t="str">
        <f aca="false">IF(OR($B243="",$X243=""),"",EDATE($X243,DelaiMiCarriere))</f>
        <v/>
      </c>
      <c r="Z243" s="42" t="str">
        <f aca="false">IF(OR($B243="",$X243=""),"",IF(AND($I243&lt;&gt;"",$I243&lt;=DateRef),"",IF(AND($N243&lt;&gt;"",$N243&gt;=$X243),"Réalisé",IF($Y243&lt;DateRef,"En retard","À planifier"))))</f>
        <v/>
      </c>
      <c r="AA243" s="47" t="str">
        <f aca="false">IF(OR($B243="",$G243=""),"",IF($G243&gt;DateRef,"",DATEDIF($G243,DateRef,"y")))</f>
        <v/>
      </c>
      <c r="AB243" s="43" t="str">
        <f aca="false">IF(OR($B243="",$G243=""),"",EDATE($G243,AgeFinCarriere*12))</f>
        <v/>
      </c>
      <c r="AC243" s="42" t="str">
        <f aca="false">IF(OR($B243="",$G243="",$H243=""),"",IF(AND($I243&lt;&gt;"",$I243&lt;=DateRef),"",IF($AB243&lt;DateVigueur,"Non concerné",IF(AND($N243&lt;&gt;"",$N243&gt;=MAX(EDATE($AB243,-FenetreFinCarriere*12),DateVigueur),$N243&lt;=$AB243),"Réalisé",IF(DateRef&gt;$AB243,"Non réalisé",IF(AND($Q243&lt;&gt;"",$Q243&gt;=EDATE($AB243,-FenetreFinCarriere*12),$Q243&lt;=$AB243),"Planifié dans la fenêtre",IF(AND(MAX($P243,DateRef)&gt;=EDATE($AB243,-FenetreFinCarriere*12),MAX($P243,DateRef)&lt;=$AB243),"Prochain EPP dans la fenêtre",IF(MAX($P243,DateRef)&gt;$AB243,"À programmer avant 60 ans",""))))))))</f>
        <v/>
      </c>
      <c r="AD243" s="40"/>
      <c r="AE243" s="43" t="str">
        <f aca="false">IF(OR($B243="",$H243="",AND($I243&lt;&gt;"",$I243&lt;=DateRef)),"",MAX($H243,$AD243,IF($A243="",0,SUMPRODUCT(MAX((Journal!$A$6:$A$1005=$A243)*((Journal!$D$6:$D$1005=TypeEDL)+(Journal!$D$6:$D$1005=TypeBilan6))*Journal!$C$6:$C$1005)))))</f>
        <v/>
      </c>
      <c r="AF243" s="43" t="str">
        <f aca="false">IF($AE243="","",IF(AND(ReglesTransitoires="Oui",EDATE($AE243,AnciennePeriodiciteEDL*12)&lt;DateVigueur),EDATE($AE243,AnciennePeriodiciteEDL*12),EDATE($AE243,PeriodiciteEDL*12)))</f>
        <v/>
      </c>
      <c r="AG243" s="42" t="str">
        <f aca="false">IF($AF243="","",IF(AND($I243&lt;&gt;"",$I243&lt;=DateRef),"",IF($AF243&lt;DateRef,"En retard",IF($AF243-DateRef&lt;=SeuilAlerteEDL,"À prévoir","À jour"))))</f>
        <v/>
      </c>
      <c r="AH243" s="39"/>
      <c r="AI243" s="39"/>
      <c r="AJ243" s="42" t="str">
        <f aca="false">IF(OR($B243="",$H243=""),"",IF(AND($I243&lt;&gt;"",$I243&lt;=DateRef),"",IF(Effectif&lt;SeuilEffectif,"Non concerné (&lt; "&amp;SeuilEffectif&amp;" salariés)",IF($AH243="Oui","Pas de risque",IF(AND(OR($AI243="Non",$S243="En retard"),$AH243="Non"),"Risque abondement",IF(OR($AI243="Non",$S243="En retard"),"À vérifier (formation ?)",IF($AI243="Oui","Pas de risque","À compléter")))))))</f>
        <v/>
      </c>
      <c r="AK243" s="39"/>
    </row>
    <row r="244" customFormat="false" ht="15" hidden="false" customHeight="false" outlineLevel="0" collapsed="false">
      <c r="A244" s="39"/>
      <c r="B244" s="39"/>
      <c r="C244" s="39"/>
      <c r="D244" s="39"/>
      <c r="E244" s="39"/>
      <c r="F244" s="39"/>
      <c r="G244" s="40"/>
      <c r="H244" s="40"/>
      <c r="I244" s="40"/>
      <c r="J244" s="41" t="str">
        <f aca="false">IF(OR($B244="",$H244=""),"",IF($H244&gt;DateRef,0,YEARFRAC($H244,DateRef,1)))</f>
        <v/>
      </c>
      <c r="K244" s="42" t="str">
        <f aca="false">IF(OR($B244="",$H244=""),"",IF(EDATE($H244,12)&lt;=DateRef,"Plus d'un an","Moins d'un an"))</f>
        <v/>
      </c>
      <c r="L244" s="40"/>
      <c r="M244" s="43" t="str">
        <f aca="false">IF(OR($B244="",$A244=""),"",IF(SUMPRODUCT(MAX((Journal!$A$6:$A$1005=$A244)*Journal!$C$6:$C$1005))=0,"",SUMPRODUCT(MAX((Journal!$A$6:$A$1005=$A244)*Journal!$C$6:$C$1005))))</f>
        <v/>
      </c>
      <c r="N244" s="43" t="str">
        <f aca="false">IF($B244="","",IF(MAX($L244,$M244)=0,"",MAX($L244,$M244)))</f>
        <v/>
      </c>
      <c r="O244" s="44" t="str">
        <f aca="false">IF(OR($B244="",$H244=""),"",IF($N244="",IF(EDATE($H244,DelaiPremierEPP)&gt;DateRef,"1er EPP (1re année)","Aucun entretien renseigné"),IF(AND(ReglesTransitoires="Oui",EDATE($N244,AnciennePeriodiciteEP*12)&lt;DateVigueur),"Retard antérieur à la réforme","Périodicité "&amp;PeriodiciteEPP&amp;" ans")))</f>
        <v/>
      </c>
      <c r="P244" s="43" t="str">
        <f aca="false">IF(OR($B244="",$H244=""),"",IF($N244="",EDATE($H244,DelaiPremierEPP),IF(AND(ReglesTransitoires="Oui",EDATE($N244,AnciennePeriodiciteEP*12)&lt;DateVigueur),EDATE($N244,AnciennePeriodiciteEP*12),EDATE($N244,PeriodiciteEPP*12))))</f>
        <v/>
      </c>
      <c r="Q244" s="40"/>
      <c r="R244" s="45" t="str">
        <f aca="false">IF(OR($P244="",AND($I244&lt;&gt;"",$I244&lt;=DateRef)),"",$P244-DateRef)</f>
        <v/>
      </c>
      <c r="S244" s="42" t="str">
        <f aca="false">IF($B244="","",IF(AND($I244&lt;&gt;"",$I244&lt;=DateRef),"Sorti",IF($H244="","À compléter",IF(AND($Q244&lt;&gt;"",$Q244&gt;=DateRef,$Q244&lt;=$P244),"Planifié",IF($R244&lt;0,"En retard",IF($R244&lt;=SeuilAlerteEPP,"À planifier","À jour"))))))</f>
        <v/>
      </c>
      <c r="T244" s="46" t="str">
        <f aca="false">IF(OR($B244="",$S244="Sorti"),"",MID(IF($H244=""," | Date d'embauche manquante","")&amp;IF(AND($K244="Plus d'un an",$N244="")," | Précédent entretien à renseigner (ancienneté &gt; 1 an)","")&amp;IF($O244="Retard antérieur à la réforme"," | Ancien délai de 2 ans expiré avant la réforme","")&amp;IF(AND($N244&lt;&gt;"",$H244&lt;&gt;"",$N244&lt;$H244)," | Entretien antérieur à l'embauche ?","")&amp;IF(AND($N244&lt;&gt;"",$N244&gt;DateRef)," | Entretien daté dans le futur ?","")&amp;IF(AND($Q244&lt;&gt;"",$P244&lt;&gt;"",$Q244&gt;$P244)," | Date prévue après l'échéance","")&amp;IF(AND($Q244&lt;&gt;"",$Q244&lt;DateRef,OR($N244="",$N244&lt;$Q244))," | Entretien prévu passé : le consigner au Journal","")&amp;IF(AND($G244&lt;&gt;"",$X244="",YEAR(DateRef)-YEAR($G244)&gt;=AgeMiCarriere-1,YEAR(DateRef)-YEAR($G244)&lt;=AgeMiCarriere+1)," | Visite de mi-carrière à vérifier",""),4,1000))</f>
        <v/>
      </c>
      <c r="U244" s="39"/>
      <c r="V244" s="40"/>
      <c r="W244" s="42" t="str">
        <f aca="false">IF(OR($B244="",$V244=""),"",IF(AND($I244&lt;&gt;"",$I244&lt;=DateRef),"",IF(AND($N244&lt;&gt;"",$N244&gt;=$V244),"Réalisé",IF(AND($N244&lt;&gt;"",$N244&gt;=EDATE($V244,-FenetreRetour)),"Dispensé (EPP récent)",IF($V244&gt;DateRef,"À prévoir à la reprise","À proposer (reprise passée)")))))</f>
        <v/>
      </c>
      <c r="X244" s="40"/>
      <c r="Y244" s="43" t="str">
        <f aca="false">IF(OR($B244="",$X244=""),"",EDATE($X244,DelaiMiCarriere))</f>
        <v/>
      </c>
      <c r="Z244" s="42" t="str">
        <f aca="false">IF(OR($B244="",$X244=""),"",IF(AND($I244&lt;&gt;"",$I244&lt;=DateRef),"",IF(AND($N244&lt;&gt;"",$N244&gt;=$X244),"Réalisé",IF($Y244&lt;DateRef,"En retard","À planifier"))))</f>
        <v/>
      </c>
      <c r="AA244" s="47" t="str">
        <f aca="false">IF(OR($B244="",$G244=""),"",IF($G244&gt;DateRef,"",DATEDIF($G244,DateRef,"y")))</f>
        <v/>
      </c>
      <c r="AB244" s="43" t="str">
        <f aca="false">IF(OR($B244="",$G244=""),"",EDATE($G244,AgeFinCarriere*12))</f>
        <v/>
      </c>
      <c r="AC244" s="42" t="str">
        <f aca="false">IF(OR($B244="",$G244="",$H244=""),"",IF(AND($I244&lt;&gt;"",$I244&lt;=DateRef),"",IF($AB244&lt;DateVigueur,"Non concerné",IF(AND($N244&lt;&gt;"",$N244&gt;=MAX(EDATE($AB244,-FenetreFinCarriere*12),DateVigueur),$N244&lt;=$AB244),"Réalisé",IF(DateRef&gt;$AB244,"Non réalisé",IF(AND($Q244&lt;&gt;"",$Q244&gt;=EDATE($AB244,-FenetreFinCarriere*12),$Q244&lt;=$AB244),"Planifié dans la fenêtre",IF(AND(MAX($P244,DateRef)&gt;=EDATE($AB244,-FenetreFinCarriere*12),MAX($P244,DateRef)&lt;=$AB244),"Prochain EPP dans la fenêtre",IF(MAX($P244,DateRef)&gt;$AB244,"À programmer avant 60 ans",""))))))))</f>
        <v/>
      </c>
      <c r="AD244" s="40"/>
      <c r="AE244" s="43" t="str">
        <f aca="false">IF(OR($B244="",$H244="",AND($I244&lt;&gt;"",$I244&lt;=DateRef)),"",MAX($H244,$AD244,IF($A244="",0,SUMPRODUCT(MAX((Journal!$A$6:$A$1005=$A244)*((Journal!$D$6:$D$1005=TypeEDL)+(Journal!$D$6:$D$1005=TypeBilan6))*Journal!$C$6:$C$1005)))))</f>
        <v/>
      </c>
      <c r="AF244" s="43" t="str">
        <f aca="false">IF($AE244="","",IF(AND(ReglesTransitoires="Oui",EDATE($AE244,AnciennePeriodiciteEDL*12)&lt;DateVigueur),EDATE($AE244,AnciennePeriodiciteEDL*12),EDATE($AE244,PeriodiciteEDL*12)))</f>
        <v/>
      </c>
      <c r="AG244" s="42" t="str">
        <f aca="false">IF($AF244="","",IF(AND($I244&lt;&gt;"",$I244&lt;=DateRef),"",IF($AF244&lt;DateRef,"En retard",IF($AF244-DateRef&lt;=SeuilAlerteEDL,"À prévoir","À jour"))))</f>
        <v/>
      </c>
      <c r="AH244" s="39"/>
      <c r="AI244" s="39"/>
      <c r="AJ244" s="42" t="str">
        <f aca="false">IF(OR($B244="",$H244=""),"",IF(AND($I244&lt;&gt;"",$I244&lt;=DateRef),"",IF(Effectif&lt;SeuilEffectif,"Non concerné (&lt; "&amp;SeuilEffectif&amp;" salariés)",IF($AH244="Oui","Pas de risque",IF(AND(OR($AI244="Non",$S244="En retard"),$AH244="Non"),"Risque abondement",IF(OR($AI244="Non",$S244="En retard"),"À vérifier (formation ?)",IF($AI244="Oui","Pas de risque","À compléter")))))))</f>
        <v/>
      </c>
      <c r="AK244" s="39"/>
    </row>
    <row r="245" customFormat="false" ht="15" hidden="false" customHeight="false" outlineLevel="0" collapsed="false">
      <c r="A245" s="39"/>
      <c r="B245" s="39"/>
      <c r="C245" s="39"/>
      <c r="D245" s="39"/>
      <c r="E245" s="39"/>
      <c r="F245" s="39"/>
      <c r="G245" s="40"/>
      <c r="H245" s="40"/>
      <c r="I245" s="40"/>
      <c r="J245" s="41" t="str">
        <f aca="false">IF(OR($B245="",$H245=""),"",IF($H245&gt;DateRef,0,YEARFRAC($H245,DateRef,1)))</f>
        <v/>
      </c>
      <c r="K245" s="42" t="str">
        <f aca="false">IF(OR($B245="",$H245=""),"",IF(EDATE($H245,12)&lt;=DateRef,"Plus d'un an","Moins d'un an"))</f>
        <v/>
      </c>
      <c r="L245" s="40"/>
      <c r="M245" s="43" t="str">
        <f aca="false">IF(OR($B245="",$A245=""),"",IF(SUMPRODUCT(MAX((Journal!$A$6:$A$1005=$A245)*Journal!$C$6:$C$1005))=0,"",SUMPRODUCT(MAX((Journal!$A$6:$A$1005=$A245)*Journal!$C$6:$C$1005))))</f>
        <v/>
      </c>
      <c r="N245" s="43" t="str">
        <f aca="false">IF($B245="","",IF(MAX($L245,$M245)=0,"",MAX($L245,$M245)))</f>
        <v/>
      </c>
      <c r="O245" s="44" t="str">
        <f aca="false">IF(OR($B245="",$H245=""),"",IF($N245="",IF(EDATE($H245,DelaiPremierEPP)&gt;DateRef,"1er EPP (1re année)","Aucun entretien renseigné"),IF(AND(ReglesTransitoires="Oui",EDATE($N245,AnciennePeriodiciteEP*12)&lt;DateVigueur),"Retard antérieur à la réforme","Périodicité "&amp;PeriodiciteEPP&amp;" ans")))</f>
        <v/>
      </c>
      <c r="P245" s="43" t="str">
        <f aca="false">IF(OR($B245="",$H245=""),"",IF($N245="",EDATE($H245,DelaiPremierEPP),IF(AND(ReglesTransitoires="Oui",EDATE($N245,AnciennePeriodiciteEP*12)&lt;DateVigueur),EDATE($N245,AnciennePeriodiciteEP*12),EDATE($N245,PeriodiciteEPP*12))))</f>
        <v/>
      </c>
      <c r="Q245" s="40"/>
      <c r="R245" s="45" t="str">
        <f aca="false">IF(OR($P245="",AND($I245&lt;&gt;"",$I245&lt;=DateRef)),"",$P245-DateRef)</f>
        <v/>
      </c>
      <c r="S245" s="42" t="str">
        <f aca="false">IF($B245="","",IF(AND($I245&lt;&gt;"",$I245&lt;=DateRef),"Sorti",IF($H245="","À compléter",IF(AND($Q245&lt;&gt;"",$Q245&gt;=DateRef,$Q245&lt;=$P245),"Planifié",IF($R245&lt;0,"En retard",IF($R245&lt;=SeuilAlerteEPP,"À planifier","À jour"))))))</f>
        <v/>
      </c>
      <c r="T245" s="46" t="str">
        <f aca="false">IF(OR($B245="",$S245="Sorti"),"",MID(IF($H245=""," | Date d'embauche manquante","")&amp;IF(AND($K245="Plus d'un an",$N245="")," | Précédent entretien à renseigner (ancienneté &gt; 1 an)","")&amp;IF($O245="Retard antérieur à la réforme"," | Ancien délai de 2 ans expiré avant la réforme","")&amp;IF(AND($N245&lt;&gt;"",$H245&lt;&gt;"",$N245&lt;$H245)," | Entretien antérieur à l'embauche ?","")&amp;IF(AND($N245&lt;&gt;"",$N245&gt;DateRef)," | Entretien daté dans le futur ?","")&amp;IF(AND($Q245&lt;&gt;"",$P245&lt;&gt;"",$Q245&gt;$P245)," | Date prévue après l'échéance","")&amp;IF(AND($Q245&lt;&gt;"",$Q245&lt;DateRef,OR($N245="",$N245&lt;$Q245))," | Entretien prévu passé : le consigner au Journal","")&amp;IF(AND($G245&lt;&gt;"",$X245="",YEAR(DateRef)-YEAR($G245)&gt;=AgeMiCarriere-1,YEAR(DateRef)-YEAR($G245)&lt;=AgeMiCarriere+1)," | Visite de mi-carrière à vérifier",""),4,1000))</f>
        <v/>
      </c>
      <c r="U245" s="39"/>
      <c r="V245" s="40"/>
      <c r="W245" s="42" t="str">
        <f aca="false">IF(OR($B245="",$V245=""),"",IF(AND($I245&lt;&gt;"",$I245&lt;=DateRef),"",IF(AND($N245&lt;&gt;"",$N245&gt;=$V245),"Réalisé",IF(AND($N245&lt;&gt;"",$N245&gt;=EDATE($V245,-FenetreRetour)),"Dispensé (EPP récent)",IF($V245&gt;DateRef,"À prévoir à la reprise","À proposer (reprise passée)")))))</f>
        <v/>
      </c>
      <c r="X245" s="40"/>
      <c r="Y245" s="43" t="str">
        <f aca="false">IF(OR($B245="",$X245=""),"",EDATE($X245,DelaiMiCarriere))</f>
        <v/>
      </c>
      <c r="Z245" s="42" t="str">
        <f aca="false">IF(OR($B245="",$X245=""),"",IF(AND($I245&lt;&gt;"",$I245&lt;=DateRef),"",IF(AND($N245&lt;&gt;"",$N245&gt;=$X245),"Réalisé",IF($Y245&lt;DateRef,"En retard","À planifier"))))</f>
        <v/>
      </c>
      <c r="AA245" s="47" t="str">
        <f aca="false">IF(OR($B245="",$G245=""),"",IF($G245&gt;DateRef,"",DATEDIF($G245,DateRef,"y")))</f>
        <v/>
      </c>
      <c r="AB245" s="43" t="str">
        <f aca="false">IF(OR($B245="",$G245=""),"",EDATE($G245,AgeFinCarriere*12))</f>
        <v/>
      </c>
      <c r="AC245" s="42" t="str">
        <f aca="false">IF(OR($B245="",$G245="",$H245=""),"",IF(AND($I245&lt;&gt;"",$I245&lt;=DateRef),"",IF($AB245&lt;DateVigueur,"Non concerné",IF(AND($N245&lt;&gt;"",$N245&gt;=MAX(EDATE($AB245,-FenetreFinCarriere*12),DateVigueur),$N245&lt;=$AB245),"Réalisé",IF(DateRef&gt;$AB245,"Non réalisé",IF(AND($Q245&lt;&gt;"",$Q245&gt;=EDATE($AB245,-FenetreFinCarriere*12),$Q245&lt;=$AB245),"Planifié dans la fenêtre",IF(AND(MAX($P245,DateRef)&gt;=EDATE($AB245,-FenetreFinCarriere*12),MAX($P245,DateRef)&lt;=$AB245),"Prochain EPP dans la fenêtre",IF(MAX($P245,DateRef)&gt;$AB245,"À programmer avant 60 ans",""))))))))</f>
        <v/>
      </c>
      <c r="AD245" s="40"/>
      <c r="AE245" s="43" t="str">
        <f aca="false">IF(OR($B245="",$H245="",AND($I245&lt;&gt;"",$I245&lt;=DateRef)),"",MAX($H245,$AD245,IF($A245="",0,SUMPRODUCT(MAX((Journal!$A$6:$A$1005=$A245)*((Journal!$D$6:$D$1005=TypeEDL)+(Journal!$D$6:$D$1005=TypeBilan6))*Journal!$C$6:$C$1005)))))</f>
        <v/>
      </c>
      <c r="AF245" s="43" t="str">
        <f aca="false">IF($AE245="","",IF(AND(ReglesTransitoires="Oui",EDATE($AE245,AnciennePeriodiciteEDL*12)&lt;DateVigueur),EDATE($AE245,AnciennePeriodiciteEDL*12),EDATE($AE245,PeriodiciteEDL*12)))</f>
        <v/>
      </c>
      <c r="AG245" s="42" t="str">
        <f aca="false">IF($AF245="","",IF(AND($I245&lt;&gt;"",$I245&lt;=DateRef),"",IF($AF245&lt;DateRef,"En retard",IF($AF245-DateRef&lt;=SeuilAlerteEDL,"À prévoir","À jour"))))</f>
        <v/>
      </c>
      <c r="AH245" s="39"/>
      <c r="AI245" s="39"/>
      <c r="AJ245" s="42" t="str">
        <f aca="false">IF(OR($B245="",$H245=""),"",IF(AND($I245&lt;&gt;"",$I245&lt;=DateRef),"",IF(Effectif&lt;SeuilEffectif,"Non concerné (&lt; "&amp;SeuilEffectif&amp;" salariés)",IF($AH245="Oui","Pas de risque",IF(AND(OR($AI245="Non",$S245="En retard"),$AH245="Non"),"Risque abondement",IF(OR($AI245="Non",$S245="En retard"),"À vérifier (formation ?)",IF($AI245="Oui","Pas de risque","À compléter")))))))</f>
        <v/>
      </c>
      <c r="AK245" s="39"/>
    </row>
    <row r="246" customFormat="false" ht="15" hidden="false" customHeight="false" outlineLevel="0" collapsed="false">
      <c r="A246" s="39"/>
      <c r="B246" s="39"/>
      <c r="C246" s="39"/>
      <c r="D246" s="39"/>
      <c r="E246" s="39"/>
      <c r="F246" s="39"/>
      <c r="G246" s="40"/>
      <c r="H246" s="40"/>
      <c r="I246" s="40"/>
      <c r="J246" s="41" t="str">
        <f aca="false">IF(OR($B246="",$H246=""),"",IF($H246&gt;DateRef,0,YEARFRAC($H246,DateRef,1)))</f>
        <v/>
      </c>
      <c r="K246" s="42" t="str">
        <f aca="false">IF(OR($B246="",$H246=""),"",IF(EDATE($H246,12)&lt;=DateRef,"Plus d'un an","Moins d'un an"))</f>
        <v/>
      </c>
      <c r="L246" s="40"/>
      <c r="M246" s="43" t="str">
        <f aca="false">IF(OR($B246="",$A246=""),"",IF(SUMPRODUCT(MAX((Journal!$A$6:$A$1005=$A246)*Journal!$C$6:$C$1005))=0,"",SUMPRODUCT(MAX((Journal!$A$6:$A$1005=$A246)*Journal!$C$6:$C$1005))))</f>
        <v/>
      </c>
      <c r="N246" s="43" t="str">
        <f aca="false">IF($B246="","",IF(MAX($L246,$M246)=0,"",MAX($L246,$M246)))</f>
        <v/>
      </c>
      <c r="O246" s="44" t="str">
        <f aca="false">IF(OR($B246="",$H246=""),"",IF($N246="",IF(EDATE($H246,DelaiPremierEPP)&gt;DateRef,"1er EPP (1re année)","Aucun entretien renseigné"),IF(AND(ReglesTransitoires="Oui",EDATE($N246,AnciennePeriodiciteEP*12)&lt;DateVigueur),"Retard antérieur à la réforme","Périodicité "&amp;PeriodiciteEPP&amp;" ans")))</f>
        <v/>
      </c>
      <c r="P246" s="43" t="str">
        <f aca="false">IF(OR($B246="",$H246=""),"",IF($N246="",EDATE($H246,DelaiPremierEPP),IF(AND(ReglesTransitoires="Oui",EDATE($N246,AnciennePeriodiciteEP*12)&lt;DateVigueur),EDATE($N246,AnciennePeriodiciteEP*12),EDATE($N246,PeriodiciteEPP*12))))</f>
        <v/>
      </c>
      <c r="Q246" s="40"/>
      <c r="R246" s="45" t="str">
        <f aca="false">IF(OR($P246="",AND($I246&lt;&gt;"",$I246&lt;=DateRef)),"",$P246-DateRef)</f>
        <v/>
      </c>
      <c r="S246" s="42" t="str">
        <f aca="false">IF($B246="","",IF(AND($I246&lt;&gt;"",$I246&lt;=DateRef),"Sorti",IF($H246="","À compléter",IF(AND($Q246&lt;&gt;"",$Q246&gt;=DateRef,$Q246&lt;=$P246),"Planifié",IF($R246&lt;0,"En retard",IF($R246&lt;=SeuilAlerteEPP,"À planifier","À jour"))))))</f>
        <v/>
      </c>
      <c r="T246" s="46" t="str">
        <f aca="false">IF(OR($B246="",$S246="Sorti"),"",MID(IF($H246=""," | Date d'embauche manquante","")&amp;IF(AND($K246="Plus d'un an",$N246="")," | Précédent entretien à renseigner (ancienneté &gt; 1 an)","")&amp;IF($O246="Retard antérieur à la réforme"," | Ancien délai de 2 ans expiré avant la réforme","")&amp;IF(AND($N246&lt;&gt;"",$H246&lt;&gt;"",$N246&lt;$H246)," | Entretien antérieur à l'embauche ?","")&amp;IF(AND($N246&lt;&gt;"",$N246&gt;DateRef)," | Entretien daté dans le futur ?","")&amp;IF(AND($Q246&lt;&gt;"",$P246&lt;&gt;"",$Q246&gt;$P246)," | Date prévue après l'échéance","")&amp;IF(AND($Q246&lt;&gt;"",$Q246&lt;DateRef,OR($N246="",$N246&lt;$Q246))," | Entretien prévu passé : le consigner au Journal","")&amp;IF(AND($G246&lt;&gt;"",$X246="",YEAR(DateRef)-YEAR($G246)&gt;=AgeMiCarriere-1,YEAR(DateRef)-YEAR($G246)&lt;=AgeMiCarriere+1)," | Visite de mi-carrière à vérifier",""),4,1000))</f>
        <v/>
      </c>
      <c r="U246" s="39"/>
      <c r="V246" s="40"/>
      <c r="W246" s="42" t="str">
        <f aca="false">IF(OR($B246="",$V246=""),"",IF(AND($I246&lt;&gt;"",$I246&lt;=DateRef),"",IF(AND($N246&lt;&gt;"",$N246&gt;=$V246),"Réalisé",IF(AND($N246&lt;&gt;"",$N246&gt;=EDATE($V246,-FenetreRetour)),"Dispensé (EPP récent)",IF($V246&gt;DateRef,"À prévoir à la reprise","À proposer (reprise passée)")))))</f>
        <v/>
      </c>
      <c r="X246" s="40"/>
      <c r="Y246" s="43" t="str">
        <f aca="false">IF(OR($B246="",$X246=""),"",EDATE($X246,DelaiMiCarriere))</f>
        <v/>
      </c>
      <c r="Z246" s="42" t="str">
        <f aca="false">IF(OR($B246="",$X246=""),"",IF(AND($I246&lt;&gt;"",$I246&lt;=DateRef),"",IF(AND($N246&lt;&gt;"",$N246&gt;=$X246),"Réalisé",IF($Y246&lt;DateRef,"En retard","À planifier"))))</f>
        <v/>
      </c>
      <c r="AA246" s="47" t="str">
        <f aca="false">IF(OR($B246="",$G246=""),"",IF($G246&gt;DateRef,"",DATEDIF($G246,DateRef,"y")))</f>
        <v/>
      </c>
      <c r="AB246" s="43" t="str">
        <f aca="false">IF(OR($B246="",$G246=""),"",EDATE($G246,AgeFinCarriere*12))</f>
        <v/>
      </c>
      <c r="AC246" s="42" t="str">
        <f aca="false">IF(OR($B246="",$G246="",$H246=""),"",IF(AND($I246&lt;&gt;"",$I246&lt;=DateRef),"",IF($AB246&lt;DateVigueur,"Non concerné",IF(AND($N246&lt;&gt;"",$N246&gt;=MAX(EDATE($AB246,-FenetreFinCarriere*12),DateVigueur),$N246&lt;=$AB246),"Réalisé",IF(DateRef&gt;$AB246,"Non réalisé",IF(AND($Q246&lt;&gt;"",$Q246&gt;=EDATE($AB246,-FenetreFinCarriere*12),$Q246&lt;=$AB246),"Planifié dans la fenêtre",IF(AND(MAX($P246,DateRef)&gt;=EDATE($AB246,-FenetreFinCarriere*12),MAX($P246,DateRef)&lt;=$AB246),"Prochain EPP dans la fenêtre",IF(MAX($P246,DateRef)&gt;$AB246,"À programmer avant 60 ans",""))))))))</f>
        <v/>
      </c>
      <c r="AD246" s="40"/>
      <c r="AE246" s="43" t="str">
        <f aca="false">IF(OR($B246="",$H246="",AND($I246&lt;&gt;"",$I246&lt;=DateRef)),"",MAX($H246,$AD246,IF($A246="",0,SUMPRODUCT(MAX((Journal!$A$6:$A$1005=$A246)*((Journal!$D$6:$D$1005=TypeEDL)+(Journal!$D$6:$D$1005=TypeBilan6))*Journal!$C$6:$C$1005)))))</f>
        <v/>
      </c>
      <c r="AF246" s="43" t="str">
        <f aca="false">IF($AE246="","",IF(AND(ReglesTransitoires="Oui",EDATE($AE246,AnciennePeriodiciteEDL*12)&lt;DateVigueur),EDATE($AE246,AnciennePeriodiciteEDL*12),EDATE($AE246,PeriodiciteEDL*12)))</f>
        <v/>
      </c>
      <c r="AG246" s="42" t="str">
        <f aca="false">IF($AF246="","",IF(AND($I246&lt;&gt;"",$I246&lt;=DateRef),"",IF($AF246&lt;DateRef,"En retard",IF($AF246-DateRef&lt;=SeuilAlerteEDL,"À prévoir","À jour"))))</f>
        <v/>
      </c>
      <c r="AH246" s="39"/>
      <c r="AI246" s="39"/>
      <c r="AJ246" s="42" t="str">
        <f aca="false">IF(OR($B246="",$H246=""),"",IF(AND($I246&lt;&gt;"",$I246&lt;=DateRef),"",IF(Effectif&lt;SeuilEffectif,"Non concerné (&lt; "&amp;SeuilEffectif&amp;" salariés)",IF($AH246="Oui","Pas de risque",IF(AND(OR($AI246="Non",$S246="En retard"),$AH246="Non"),"Risque abondement",IF(OR($AI246="Non",$S246="En retard"),"À vérifier (formation ?)",IF($AI246="Oui","Pas de risque","À compléter")))))))</f>
        <v/>
      </c>
      <c r="AK246" s="39"/>
    </row>
    <row r="247" customFormat="false" ht="15" hidden="false" customHeight="false" outlineLevel="0" collapsed="false">
      <c r="A247" s="39"/>
      <c r="B247" s="39"/>
      <c r="C247" s="39"/>
      <c r="D247" s="39"/>
      <c r="E247" s="39"/>
      <c r="F247" s="39"/>
      <c r="G247" s="40"/>
      <c r="H247" s="40"/>
      <c r="I247" s="40"/>
      <c r="J247" s="41" t="str">
        <f aca="false">IF(OR($B247="",$H247=""),"",IF($H247&gt;DateRef,0,YEARFRAC($H247,DateRef,1)))</f>
        <v/>
      </c>
      <c r="K247" s="42" t="str">
        <f aca="false">IF(OR($B247="",$H247=""),"",IF(EDATE($H247,12)&lt;=DateRef,"Plus d'un an","Moins d'un an"))</f>
        <v/>
      </c>
      <c r="L247" s="40"/>
      <c r="M247" s="43" t="str">
        <f aca="false">IF(OR($B247="",$A247=""),"",IF(SUMPRODUCT(MAX((Journal!$A$6:$A$1005=$A247)*Journal!$C$6:$C$1005))=0,"",SUMPRODUCT(MAX((Journal!$A$6:$A$1005=$A247)*Journal!$C$6:$C$1005))))</f>
        <v/>
      </c>
      <c r="N247" s="43" t="str">
        <f aca="false">IF($B247="","",IF(MAX($L247,$M247)=0,"",MAX($L247,$M247)))</f>
        <v/>
      </c>
      <c r="O247" s="44" t="str">
        <f aca="false">IF(OR($B247="",$H247=""),"",IF($N247="",IF(EDATE($H247,DelaiPremierEPP)&gt;DateRef,"1er EPP (1re année)","Aucun entretien renseigné"),IF(AND(ReglesTransitoires="Oui",EDATE($N247,AnciennePeriodiciteEP*12)&lt;DateVigueur),"Retard antérieur à la réforme","Périodicité "&amp;PeriodiciteEPP&amp;" ans")))</f>
        <v/>
      </c>
      <c r="P247" s="43" t="str">
        <f aca="false">IF(OR($B247="",$H247=""),"",IF($N247="",EDATE($H247,DelaiPremierEPP),IF(AND(ReglesTransitoires="Oui",EDATE($N247,AnciennePeriodiciteEP*12)&lt;DateVigueur),EDATE($N247,AnciennePeriodiciteEP*12),EDATE($N247,PeriodiciteEPP*12))))</f>
        <v/>
      </c>
      <c r="Q247" s="40"/>
      <c r="R247" s="45" t="str">
        <f aca="false">IF(OR($P247="",AND($I247&lt;&gt;"",$I247&lt;=DateRef)),"",$P247-DateRef)</f>
        <v/>
      </c>
      <c r="S247" s="42" t="str">
        <f aca="false">IF($B247="","",IF(AND($I247&lt;&gt;"",$I247&lt;=DateRef),"Sorti",IF($H247="","À compléter",IF(AND($Q247&lt;&gt;"",$Q247&gt;=DateRef,$Q247&lt;=$P247),"Planifié",IF($R247&lt;0,"En retard",IF($R247&lt;=SeuilAlerteEPP,"À planifier","À jour"))))))</f>
        <v/>
      </c>
      <c r="T247" s="46" t="str">
        <f aca="false">IF(OR($B247="",$S247="Sorti"),"",MID(IF($H247=""," | Date d'embauche manquante","")&amp;IF(AND($K247="Plus d'un an",$N247="")," | Précédent entretien à renseigner (ancienneté &gt; 1 an)","")&amp;IF($O247="Retard antérieur à la réforme"," | Ancien délai de 2 ans expiré avant la réforme","")&amp;IF(AND($N247&lt;&gt;"",$H247&lt;&gt;"",$N247&lt;$H247)," | Entretien antérieur à l'embauche ?","")&amp;IF(AND($N247&lt;&gt;"",$N247&gt;DateRef)," | Entretien daté dans le futur ?","")&amp;IF(AND($Q247&lt;&gt;"",$P247&lt;&gt;"",$Q247&gt;$P247)," | Date prévue après l'échéance","")&amp;IF(AND($Q247&lt;&gt;"",$Q247&lt;DateRef,OR($N247="",$N247&lt;$Q247))," | Entretien prévu passé : le consigner au Journal","")&amp;IF(AND($G247&lt;&gt;"",$X247="",YEAR(DateRef)-YEAR($G247)&gt;=AgeMiCarriere-1,YEAR(DateRef)-YEAR($G247)&lt;=AgeMiCarriere+1)," | Visite de mi-carrière à vérifier",""),4,1000))</f>
        <v/>
      </c>
      <c r="U247" s="39"/>
      <c r="V247" s="40"/>
      <c r="W247" s="42" t="str">
        <f aca="false">IF(OR($B247="",$V247=""),"",IF(AND($I247&lt;&gt;"",$I247&lt;=DateRef),"",IF(AND($N247&lt;&gt;"",$N247&gt;=$V247),"Réalisé",IF(AND($N247&lt;&gt;"",$N247&gt;=EDATE($V247,-FenetreRetour)),"Dispensé (EPP récent)",IF($V247&gt;DateRef,"À prévoir à la reprise","À proposer (reprise passée)")))))</f>
        <v/>
      </c>
      <c r="X247" s="40"/>
      <c r="Y247" s="43" t="str">
        <f aca="false">IF(OR($B247="",$X247=""),"",EDATE($X247,DelaiMiCarriere))</f>
        <v/>
      </c>
      <c r="Z247" s="42" t="str">
        <f aca="false">IF(OR($B247="",$X247=""),"",IF(AND($I247&lt;&gt;"",$I247&lt;=DateRef),"",IF(AND($N247&lt;&gt;"",$N247&gt;=$X247),"Réalisé",IF($Y247&lt;DateRef,"En retard","À planifier"))))</f>
        <v/>
      </c>
      <c r="AA247" s="47" t="str">
        <f aca="false">IF(OR($B247="",$G247=""),"",IF($G247&gt;DateRef,"",DATEDIF($G247,DateRef,"y")))</f>
        <v/>
      </c>
      <c r="AB247" s="43" t="str">
        <f aca="false">IF(OR($B247="",$G247=""),"",EDATE($G247,AgeFinCarriere*12))</f>
        <v/>
      </c>
      <c r="AC247" s="42" t="str">
        <f aca="false">IF(OR($B247="",$G247="",$H247=""),"",IF(AND($I247&lt;&gt;"",$I247&lt;=DateRef),"",IF($AB247&lt;DateVigueur,"Non concerné",IF(AND($N247&lt;&gt;"",$N247&gt;=MAX(EDATE($AB247,-FenetreFinCarriere*12),DateVigueur),$N247&lt;=$AB247),"Réalisé",IF(DateRef&gt;$AB247,"Non réalisé",IF(AND($Q247&lt;&gt;"",$Q247&gt;=EDATE($AB247,-FenetreFinCarriere*12),$Q247&lt;=$AB247),"Planifié dans la fenêtre",IF(AND(MAX($P247,DateRef)&gt;=EDATE($AB247,-FenetreFinCarriere*12),MAX($P247,DateRef)&lt;=$AB247),"Prochain EPP dans la fenêtre",IF(MAX($P247,DateRef)&gt;$AB247,"À programmer avant 60 ans",""))))))))</f>
        <v/>
      </c>
      <c r="AD247" s="40"/>
      <c r="AE247" s="43" t="str">
        <f aca="false">IF(OR($B247="",$H247="",AND($I247&lt;&gt;"",$I247&lt;=DateRef)),"",MAX($H247,$AD247,IF($A247="",0,SUMPRODUCT(MAX((Journal!$A$6:$A$1005=$A247)*((Journal!$D$6:$D$1005=TypeEDL)+(Journal!$D$6:$D$1005=TypeBilan6))*Journal!$C$6:$C$1005)))))</f>
        <v/>
      </c>
      <c r="AF247" s="43" t="str">
        <f aca="false">IF($AE247="","",IF(AND(ReglesTransitoires="Oui",EDATE($AE247,AnciennePeriodiciteEDL*12)&lt;DateVigueur),EDATE($AE247,AnciennePeriodiciteEDL*12),EDATE($AE247,PeriodiciteEDL*12)))</f>
        <v/>
      </c>
      <c r="AG247" s="42" t="str">
        <f aca="false">IF($AF247="","",IF(AND($I247&lt;&gt;"",$I247&lt;=DateRef),"",IF($AF247&lt;DateRef,"En retard",IF($AF247-DateRef&lt;=SeuilAlerteEDL,"À prévoir","À jour"))))</f>
        <v/>
      </c>
      <c r="AH247" s="39"/>
      <c r="AI247" s="39"/>
      <c r="AJ247" s="42" t="str">
        <f aca="false">IF(OR($B247="",$H247=""),"",IF(AND($I247&lt;&gt;"",$I247&lt;=DateRef),"",IF(Effectif&lt;SeuilEffectif,"Non concerné (&lt; "&amp;SeuilEffectif&amp;" salariés)",IF($AH247="Oui","Pas de risque",IF(AND(OR($AI247="Non",$S247="En retard"),$AH247="Non"),"Risque abondement",IF(OR($AI247="Non",$S247="En retard"),"À vérifier (formation ?)",IF($AI247="Oui","Pas de risque","À compléter")))))))</f>
        <v/>
      </c>
      <c r="AK247" s="39"/>
    </row>
    <row r="248" customFormat="false" ht="15" hidden="false" customHeight="false" outlineLevel="0" collapsed="false">
      <c r="A248" s="39"/>
      <c r="B248" s="39"/>
      <c r="C248" s="39"/>
      <c r="D248" s="39"/>
      <c r="E248" s="39"/>
      <c r="F248" s="39"/>
      <c r="G248" s="40"/>
      <c r="H248" s="40"/>
      <c r="I248" s="40"/>
      <c r="J248" s="41" t="str">
        <f aca="false">IF(OR($B248="",$H248=""),"",IF($H248&gt;DateRef,0,YEARFRAC($H248,DateRef,1)))</f>
        <v/>
      </c>
      <c r="K248" s="42" t="str">
        <f aca="false">IF(OR($B248="",$H248=""),"",IF(EDATE($H248,12)&lt;=DateRef,"Plus d'un an","Moins d'un an"))</f>
        <v/>
      </c>
      <c r="L248" s="40"/>
      <c r="M248" s="43" t="str">
        <f aca="false">IF(OR($B248="",$A248=""),"",IF(SUMPRODUCT(MAX((Journal!$A$6:$A$1005=$A248)*Journal!$C$6:$C$1005))=0,"",SUMPRODUCT(MAX((Journal!$A$6:$A$1005=$A248)*Journal!$C$6:$C$1005))))</f>
        <v/>
      </c>
      <c r="N248" s="43" t="str">
        <f aca="false">IF($B248="","",IF(MAX($L248,$M248)=0,"",MAX($L248,$M248)))</f>
        <v/>
      </c>
      <c r="O248" s="44" t="str">
        <f aca="false">IF(OR($B248="",$H248=""),"",IF($N248="",IF(EDATE($H248,DelaiPremierEPP)&gt;DateRef,"1er EPP (1re année)","Aucun entretien renseigné"),IF(AND(ReglesTransitoires="Oui",EDATE($N248,AnciennePeriodiciteEP*12)&lt;DateVigueur),"Retard antérieur à la réforme","Périodicité "&amp;PeriodiciteEPP&amp;" ans")))</f>
        <v/>
      </c>
      <c r="P248" s="43" t="str">
        <f aca="false">IF(OR($B248="",$H248=""),"",IF($N248="",EDATE($H248,DelaiPremierEPP),IF(AND(ReglesTransitoires="Oui",EDATE($N248,AnciennePeriodiciteEP*12)&lt;DateVigueur),EDATE($N248,AnciennePeriodiciteEP*12),EDATE($N248,PeriodiciteEPP*12))))</f>
        <v/>
      </c>
      <c r="Q248" s="40"/>
      <c r="R248" s="45" t="str">
        <f aca="false">IF(OR($P248="",AND($I248&lt;&gt;"",$I248&lt;=DateRef)),"",$P248-DateRef)</f>
        <v/>
      </c>
      <c r="S248" s="42" t="str">
        <f aca="false">IF($B248="","",IF(AND($I248&lt;&gt;"",$I248&lt;=DateRef),"Sorti",IF($H248="","À compléter",IF(AND($Q248&lt;&gt;"",$Q248&gt;=DateRef,$Q248&lt;=$P248),"Planifié",IF($R248&lt;0,"En retard",IF($R248&lt;=SeuilAlerteEPP,"À planifier","À jour"))))))</f>
        <v/>
      </c>
      <c r="T248" s="46" t="str">
        <f aca="false">IF(OR($B248="",$S248="Sorti"),"",MID(IF($H248=""," | Date d'embauche manquante","")&amp;IF(AND($K248="Plus d'un an",$N248="")," | Précédent entretien à renseigner (ancienneté &gt; 1 an)","")&amp;IF($O248="Retard antérieur à la réforme"," | Ancien délai de 2 ans expiré avant la réforme","")&amp;IF(AND($N248&lt;&gt;"",$H248&lt;&gt;"",$N248&lt;$H248)," | Entretien antérieur à l'embauche ?","")&amp;IF(AND($N248&lt;&gt;"",$N248&gt;DateRef)," | Entretien daté dans le futur ?","")&amp;IF(AND($Q248&lt;&gt;"",$P248&lt;&gt;"",$Q248&gt;$P248)," | Date prévue après l'échéance","")&amp;IF(AND($Q248&lt;&gt;"",$Q248&lt;DateRef,OR($N248="",$N248&lt;$Q248))," | Entretien prévu passé : le consigner au Journal","")&amp;IF(AND($G248&lt;&gt;"",$X248="",YEAR(DateRef)-YEAR($G248)&gt;=AgeMiCarriere-1,YEAR(DateRef)-YEAR($G248)&lt;=AgeMiCarriere+1)," | Visite de mi-carrière à vérifier",""),4,1000))</f>
        <v/>
      </c>
      <c r="U248" s="39"/>
      <c r="V248" s="40"/>
      <c r="W248" s="42" t="str">
        <f aca="false">IF(OR($B248="",$V248=""),"",IF(AND($I248&lt;&gt;"",$I248&lt;=DateRef),"",IF(AND($N248&lt;&gt;"",$N248&gt;=$V248),"Réalisé",IF(AND($N248&lt;&gt;"",$N248&gt;=EDATE($V248,-FenetreRetour)),"Dispensé (EPP récent)",IF($V248&gt;DateRef,"À prévoir à la reprise","À proposer (reprise passée)")))))</f>
        <v/>
      </c>
      <c r="X248" s="40"/>
      <c r="Y248" s="43" t="str">
        <f aca="false">IF(OR($B248="",$X248=""),"",EDATE($X248,DelaiMiCarriere))</f>
        <v/>
      </c>
      <c r="Z248" s="42" t="str">
        <f aca="false">IF(OR($B248="",$X248=""),"",IF(AND($I248&lt;&gt;"",$I248&lt;=DateRef),"",IF(AND($N248&lt;&gt;"",$N248&gt;=$X248),"Réalisé",IF($Y248&lt;DateRef,"En retard","À planifier"))))</f>
        <v/>
      </c>
      <c r="AA248" s="47" t="str">
        <f aca="false">IF(OR($B248="",$G248=""),"",IF($G248&gt;DateRef,"",DATEDIF($G248,DateRef,"y")))</f>
        <v/>
      </c>
      <c r="AB248" s="43" t="str">
        <f aca="false">IF(OR($B248="",$G248=""),"",EDATE($G248,AgeFinCarriere*12))</f>
        <v/>
      </c>
      <c r="AC248" s="42" t="str">
        <f aca="false">IF(OR($B248="",$G248="",$H248=""),"",IF(AND($I248&lt;&gt;"",$I248&lt;=DateRef),"",IF($AB248&lt;DateVigueur,"Non concerné",IF(AND($N248&lt;&gt;"",$N248&gt;=MAX(EDATE($AB248,-FenetreFinCarriere*12),DateVigueur),$N248&lt;=$AB248),"Réalisé",IF(DateRef&gt;$AB248,"Non réalisé",IF(AND($Q248&lt;&gt;"",$Q248&gt;=EDATE($AB248,-FenetreFinCarriere*12),$Q248&lt;=$AB248),"Planifié dans la fenêtre",IF(AND(MAX($P248,DateRef)&gt;=EDATE($AB248,-FenetreFinCarriere*12),MAX($P248,DateRef)&lt;=$AB248),"Prochain EPP dans la fenêtre",IF(MAX($P248,DateRef)&gt;$AB248,"À programmer avant 60 ans",""))))))))</f>
        <v/>
      </c>
      <c r="AD248" s="40"/>
      <c r="AE248" s="43" t="str">
        <f aca="false">IF(OR($B248="",$H248="",AND($I248&lt;&gt;"",$I248&lt;=DateRef)),"",MAX($H248,$AD248,IF($A248="",0,SUMPRODUCT(MAX((Journal!$A$6:$A$1005=$A248)*((Journal!$D$6:$D$1005=TypeEDL)+(Journal!$D$6:$D$1005=TypeBilan6))*Journal!$C$6:$C$1005)))))</f>
        <v/>
      </c>
      <c r="AF248" s="43" t="str">
        <f aca="false">IF($AE248="","",IF(AND(ReglesTransitoires="Oui",EDATE($AE248,AnciennePeriodiciteEDL*12)&lt;DateVigueur),EDATE($AE248,AnciennePeriodiciteEDL*12),EDATE($AE248,PeriodiciteEDL*12)))</f>
        <v/>
      </c>
      <c r="AG248" s="42" t="str">
        <f aca="false">IF($AF248="","",IF(AND($I248&lt;&gt;"",$I248&lt;=DateRef),"",IF($AF248&lt;DateRef,"En retard",IF($AF248-DateRef&lt;=SeuilAlerteEDL,"À prévoir","À jour"))))</f>
        <v/>
      </c>
      <c r="AH248" s="39"/>
      <c r="AI248" s="39"/>
      <c r="AJ248" s="42" t="str">
        <f aca="false">IF(OR($B248="",$H248=""),"",IF(AND($I248&lt;&gt;"",$I248&lt;=DateRef),"",IF(Effectif&lt;SeuilEffectif,"Non concerné (&lt; "&amp;SeuilEffectif&amp;" salariés)",IF($AH248="Oui","Pas de risque",IF(AND(OR($AI248="Non",$S248="En retard"),$AH248="Non"),"Risque abondement",IF(OR($AI248="Non",$S248="En retard"),"À vérifier (formation ?)",IF($AI248="Oui","Pas de risque","À compléter")))))))</f>
        <v/>
      </c>
      <c r="AK248" s="39"/>
    </row>
    <row r="249" customFormat="false" ht="15" hidden="false" customHeight="false" outlineLevel="0" collapsed="false">
      <c r="A249" s="39"/>
      <c r="B249" s="39"/>
      <c r="C249" s="39"/>
      <c r="D249" s="39"/>
      <c r="E249" s="39"/>
      <c r="F249" s="39"/>
      <c r="G249" s="40"/>
      <c r="H249" s="40"/>
      <c r="I249" s="40"/>
      <c r="J249" s="41" t="str">
        <f aca="false">IF(OR($B249="",$H249=""),"",IF($H249&gt;DateRef,0,YEARFRAC($H249,DateRef,1)))</f>
        <v/>
      </c>
      <c r="K249" s="42" t="str">
        <f aca="false">IF(OR($B249="",$H249=""),"",IF(EDATE($H249,12)&lt;=DateRef,"Plus d'un an","Moins d'un an"))</f>
        <v/>
      </c>
      <c r="L249" s="40"/>
      <c r="M249" s="43" t="str">
        <f aca="false">IF(OR($B249="",$A249=""),"",IF(SUMPRODUCT(MAX((Journal!$A$6:$A$1005=$A249)*Journal!$C$6:$C$1005))=0,"",SUMPRODUCT(MAX((Journal!$A$6:$A$1005=$A249)*Journal!$C$6:$C$1005))))</f>
        <v/>
      </c>
      <c r="N249" s="43" t="str">
        <f aca="false">IF($B249="","",IF(MAX($L249,$M249)=0,"",MAX($L249,$M249)))</f>
        <v/>
      </c>
      <c r="O249" s="44" t="str">
        <f aca="false">IF(OR($B249="",$H249=""),"",IF($N249="",IF(EDATE($H249,DelaiPremierEPP)&gt;DateRef,"1er EPP (1re année)","Aucun entretien renseigné"),IF(AND(ReglesTransitoires="Oui",EDATE($N249,AnciennePeriodiciteEP*12)&lt;DateVigueur),"Retard antérieur à la réforme","Périodicité "&amp;PeriodiciteEPP&amp;" ans")))</f>
        <v/>
      </c>
      <c r="P249" s="43" t="str">
        <f aca="false">IF(OR($B249="",$H249=""),"",IF($N249="",EDATE($H249,DelaiPremierEPP),IF(AND(ReglesTransitoires="Oui",EDATE($N249,AnciennePeriodiciteEP*12)&lt;DateVigueur),EDATE($N249,AnciennePeriodiciteEP*12),EDATE($N249,PeriodiciteEPP*12))))</f>
        <v/>
      </c>
      <c r="Q249" s="40"/>
      <c r="R249" s="45" t="str">
        <f aca="false">IF(OR($P249="",AND($I249&lt;&gt;"",$I249&lt;=DateRef)),"",$P249-DateRef)</f>
        <v/>
      </c>
      <c r="S249" s="42" t="str">
        <f aca="false">IF($B249="","",IF(AND($I249&lt;&gt;"",$I249&lt;=DateRef),"Sorti",IF($H249="","À compléter",IF(AND($Q249&lt;&gt;"",$Q249&gt;=DateRef,$Q249&lt;=$P249),"Planifié",IF($R249&lt;0,"En retard",IF($R249&lt;=SeuilAlerteEPP,"À planifier","À jour"))))))</f>
        <v/>
      </c>
      <c r="T249" s="46" t="str">
        <f aca="false">IF(OR($B249="",$S249="Sorti"),"",MID(IF($H249=""," | Date d'embauche manquante","")&amp;IF(AND($K249="Plus d'un an",$N249="")," | Précédent entretien à renseigner (ancienneté &gt; 1 an)","")&amp;IF($O249="Retard antérieur à la réforme"," | Ancien délai de 2 ans expiré avant la réforme","")&amp;IF(AND($N249&lt;&gt;"",$H249&lt;&gt;"",$N249&lt;$H249)," | Entretien antérieur à l'embauche ?","")&amp;IF(AND($N249&lt;&gt;"",$N249&gt;DateRef)," | Entretien daté dans le futur ?","")&amp;IF(AND($Q249&lt;&gt;"",$P249&lt;&gt;"",$Q249&gt;$P249)," | Date prévue après l'échéance","")&amp;IF(AND($Q249&lt;&gt;"",$Q249&lt;DateRef,OR($N249="",$N249&lt;$Q249))," | Entretien prévu passé : le consigner au Journal","")&amp;IF(AND($G249&lt;&gt;"",$X249="",YEAR(DateRef)-YEAR($G249)&gt;=AgeMiCarriere-1,YEAR(DateRef)-YEAR($G249)&lt;=AgeMiCarriere+1)," | Visite de mi-carrière à vérifier",""),4,1000))</f>
        <v/>
      </c>
      <c r="U249" s="39"/>
      <c r="V249" s="40"/>
      <c r="W249" s="42" t="str">
        <f aca="false">IF(OR($B249="",$V249=""),"",IF(AND($I249&lt;&gt;"",$I249&lt;=DateRef),"",IF(AND($N249&lt;&gt;"",$N249&gt;=$V249),"Réalisé",IF(AND($N249&lt;&gt;"",$N249&gt;=EDATE($V249,-FenetreRetour)),"Dispensé (EPP récent)",IF($V249&gt;DateRef,"À prévoir à la reprise","À proposer (reprise passée)")))))</f>
        <v/>
      </c>
      <c r="X249" s="40"/>
      <c r="Y249" s="43" t="str">
        <f aca="false">IF(OR($B249="",$X249=""),"",EDATE($X249,DelaiMiCarriere))</f>
        <v/>
      </c>
      <c r="Z249" s="42" t="str">
        <f aca="false">IF(OR($B249="",$X249=""),"",IF(AND($I249&lt;&gt;"",$I249&lt;=DateRef),"",IF(AND($N249&lt;&gt;"",$N249&gt;=$X249),"Réalisé",IF($Y249&lt;DateRef,"En retard","À planifier"))))</f>
        <v/>
      </c>
      <c r="AA249" s="47" t="str">
        <f aca="false">IF(OR($B249="",$G249=""),"",IF($G249&gt;DateRef,"",DATEDIF($G249,DateRef,"y")))</f>
        <v/>
      </c>
      <c r="AB249" s="43" t="str">
        <f aca="false">IF(OR($B249="",$G249=""),"",EDATE($G249,AgeFinCarriere*12))</f>
        <v/>
      </c>
      <c r="AC249" s="42" t="str">
        <f aca="false">IF(OR($B249="",$G249="",$H249=""),"",IF(AND($I249&lt;&gt;"",$I249&lt;=DateRef),"",IF($AB249&lt;DateVigueur,"Non concerné",IF(AND($N249&lt;&gt;"",$N249&gt;=MAX(EDATE($AB249,-FenetreFinCarriere*12),DateVigueur),$N249&lt;=$AB249),"Réalisé",IF(DateRef&gt;$AB249,"Non réalisé",IF(AND($Q249&lt;&gt;"",$Q249&gt;=EDATE($AB249,-FenetreFinCarriere*12),$Q249&lt;=$AB249),"Planifié dans la fenêtre",IF(AND(MAX($P249,DateRef)&gt;=EDATE($AB249,-FenetreFinCarriere*12),MAX($P249,DateRef)&lt;=$AB249),"Prochain EPP dans la fenêtre",IF(MAX($P249,DateRef)&gt;$AB249,"À programmer avant 60 ans",""))))))))</f>
        <v/>
      </c>
      <c r="AD249" s="40"/>
      <c r="AE249" s="43" t="str">
        <f aca="false">IF(OR($B249="",$H249="",AND($I249&lt;&gt;"",$I249&lt;=DateRef)),"",MAX($H249,$AD249,IF($A249="",0,SUMPRODUCT(MAX((Journal!$A$6:$A$1005=$A249)*((Journal!$D$6:$D$1005=TypeEDL)+(Journal!$D$6:$D$1005=TypeBilan6))*Journal!$C$6:$C$1005)))))</f>
        <v/>
      </c>
      <c r="AF249" s="43" t="str">
        <f aca="false">IF($AE249="","",IF(AND(ReglesTransitoires="Oui",EDATE($AE249,AnciennePeriodiciteEDL*12)&lt;DateVigueur),EDATE($AE249,AnciennePeriodiciteEDL*12),EDATE($AE249,PeriodiciteEDL*12)))</f>
        <v/>
      </c>
      <c r="AG249" s="42" t="str">
        <f aca="false">IF($AF249="","",IF(AND($I249&lt;&gt;"",$I249&lt;=DateRef),"",IF($AF249&lt;DateRef,"En retard",IF($AF249-DateRef&lt;=SeuilAlerteEDL,"À prévoir","À jour"))))</f>
        <v/>
      </c>
      <c r="AH249" s="39"/>
      <c r="AI249" s="39"/>
      <c r="AJ249" s="42" t="str">
        <f aca="false">IF(OR($B249="",$H249=""),"",IF(AND($I249&lt;&gt;"",$I249&lt;=DateRef),"",IF(Effectif&lt;SeuilEffectif,"Non concerné (&lt; "&amp;SeuilEffectif&amp;" salariés)",IF($AH249="Oui","Pas de risque",IF(AND(OR($AI249="Non",$S249="En retard"),$AH249="Non"),"Risque abondement",IF(OR($AI249="Non",$S249="En retard"),"À vérifier (formation ?)",IF($AI249="Oui","Pas de risque","À compléter")))))))</f>
        <v/>
      </c>
      <c r="AK249" s="39"/>
    </row>
    <row r="250" customFormat="false" ht="15" hidden="false" customHeight="false" outlineLevel="0" collapsed="false">
      <c r="A250" s="39"/>
      <c r="B250" s="39"/>
      <c r="C250" s="39"/>
      <c r="D250" s="39"/>
      <c r="E250" s="39"/>
      <c r="F250" s="39"/>
      <c r="G250" s="40"/>
      <c r="H250" s="40"/>
      <c r="I250" s="40"/>
      <c r="J250" s="41" t="str">
        <f aca="false">IF(OR($B250="",$H250=""),"",IF($H250&gt;DateRef,0,YEARFRAC($H250,DateRef,1)))</f>
        <v/>
      </c>
      <c r="K250" s="42" t="str">
        <f aca="false">IF(OR($B250="",$H250=""),"",IF(EDATE($H250,12)&lt;=DateRef,"Plus d'un an","Moins d'un an"))</f>
        <v/>
      </c>
      <c r="L250" s="40"/>
      <c r="M250" s="43" t="str">
        <f aca="false">IF(OR($B250="",$A250=""),"",IF(SUMPRODUCT(MAX((Journal!$A$6:$A$1005=$A250)*Journal!$C$6:$C$1005))=0,"",SUMPRODUCT(MAX((Journal!$A$6:$A$1005=$A250)*Journal!$C$6:$C$1005))))</f>
        <v/>
      </c>
      <c r="N250" s="43" t="str">
        <f aca="false">IF($B250="","",IF(MAX($L250,$M250)=0,"",MAX($L250,$M250)))</f>
        <v/>
      </c>
      <c r="O250" s="44" t="str">
        <f aca="false">IF(OR($B250="",$H250=""),"",IF($N250="",IF(EDATE($H250,DelaiPremierEPP)&gt;DateRef,"1er EPP (1re année)","Aucun entretien renseigné"),IF(AND(ReglesTransitoires="Oui",EDATE($N250,AnciennePeriodiciteEP*12)&lt;DateVigueur),"Retard antérieur à la réforme","Périodicité "&amp;PeriodiciteEPP&amp;" ans")))</f>
        <v/>
      </c>
      <c r="P250" s="43" t="str">
        <f aca="false">IF(OR($B250="",$H250=""),"",IF($N250="",EDATE($H250,DelaiPremierEPP),IF(AND(ReglesTransitoires="Oui",EDATE($N250,AnciennePeriodiciteEP*12)&lt;DateVigueur),EDATE($N250,AnciennePeriodiciteEP*12),EDATE($N250,PeriodiciteEPP*12))))</f>
        <v/>
      </c>
      <c r="Q250" s="40"/>
      <c r="R250" s="45" t="str">
        <f aca="false">IF(OR($P250="",AND($I250&lt;&gt;"",$I250&lt;=DateRef)),"",$P250-DateRef)</f>
        <v/>
      </c>
      <c r="S250" s="42" t="str">
        <f aca="false">IF($B250="","",IF(AND($I250&lt;&gt;"",$I250&lt;=DateRef),"Sorti",IF($H250="","À compléter",IF(AND($Q250&lt;&gt;"",$Q250&gt;=DateRef,$Q250&lt;=$P250),"Planifié",IF($R250&lt;0,"En retard",IF($R250&lt;=SeuilAlerteEPP,"À planifier","À jour"))))))</f>
        <v/>
      </c>
      <c r="T250" s="46" t="str">
        <f aca="false">IF(OR($B250="",$S250="Sorti"),"",MID(IF($H250=""," | Date d'embauche manquante","")&amp;IF(AND($K250="Plus d'un an",$N250="")," | Précédent entretien à renseigner (ancienneté &gt; 1 an)","")&amp;IF($O250="Retard antérieur à la réforme"," | Ancien délai de 2 ans expiré avant la réforme","")&amp;IF(AND($N250&lt;&gt;"",$H250&lt;&gt;"",$N250&lt;$H250)," | Entretien antérieur à l'embauche ?","")&amp;IF(AND($N250&lt;&gt;"",$N250&gt;DateRef)," | Entretien daté dans le futur ?","")&amp;IF(AND($Q250&lt;&gt;"",$P250&lt;&gt;"",$Q250&gt;$P250)," | Date prévue après l'échéance","")&amp;IF(AND($Q250&lt;&gt;"",$Q250&lt;DateRef,OR($N250="",$N250&lt;$Q250))," | Entretien prévu passé : le consigner au Journal","")&amp;IF(AND($G250&lt;&gt;"",$X250="",YEAR(DateRef)-YEAR($G250)&gt;=AgeMiCarriere-1,YEAR(DateRef)-YEAR($G250)&lt;=AgeMiCarriere+1)," | Visite de mi-carrière à vérifier",""),4,1000))</f>
        <v/>
      </c>
      <c r="U250" s="39"/>
      <c r="V250" s="40"/>
      <c r="W250" s="42" t="str">
        <f aca="false">IF(OR($B250="",$V250=""),"",IF(AND($I250&lt;&gt;"",$I250&lt;=DateRef),"",IF(AND($N250&lt;&gt;"",$N250&gt;=$V250),"Réalisé",IF(AND($N250&lt;&gt;"",$N250&gt;=EDATE($V250,-FenetreRetour)),"Dispensé (EPP récent)",IF($V250&gt;DateRef,"À prévoir à la reprise","À proposer (reprise passée)")))))</f>
        <v/>
      </c>
      <c r="X250" s="40"/>
      <c r="Y250" s="43" t="str">
        <f aca="false">IF(OR($B250="",$X250=""),"",EDATE($X250,DelaiMiCarriere))</f>
        <v/>
      </c>
      <c r="Z250" s="42" t="str">
        <f aca="false">IF(OR($B250="",$X250=""),"",IF(AND($I250&lt;&gt;"",$I250&lt;=DateRef),"",IF(AND($N250&lt;&gt;"",$N250&gt;=$X250),"Réalisé",IF($Y250&lt;DateRef,"En retard","À planifier"))))</f>
        <v/>
      </c>
      <c r="AA250" s="47" t="str">
        <f aca="false">IF(OR($B250="",$G250=""),"",IF($G250&gt;DateRef,"",DATEDIF($G250,DateRef,"y")))</f>
        <v/>
      </c>
      <c r="AB250" s="43" t="str">
        <f aca="false">IF(OR($B250="",$G250=""),"",EDATE($G250,AgeFinCarriere*12))</f>
        <v/>
      </c>
      <c r="AC250" s="42" t="str">
        <f aca="false">IF(OR($B250="",$G250="",$H250=""),"",IF(AND($I250&lt;&gt;"",$I250&lt;=DateRef),"",IF($AB250&lt;DateVigueur,"Non concerné",IF(AND($N250&lt;&gt;"",$N250&gt;=MAX(EDATE($AB250,-FenetreFinCarriere*12),DateVigueur),$N250&lt;=$AB250),"Réalisé",IF(DateRef&gt;$AB250,"Non réalisé",IF(AND($Q250&lt;&gt;"",$Q250&gt;=EDATE($AB250,-FenetreFinCarriere*12),$Q250&lt;=$AB250),"Planifié dans la fenêtre",IF(AND(MAX($P250,DateRef)&gt;=EDATE($AB250,-FenetreFinCarriere*12),MAX($P250,DateRef)&lt;=$AB250),"Prochain EPP dans la fenêtre",IF(MAX($P250,DateRef)&gt;$AB250,"À programmer avant 60 ans",""))))))))</f>
        <v/>
      </c>
      <c r="AD250" s="40"/>
      <c r="AE250" s="43" t="str">
        <f aca="false">IF(OR($B250="",$H250="",AND($I250&lt;&gt;"",$I250&lt;=DateRef)),"",MAX($H250,$AD250,IF($A250="",0,SUMPRODUCT(MAX((Journal!$A$6:$A$1005=$A250)*((Journal!$D$6:$D$1005=TypeEDL)+(Journal!$D$6:$D$1005=TypeBilan6))*Journal!$C$6:$C$1005)))))</f>
        <v/>
      </c>
      <c r="AF250" s="43" t="str">
        <f aca="false">IF($AE250="","",IF(AND(ReglesTransitoires="Oui",EDATE($AE250,AnciennePeriodiciteEDL*12)&lt;DateVigueur),EDATE($AE250,AnciennePeriodiciteEDL*12),EDATE($AE250,PeriodiciteEDL*12)))</f>
        <v/>
      </c>
      <c r="AG250" s="42" t="str">
        <f aca="false">IF($AF250="","",IF(AND($I250&lt;&gt;"",$I250&lt;=DateRef),"",IF($AF250&lt;DateRef,"En retard",IF($AF250-DateRef&lt;=SeuilAlerteEDL,"À prévoir","À jour"))))</f>
        <v/>
      </c>
      <c r="AH250" s="39"/>
      <c r="AI250" s="39"/>
      <c r="AJ250" s="42" t="str">
        <f aca="false">IF(OR($B250="",$H250=""),"",IF(AND($I250&lt;&gt;"",$I250&lt;=DateRef),"",IF(Effectif&lt;SeuilEffectif,"Non concerné (&lt; "&amp;SeuilEffectif&amp;" salariés)",IF($AH250="Oui","Pas de risque",IF(AND(OR($AI250="Non",$S250="En retard"),$AH250="Non"),"Risque abondement",IF(OR($AI250="Non",$S250="En retard"),"À vérifier (formation ?)",IF($AI250="Oui","Pas de risque","À compléter")))))))</f>
        <v/>
      </c>
      <c r="AK250" s="39"/>
    </row>
    <row r="251" customFormat="false" ht="15" hidden="false" customHeight="false" outlineLevel="0" collapsed="false">
      <c r="A251" s="39"/>
      <c r="B251" s="39"/>
      <c r="C251" s="39"/>
      <c r="D251" s="39"/>
      <c r="E251" s="39"/>
      <c r="F251" s="39"/>
      <c r="G251" s="40"/>
      <c r="H251" s="40"/>
      <c r="I251" s="40"/>
      <c r="J251" s="41" t="str">
        <f aca="false">IF(OR($B251="",$H251=""),"",IF($H251&gt;DateRef,0,YEARFRAC($H251,DateRef,1)))</f>
        <v/>
      </c>
      <c r="K251" s="42" t="str">
        <f aca="false">IF(OR($B251="",$H251=""),"",IF(EDATE($H251,12)&lt;=DateRef,"Plus d'un an","Moins d'un an"))</f>
        <v/>
      </c>
      <c r="L251" s="40"/>
      <c r="M251" s="43" t="str">
        <f aca="false">IF(OR($B251="",$A251=""),"",IF(SUMPRODUCT(MAX((Journal!$A$6:$A$1005=$A251)*Journal!$C$6:$C$1005))=0,"",SUMPRODUCT(MAX((Journal!$A$6:$A$1005=$A251)*Journal!$C$6:$C$1005))))</f>
        <v/>
      </c>
      <c r="N251" s="43" t="str">
        <f aca="false">IF($B251="","",IF(MAX($L251,$M251)=0,"",MAX($L251,$M251)))</f>
        <v/>
      </c>
      <c r="O251" s="44" t="str">
        <f aca="false">IF(OR($B251="",$H251=""),"",IF($N251="",IF(EDATE($H251,DelaiPremierEPP)&gt;DateRef,"1er EPP (1re année)","Aucun entretien renseigné"),IF(AND(ReglesTransitoires="Oui",EDATE($N251,AnciennePeriodiciteEP*12)&lt;DateVigueur),"Retard antérieur à la réforme","Périodicité "&amp;PeriodiciteEPP&amp;" ans")))</f>
        <v/>
      </c>
      <c r="P251" s="43" t="str">
        <f aca="false">IF(OR($B251="",$H251=""),"",IF($N251="",EDATE($H251,DelaiPremierEPP),IF(AND(ReglesTransitoires="Oui",EDATE($N251,AnciennePeriodiciteEP*12)&lt;DateVigueur),EDATE($N251,AnciennePeriodiciteEP*12),EDATE($N251,PeriodiciteEPP*12))))</f>
        <v/>
      </c>
      <c r="Q251" s="40"/>
      <c r="R251" s="45" t="str">
        <f aca="false">IF(OR($P251="",AND($I251&lt;&gt;"",$I251&lt;=DateRef)),"",$P251-DateRef)</f>
        <v/>
      </c>
      <c r="S251" s="42" t="str">
        <f aca="false">IF($B251="","",IF(AND($I251&lt;&gt;"",$I251&lt;=DateRef),"Sorti",IF($H251="","À compléter",IF(AND($Q251&lt;&gt;"",$Q251&gt;=DateRef,$Q251&lt;=$P251),"Planifié",IF($R251&lt;0,"En retard",IF($R251&lt;=SeuilAlerteEPP,"À planifier","À jour"))))))</f>
        <v/>
      </c>
      <c r="T251" s="46" t="str">
        <f aca="false">IF(OR($B251="",$S251="Sorti"),"",MID(IF($H251=""," | Date d'embauche manquante","")&amp;IF(AND($K251="Plus d'un an",$N251="")," | Précédent entretien à renseigner (ancienneté &gt; 1 an)","")&amp;IF($O251="Retard antérieur à la réforme"," | Ancien délai de 2 ans expiré avant la réforme","")&amp;IF(AND($N251&lt;&gt;"",$H251&lt;&gt;"",$N251&lt;$H251)," | Entretien antérieur à l'embauche ?","")&amp;IF(AND($N251&lt;&gt;"",$N251&gt;DateRef)," | Entretien daté dans le futur ?","")&amp;IF(AND($Q251&lt;&gt;"",$P251&lt;&gt;"",$Q251&gt;$P251)," | Date prévue après l'échéance","")&amp;IF(AND($Q251&lt;&gt;"",$Q251&lt;DateRef,OR($N251="",$N251&lt;$Q251))," | Entretien prévu passé : le consigner au Journal","")&amp;IF(AND($G251&lt;&gt;"",$X251="",YEAR(DateRef)-YEAR($G251)&gt;=AgeMiCarriere-1,YEAR(DateRef)-YEAR($G251)&lt;=AgeMiCarriere+1)," | Visite de mi-carrière à vérifier",""),4,1000))</f>
        <v/>
      </c>
      <c r="U251" s="39"/>
      <c r="V251" s="40"/>
      <c r="W251" s="42" t="str">
        <f aca="false">IF(OR($B251="",$V251=""),"",IF(AND($I251&lt;&gt;"",$I251&lt;=DateRef),"",IF(AND($N251&lt;&gt;"",$N251&gt;=$V251),"Réalisé",IF(AND($N251&lt;&gt;"",$N251&gt;=EDATE($V251,-FenetreRetour)),"Dispensé (EPP récent)",IF($V251&gt;DateRef,"À prévoir à la reprise","À proposer (reprise passée)")))))</f>
        <v/>
      </c>
      <c r="X251" s="40"/>
      <c r="Y251" s="43" t="str">
        <f aca="false">IF(OR($B251="",$X251=""),"",EDATE($X251,DelaiMiCarriere))</f>
        <v/>
      </c>
      <c r="Z251" s="42" t="str">
        <f aca="false">IF(OR($B251="",$X251=""),"",IF(AND($I251&lt;&gt;"",$I251&lt;=DateRef),"",IF(AND($N251&lt;&gt;"",$N251&gt;=$X251),"Réalisé",IF($Y251&lt;DateRef,"En retard","À planifier"))))</f>
        <v/>
      </c>
      <c r="AA251" s="47" t="str">
        <f aca="false">IF(OR($B251="",$G251=""),"",IF($G251&gt;DateRef,"",DATEDIF($G251,DateRef,"y")))</f>
        <v/>
      </c>
      <c r="AB251" s="43" t="str">
        <f aca="false">IF(OR($B251="",$G251=""),"",EDATE($G251,AgeFinCarriere*12))</f>
        <v/>
      </c>
      <c r="AC251" s="42" t="str">
        <f aca="false">IF(OR($B251="",$G251="",$H251=""),"",IF(AND($I251&lt;&gt;"",$I251&lt;=DateRef),"",IF($AB251&lt;DateVigueur,"Non concerné",IF(AND($N251&lt;&gt;"",$N251&gt;=MAX(EDATE($AB251,-FenetreFinCarriere*12),DateVigueur),$N251&lt;=$AB251),"Réalisé",IF(DateRef&gt;$AB251,"Non réalisé",IF(AND($Q251&lt;&gt;"",$Q251&gt;=EDATE($AB251,-FenetreFinCarriere*12),$Q251&lt;=$AB251),"Planifié dans la fenêtre",IF(AND(MAX($P251,DateRef)&gt;=EDATE($AB251,-FenetreFinCarriere*12),MAX($P251,DateRef)&lt;=$AB251),"Prochain EPP dans la fenêtre",IF(MAX($P251,DateRef)&gt;$AB251,"À programmer avant 60 ans",""))))))))</f>
        <v/>
      </c>
      <c r="AD251" s="40"/>
      <c r="AE251" s="43" t="str">
        <f aca="false">IF(OR($B251="",$H251="",AND($I251&lt;&gt;"",$I251&lt;=DateRef)),"",MAX($H251,$AD251,IF($A251="",0,SUMPRODUCT(MAX((Journal!$A$6:$A$1005=$A251)*((Journal!$D$6:$D$1005=TypeEDL)+(Journal!$D$6:$D$1005=TypeBilan6))*Journal!$C$6:$C$1005)))))</f>
        <v/>
      </c>
      <c r="AF251" s="43" t="str">
        <f aca="false">IF($AE251="","",IF(AND(ReglesTransitoires="Oui",EDATE($AE251,AnciennePeriodiciteEDL*12)&lt;DateVigueur),EDATE($AE251,AnciennePeriodiciteEDL*12),EDATE($AE251,PeriodiciteEDL*12)))</f>
        <v/>
      </c>
      <c r="AG251" s="42" t="str">
        <f aca="false">IF($AF251="","",IF(AND($I251&lt;&gt;"",$I251&lt;=DateRef),"",IF($AF251&lt;DateRef,"En retard",IF($AF251-DateRef&lt;=SeuilAlerteEDL,"À prévoir","À jour"))))</f>
        <v/>
      </c>
      <c r="AH251" s="39"/>
      <c r="AI251" s="39"/>
      <c r="AJ251" s="42" t="str">
        <f aca="false">IF(OR($B251="",$H251=""),"",IF(AND($I251&lt;&gt;"",$I251&lt;=DateRef),"",IF(Effectif&lt;SeuilEffectif,"Non concerné (&lt; "&amp;SeuilEffectif&amp;" salariés)",IF($AH251="Oui","Pas de risque",IF(AND(OR($AI251="Non",$S251="En retard"),$AH251="Non"),"Risque abondement",IF(OR($AI251="Non",$S251="En retard"),"À vérifier (formation ?)",IF($AI251="Oui","Pas de risque","À compléter")))))))</f>
        <v/>
      </c>
      <c r="AK251" s="39"/>
    </row>
    <row r="252" customFormat="false" ht="15" hidden="false" customHeight="false" outlineLevel="0" collapsed="false">
      <c r="A252" s="39"/>
      <c r="B252" s="39"/>
      <c r="C252" s="39"/>
      <c r="D252" s="39"/>
      <c r="E252" s="39"/>
      <c r="F252" s="39"/>
      <c r="G252" s="40"/>
      <c r="H252" s="40"/>
      <c r="I252" s="40"/>
      <c r="J252" s="41" t="str">
        <f aca="false">IF(OR($B252="",$H252=""),"",IF($H252&gt;DateRef,0,YEARFRAC($H252,DateRef,1)))</f>
        <v/>
      </c>
      <c r="K252" s="42" t="str">
        <f aca="false">IF(OR($B252="",$H252=""),"",IF(EDATE($H252,12)&lt;=DateRef,"Plus d'un an","Moins d'un an"))</f>
        <v/>
      </c>
      <c r="L252" s="40"/>
      <c r="M252" s="43" t="str">
        <f aca="false">IF(OR($B252="",$A252=""),"",IF(SUMPRODUCT(MAX((Journal!$A$6:$A$1005=$A252)*Journal!$C$6:$C$1005))=0,"",SUMPRODUCT(MAX((Journal!$A$6:$A$1005=$A252)*Journal!$C$6:$C$1005))))</f>
        <v/>
      </c>
      <c r="N252" s="43" t="str">
        <f aca="false">IF($B252="","",IF(MAX($L252,$M252)=0,"",MAX($L252,$M252)))</f>
        <v/>
      </c>
      <c r="O252" s="44" t="str">
        <f aca="false">IF(OR($B252="",$H252=""),"",IF($N252="",IF(EDATE($H252,DelaiPremierEPP)&gt;DateRef,"1er EPP (1re année)","Aucun entretien renseigné"),IF(AND(ReglesTransitoires="Oui",EDATE($N252,AnciennePeriodiciteEP*12)&lt;DateVigueur),"Retard antérieur à la réforme","Périodicité "&amp;PeriodiciteEPP&amp;" ans")))</f>
        <v/>
      </c>
      <c r="P252" s="43" t="str">
        <f aca="false">IF(OR($B252="",$H252=""),"",IF($N252="",EDATE($H252,DelaiPremierEPP),IF(AND(ReglesTransitoires="Oui",EDATE($N252,AnciennePeriodiciteEP*12)&lt;DateVigueur),EDATE($N252,AnciennePeriodiciteEP*12),EDATE($N252,PeriodiciteEPP*12))))</f>
        <v/>
      </c>
      <c r="Q252" s="40"/>
      <c r="R252" s="45" t="str">
        <f aca="false">IF(OR($P252="",AND($I252&lt;&gt;"",$I252&lt;=DateRef)),"",$P252-DateRef)</f>
        <v/>
      </c>
      <c r="S252" s="42" t="str">
        <f aca="false">IF($B252="","",IF(AND($I252&lt;&gt;"",$I252&lt;=DateRef),"Sorti",IF($H252="","À compléter",IF(AND($Q252&lt;&gt;"",$Q252&gt;=DateRef,$Q252&lt;=$P252),"Planifié",IF($R252&lt;0,"En retard",IF($R252&lt;=SeuilAlerteEPP,"À planifier","À jour"))))))</f>
        <v/>
      </c>
      <c r="T252" s="46" t="str">
        <f aca="false">IF(OR($B252="",$S252="Sorti"),"",MID(IF($H252=""," | Date d'embauche manquante","")&amp;IF(AND($K252="Plus d'un an",$N252="")," | Précédent entretien à renseigner (ancienneté &gt; 1 an)","")&amp;IF($O252="Retard antérieur à la réforme"," | Ancien délai de 2 ans expiré avant la réforme","")&amp;IF(AND($N252&lt;&gt;"",$H252&lt;&gt;"",$N252&lt;$H252)," | Entretien antérieur à l'embauche ?","")&amp;IF(AND($N252&lt;&gt;"",$N252&gt;DateRef)," | Entretien daté dans le futur ?","")&amp;IF(AND($Q252&lt;&gt;"",$P252&lt;&gt;"",$Q252&gt;$P252)," | Date prévue après l'échéance","")&amp;IF(AND($Q252&lt;&gt;"",$Q252&lt;DateRef,OR($N252="",$N252&lt;$Q252))," | Entretien prévu passé : le consigner au Journal","")&amp;IF(AND($G252&lt;&gt;"",$X252="",YEAR(DateRef)-YEAR($G252)&gt;=AgeMiCarriere-1,YEAR(DateRef)-YEAR($G252)&lt;=AgeMiCarriere+1)," | Visite de mi-carrière à vérifier",""),4,1000))</f>
        <v/>
      </c>
      <c r="U252" s="39"/>
      <c r="V252" s="40"/>
      <c r="W252" s="42" t="str">
        <f aca="false">IF(OR($B252="",$V252=""),"",IF(AND($I252&lt;&gt;"",$I252&lt;=DateRef),"",IF(AND($N252&lt;&gt;"",$N252&gt;=$V252),"Réalisé",IF(AND($N252&lt;&gt;"",$N252&gt;=EDATE($V252,-FenetreRetour)),"Dispensé (EPP récent)",IF($V252&gt;DateRef,"À prévoir à la reprise","À proposer (reprise passée)")))))</f>
        <v/>
      </c>
      <c r="X252" s="40"/>
      <c r="Y252" s="43" t="str">
        <f aca="false">IF(OR($B252="",$X252=""),"",EDATE($X252,DelaiMiCarriere))</f>
        <v/>
      </c>
      <c r="Z252" s="42" t="str">
        <f aca="false">IF(OR($B252="",$X252=""),"",IF(AND($I252&lt;&gt;"",$I252&lt;=DateRef),"",IF(AND($N252&lt;&gt;"",$N252&gt;=$X252),"Réalisé",IF($Y252&lt;DateRef,"En retard","À planifier"))))</f>
        <v/>
      </c>
      <c r="AA252" s="47" t="str">
        <f aca="false">IF(OR($B252="",$G252=""),"",IF($G252&gt;DateRef,"",DATEDIF($G252,DateRef,"y")))</f>
        <v/>
      </c>
      <c r="AB252" s="43" t="str">
        <f aca="false">IF(OR($B252="",$G252=""),"",EDATE($G252,AgeFinCarriere*12))</f>
        <v/>
      </c>
      <c r="AC252" s="42" t="str">
        <f aca="false">IF(OR($B252="",$G252="",$H252=""),"",IF(AND($I252&lt;&gt;"",$I252&lt;=DateRef),"",IF($AB252&lt;DateVigueur,"Non concerné",IF(AND($N252&lt;&gt;"",$N252&gt;=MAX(EDATE($AB252,-FenetreFinCarriere*12),DateVigueur),$N252&lt;=$AB252),"Réalisé",IF(DateRef&gt;$AB252,"Non réalisé",IF(AND($Q252&lt;&gt;"",$Q252&gt;=EDATE($AB252,-FenetreFinCarriere*12),$Q252&lt;=$AB252),"Planifié dans la fenêtre",IF(AND(MAX($P252,DateRef)&gt;=EDATE($AB252,-FenetreFinCarriere*12),MAX($P252,DateRef)&lt;=$AB252),"Prochain EPP dans la fenêtre",IF(MAX($P252,DateRef)&gt;$AB252,"À programmer avant 60 ans",""))))))))</f>
        <v/>
      </c>
      <c r="AD252" s="40"/>
      <c r="AE252" s="43" t="str">
        <f aca="false">IF(OR($B252="",$H252="",AND($I252&lt;&gt;"",$I252&lt;=DateRef)),"",MAX($H252,$AD252,IF($A252="",0,SUMPRODUCT(MAX((Journal!$A$6:$A$1005=$A252)*((Journal!$D$6:$D$1005=TypeEDL)+(Journal!$D$6:$D$1005=TypeBilan6))*Journal!$C$6:$C$1005)))))</f>
        <v/>
      </c>
      <c r="AF252" s="43" t="str">
        <f aca="false">IF($AE252="","",IF(AND(ReglesTransitoires="Oui",EDATE($AE252,AnciennePeriodiciteEDL*12)&lt;DateVigueur),EDATE($AE252,AnciennePeriodiciteEDL*12),EDATE($AE252,PeriodiciteEDL*12)))</f>
        <v/>
      </c>
      <c r="AG252" s="42" t="str">
        <f aca="false">IF($AF252="","",IF(AND($I252&lt;&gt;"",$I252&lt;=DateRef),"",IF($AF252&lt;DateRef,"En retard",IF($AF252-DateRef&lt;=SeuilAlerteEDL,"À prévoir","À jour"))))</f>
        <v/>
      </c>
      <c r="AH252" s="39"/>
      <c r="AI252" s="39"/>
      <c r="AJ252" s="42" t="str">
        <f aca="false">IF(OR($B252="",$H252=""),"",IF(AND($I252&lt;&gt;"",$I252&lt;=DateRef),"",IF(Effectif&lt;SeuilEffectif,"Non concerné (&lt; "&amp;SeuilEffectif&amp;" salariés)",IF($AH252="Oui","Pas de risque",IF(AND(OR($AI252="Non",$S252="En retard"),$AH252="Non"),"Risque abondement",IF(OR($AI252="Non",$S252="En retard"),"À vérifier (formation ?)",IF($AI252="Oui","Pas de risque","À compléter")))))))</f>
        <v/>
      </c>
      <c r="AK252" s="39"/>
    </row>
    <row r="253" customFormat="false" ht="15" hidden="false" customHeight="false" outlineLevel="0" collapsed="false">
      <c r="A253" s="39"/>
      <c r="B253" s="39"/>
      <c r="C253" s="39"/>
      <c r="D253" s="39"/>
      <c r="E253" s="39"/>
      <c r="F253" s="39"/>
      <c r="G253" s="40"/>
      <c r="H253" s="40"/>
      <c r="I253" s="40"/>
      <c r="J253" s="41" t="str">
        <f aca="false">IF(OR($B253="",$H253=""),"",IF($H253&gt;DateRef,0,YEARFRAC($H253,DateRef,1)))</f>
        <v/>
      </c>
      <c r="K253" s="42" t="str">
        <f aca="false">IF(OR($B253="",$H253=""),"",IF(EDATE($H253,12)&lt;=DateRef,"Plus d'un an","Moins d'un an"))</f>
        <v/>
      </c>
      <c r="L253" s="40"/>
      <c r="M253" s="43" t="str">
        <f aca="false">IF(OR($B253="",$A253=""),"",IF(SUMPRODUCT(MAX((Journal!$A$6:$A$1005=$A253)*Journal!$C$6:$C$1005))=0,"",SUMPRODUCT(MAX((Journal!$A$6:$A$1005=$A253)*Journal!$C$6:$C$1005))))</f>
        <v/>
      </c>
      <c r="N253" s="43" t="str">
        <f aca="false">IF($B253="","",IF(MAX($L253,$M253)=0,"",MAX($L253,$M253)))</f>
        <v/>
      </c>
      <c r="O253" s="44" t="str">
        <f aca="false">IF(OR($B253="",$H253=""),"",IF($N253="",IF(EDATE($H253,DelaiPremierEPP)&gt;DateRef,"1er EPP (1re année)","Aucun entretien renseigné"),IF(AND(ReglesTransitoires="Oui",EDATE($N253,AnciennePeriodiciteEP*12)&lt;DateVigueur),"Retard antérieur à la réforme","Périodicité "&amp;PeriodiciteEPP&amp;" ans")))</f>
        <v/>
      </c>
      <c r="P253" s="43" t="str">
        <f aca="false">IF(OR($B253="",$H253=""),"",IF($N253="",EDATE($H253,DelaiPremierEPP),IF(AND(ReglesTransitoires="Oui",EDATE($N253,AnciennePeriodiciteEP*12)&lt;DateVigueur),EDATE($N253,AnciennePeriodiciteEP*12),EDATE($N253,PeriodiciteEPP*12))))</f>
        <v/>
      </c>
      <c r="Q253" s="40"/>
      <c r="R253" s="45" t="str">
        <f aca="false">IF(OR($P253="",AND($I253&lt;&gt;"",$I253&lt;=DateRef)),"",$P253-DateRef)</f>
        <v/>
      </c>
      <c r="S253" s="42" t="str">
        <f aca="false">IF($B253="","",IF(AND($I253&lt;&gt;"",$I253&lt;=DateRef),"Sorti",IF($H253="","À compléter",IF(AND($Q253&lt;&gt;"",$Q253&gt;=DateRef,$Q253&lt;=$P253),"Planifié",IF($R253&lt;0,"En retard",IF($R253&lt;=SeuilAlerteEPP,"À planifier","À jour"))))))</f>
        <v/>
      </c>
      <c r="T253" s="46" t="str">
        <f aca="false">IF(OR($B253="",$S253="Sorti"),"",MID(IF($H253=""," | Date d'embauche manquante","")&amp;IF(AND($K253="Plus d'un an",$N253="")," | Précédent entretien à renseigner (ancienneté &gt; 1 an)","")&amp;IF($O253="Retard antérieur à la réforme"," | Ancien délai de 2 ans expiré avant la réforme","")&amp;IF(AND($N253&lt;&gt;"",$H253&lt;&gt;"",$N253&lt;$H253)," | Entretien antérieur à l'embauche ?","")&amp;IF(AND($N253&lt;&gt;"",$N253&gt;DateRef)," | Entretien daté dans le futur ?","")&amp;IF(AND($Q253&lt;&gt;"",$P253&lt;&gt;"",$Q253&gt;$P253)," | Date prévue après l'échéance","")&amp;IF(AND($Q253&lt;&gt;"",$Q253&lt;DateRef,OR($N253="",$N253&lt;$Q253))," | Entretien prévu passé : le consigner au Journal","")&amp;IF(AND($G253&lt;&gt;"",$X253="",YEAR(DateRef)-YEAR($G253)&gt;=AgeMiCarriere-1,YEAR(DateRef)-YEAR($G253)&lt;=AgeMiCarriere+1)," | Visite de mi-carrière à vérifier",""),4,1000))</f>
        <v/>
      </c>
      <c r="U253" s="39"/>
      <c r="V253" s="40"/>
      <c r="W253" s="42" t="str">
        <f aca="false">IF(OR($B253="",$V253=""),"",IF(AND($I253&lt;&gt;"",$I253&lt;=DateRef),"",IF(AND($N253&lt;&gt;"",$N253&gt;=$V253),"Réalisé",IF(AND($N253&lt;&gt;"",$N253&gt;=EDATE($V253,-FenetreRetour)),"Dispensé (EPP récent)",IF($V253&gt;DateRef,"À prévoir à la reprise","À proposer (reprise passée)")))))</f>
        <v/>
      </c>
      <c r="X253" s="40"/>
      <c r="Y253" s="43" t="str">
        <f aca="false">IF(OR($B253="",$X253=""),"",EDATE($X253,DelaiMiCarriere))</f>
        <v/>
      </c>
      <c r="Z253" s="42" t="str">
        <f aca="false">IF(OR($B253="",$X253=""),"",IF(AND($I253&lt;&gt;"",$I253&lt;=DateRef),"",IF(AND($N253&lt;&gt;"",$N253&gt;=$X253),"Réalisé",IF($Y253&lt;DateRef,"En retard","À planifier"))))</f>
        <v/>
      </c>
      <c r="AA253" s="47" t="str">
        <f aca="false">IF(OR($B253="",$G253=""),"",IF($G253&gt;DateRef,"",DATEDIF($G253,DateRef,"y")))</f>
        <v/>
      </c>
      <c r="AB253" s="43" t="str">
        <f aca="false">IF(OR($B253="",$G253=""),"",EDATE($G253,AgeFinCarriere*12))</f>
        <v/>
      </c>
      <c r="AC253" s="42" t="str">
        <f aca="false">IF(OR($B253="",$G253="",$H253=""),"",IF(AND($I253&lt;&gt;"",$I253&lt;=DateRef),"",IF($AB253&lt;DateVigueur,"Non concerné",IF(AND($N253&lt;&gt;"",$N253&gt;=MAX(EDATE($AB253,-FenetreFinCarriere*12),DateVigueur),$N253&lt;=$AB253),"Réalisé",IF(DateRef&gt;$AB253,"Non réalisé",IF(AND($Q253&lt;&gt;"",$Q253&gt;=EDATE($AB253,-FenetreFinCarriere*12),$Q253&lt;=$AB253),"Planifié dans la fenêtre",IF(AND(MAX($P253,DateRef)&gt;=EDATE($AB253,-FenetreFinCarriere*12),MAX($P253,DateRef)&lt;=$AB253),"Prochain EPP dans la fenêtre",IF(MAX($P253,DateRef)&gt;$AB253,"À programmer avant 60 ans",""))))))))</f>
        <v/>
      </c>
      <c r="AD253" s="40"/>
      <c r="AE253" s="43" t="str">
        <f aca="false">IF(OR($B253="",$H253="",AND($I253&lt;&gt;"",$I253&lt;=DateRef)),"",MAX($H253,$AD253,IF($A253="",0,SUMPRODUCT(MAX((Journal!$A$6:$A$1005=$A253)*((Journal!$D$6:$D$1005=TypeEDL)+(Journal!$D$6:$D$1005=TypeBilan6))*Journal!$C$6:$C$1005)))))</f>
        <v/>
      </c>
      <c r="AF253" s="43" t="str">
        <f aca="false">IF($AE253="","",IF(AND(ReglesTransitoires="Oui",EDATE($AE253,AnciennePeriodiciteEDL*12)&lt;DateVigueur),EDATE($AE253,AnciennePeriodiciteEDL*12),EDATE($AE253,PeriodiciteEDL*12)))</f>
        <v/>
      </c>
      <c r="AG253" s="42" t="str">
        <f aca="false">IF($AF253="","",IF(AND($I253&lt;&gt;"",$I253&lt;=DateRef),"",IF($AF253&lt;DateRef,"En retard",IF($AF253-DateRef&lt;=SeuilAlerteEDL,"À prévoir","À jour"))))</f>
        <v/>
      </c>
      <c r="AH253" s="39"/>
      <c r="AI253" s="39"/>
      <c r="AJ253" s="42" t="str">
        <f aca="false">IF(OR($B253="",$H253=""),"",IF(AND($I253&lt;&gt;"",$I253&lt;=DateRef),"",IF(Effectif&lt;SeuilEffectif,"Non concerné (&lt; "&amp;SeuilEffectif&amp;" salariés)",IF($AH253="Oui","Pas de risque",IF(AND(OR($AI253="Non",$S253="En retard"),$AH253="Non"),"Risque abondement",IF(OR($AI253="Non",$S253="En retard"),"À vérifier (formation ?)",IF($AI253="Oui","Pas de risque","À compléter")))))))</f>
        <v/>
      </c>
      <c r="AK253" s="39"/>
    </row>
    <row r="254" customFormat="false" ht="15" hidden="false" customHeight="false" outlineLevel="0" collapsed="false">
      <c r="A254" s="39"/>
      <c r="B254" s="39"/>
      <c r="C254" s="39"/>
      <c r="D254" s="39"/>
      <c r="E254" s="39"/>
      <c r="F254" s="39"/>
      <c r="G254" s="40"/>
      <c r="H254" s="40"/>
      <c r="I254" s="40"/>
      <c r="J254" s="41" t="str">
        <f aca="false">IF(OR($B254="",$H254=""),"",IF($H254&gt;DateRef,0,YEARFRAC($H254,DateRef,1)))</f>
        <v/>
      </c>
      <c r="K254" s="42" t="str">
        <f aca="false">IF(OR($B254="",$H254=""),"",IF(EDATE($H254,12)&lt;=DateRef,"Plus d'un an","Moins d'un an"))</f>
        <v/>
      </c>
      <c r="L254" s="40"/>
      <c r="M254" s="43" t="str">
        <f aca="false">IF(OR($B254="",$A254=""),"",IF(SUMPRODUCT(MAX((Journal!$A$6:$A$1005=$A254)*Journal!$C$6:$C$1005))=0,"",SUMPRODUCT(MAX((Journal!$A$6:$A$1005=$A254)*Journal!$C$6:$C$1005))))</f>
        <v/>
      </c>
      <c r="N254" s="43" t="str">
        <f aca="false">IF($B254="","",IF(MAX($L254,$M254)=0,"",MAX($L254,$M254)))</f>
        <v/>
      </c>
      <c r="O254" s="44" t="str">
        <f aca="false">IF(OR($B254="",$H254=""),"",IF($N254="",IF(EDATE($H254,DelaiPremierEPP)&gt;DateRef,"1er EPP (1re année)","Aucun entretien renseigné"),IF(AND(ReglesTransitoires="Oui",EDATE($N254,AnciennePeriodiciteEP*12)&lt;DateVigueur),"Retard antérieur à la réforme","Périodicité "&amp;PeriodiciteEPP&amp;" ans")))</f>
        <v/>
      </c>
      <c r="P254" s="43" t="str">
        <f aca="false">IF(OR($B254="",$H254=""),"",IF($N254="",EDATE($H254,DelaiPremierEPP),IF(AND(ReglesTransitoires="Oui",EDATE($N254,AnciennePeriodiciteEP*12)&lt;DateVigueur),EDATE($N254,AnciennePeriodiciteEP*12),EDATE($N254,PeriodiciteEPP*12))))</f>
        <v/>
      </c>
      <c r="Q254" s="40"/>
      <c r="R254" s="45" t="str">
        <f aca="false">IF(OR($P254="",AND($I254&lt;&gt;"",$I254&lt;=DateRef)),"",$P254-DateRef)</f>
        <v/>
      </c>
      <c r="S254" s="42" t="str">
        <f aca="false">IF($B254="","",IF(AND($I254&lt;&gt;"",$I254&lt;=DateRef),"Sorti",IF($H254="","À compléter",IF(AND($Q254&lt;&gt;"",$Q254&gt;=DateRef,$Q254&lt;=$P254),"Planifié",IF($R254&lt;0,"En retard",IF($R254&lt;=SeuilAlerteEPP,"À planifier","À jour"))))))</f>
        <v/>
      </c>
      <c r="T254" s="46" t="str">
        <f aca="false">IF(OR($B254="",$S254="Sorti"),"",MID(IF($H254=""," | Date d'embauche manquante","")&amp;IF(AND($K254="Plus d'un an",$N254="")," | Précédent entretien à renseigner (ancienneté &gt; 1 an)","")&amp;IF($O254="Retard antérieur à la réforme"," | Ancien délai de 2 ans expiré avant la réforme","")&amp;IF(AND($N254&lt;&gt;"",$H254&lt;&gt;"",$N254&lt;$H254)," | Entretien antérieur à l'embauche ?","")&amp;IF(AND($N254&lt;&gt;"",$N254&gt;DateRef)," | Entretien daté dans le futur ?","")&amp;IF(AND($Q254&lt;&gt;"",$P254&lt;&gt;"",$Q254&gt;$P254)," | Date prévue après l'échéance","")&amp;IF(AND($Q254&lt;&gt;"",$Q254&lt;DateRef,OR($N254="",$N254&lt;$Q254))," | Entretien prévu passé : le consigner au Journal","")&amp;IF(AND($G254&lt;&gt;"",$X254="",YEAR(DateRef)-YEAR($G254)&gt;=AgeMiCarriere-1,YEAR(DateRef)-YEAR($G254)&lt;=AgeMiCarriere+1)," | Visite de mi-carrière à vérifier",""),4,1000))</f>
        <v/>
      </c>
      <c r="U254" s="39"/>
      <c r="V254" s="40"/>
      <c r="W254" s="42" t="str">
        <f aca="false">IF(OR($B254="",$V254=""),"",IF(AND($I254&lt;&gt;"",$I254&lt;=DateRef),"",IF(AND($N254&lt;&gt;"",$N254&gt;=$V254),"Réalisé",IF(AND($N254&lt;&gt;"",$N254&gt;=EDATE($V254,-FenetreRetour)),"Dispensé (EPP récent)",IF($V254&gt;DateRef,"À prévoir à la reprise","À proposer (reprise passée)")))))</f>
        <v/>
      </c>
      <c r="X254" s="40"/>
      <c r="Y254" s="43" t="str">
        <f aca="false">IF(OR($B254="",$X254=""),"",EDATE($X254,DelaiMiCarriere))</f>
        <v/>
      </c>
      <c r="Z254" s="42" t="str">
        <f aca="false">IF(OR($B254="",$X254=""),"",IF(AND($I254&lt;&gt;"",$I254&lt;=DateRef),"",IF(AND($N254&lt;&gt;"",$N254&gt;=$X254),"Réalisé",IF($Y254&lt;DateRef,"En retard","À planifier"))))</f>
        <v/>
      </c>
      <c r="AA254" s="47" t="str">
        <f aca="false">IF(OR($B254="",$G254=""),"",IF($G254&gt;DateRef,"",DATEDIF($G254,DateRef,"y")))</f>
        <v/>
      </c>
      <c r="AB254" s="43" t="str">
        <f aca="false">IF(OR($B254="",$G254=""),"",EDATE($G254,AgeFinCarriere*12))</f>
        <v/>
      </c>
      <c r="AC254" s="42" t="str">
        <f aca="false">IF(OR($B254="",$G254="",$H254=""),"",IF(AND($I254&lt;&gt;"",$I254&lt;=DateRef),"",IF($AB254&lt;DateVigueur,"Non concerné",IF(AND($N254&lt;&gt;"",$N254&gt;=MAX(EDATE($AB254,-FenetreFinCarriere*12),DateVigueur),$N254&lt;=$AB254),"Réalisé",IF(DateRef&gt;$AB254,"Non réalisé",IF(AND($Q254&lt;&gt;"",$Q254&gt;=EDATE($AB254,-FenetreFinCarriere*12),$Q254&lt;=$AB254),"Planifié dans la fenêtre",IF(AND(MAX($P254,DateRef)&gt;=EDATE($AB254,-FenetreFinCarriere*12),MAX($P254,DateRef)&lt;=$AB254),"Prochain EPP dans la fenêtre",IF(MAX($P254,DateRef)&gt;$AB254,"À programmer avant 60 ans",""))))))))</f>
        <v/>
      </c>
      <c r="AD254" s="40"/>
      <c r="AE254" s="43" t="str">
        <f aca="false">IF(OR($B254="",$H254="",AND($I254&lt;&gt;"",$I254&lt;=DateRef)),"",MAX($H254,$AD254,IF($A254="",0,SUMPRODUCT(MAX((Journal!$A$6:$A$1005=$A254)*((Journal!$D$6:$D$1005=TypeEDL)+(Journal!$D$6:$D$1005=TypeBilan6))*Journal!$C$6:$C$1005)))))</f>
        <v/>
      </c>
      <c r="AF254" s="43" t="str">
        <f aca="false">IF($AE254="","",IF(AND(ReglesTransitoires="Oui",EDATE($AE254,AnciennePeriodiciteEDL*12)&lt;DateVigueur),EDATE($AE254,AnciennePeriodiciteEDL*12),EDATE($AE254,PeriodiciteEDL*12)))</f>
        <v/>
      </c>
      <c r="AG254" s="42" t="str">
        <f aca="false">IF($AF254="","",IF(AND($I254&lt;&gt;"",$I254&lt;=DateRef),"",IF($AF254&lt;DateRef,"En retard",IF($AF254-DateRef&lt;=SeuilAlerteEDL,"À prévoir","À jour"))))</f>
        <v/>
      </c>
      <c r="AH254" s="39"/>
      <c r="AI254" s="39"/>
      <c r="AJ254" s="42" t="str">
        <f aca="false">IF(OR($B254="",$H254=""),"",IF(AND($I254&lt;&gt;"",$I254&lt;=DateRef),"",IF(Effectif&lt;SeuilEffectif,"Non concerné (&lt; "&amp;SeuilEffectif&amp;" salariés)",IF($AH254="Oui","Pas de risque",IF(AND(OR($AI254="Non",$S254="En retard"),$AH254="Non"),"Risque abondement",IF(OR($AI254="Non",$S254="En retard"),"À vérifier (formation ?)",IF($AI254="Oui","Pas de risque","À compléter")))))))</f>
        <v/>
      </c>
      <c r="AK254" s="39"/>
    </row>
    <row r="255" customFormat="false" ht="15" hidden="false" customHeight="false" outlineLevel="0" collapsed="false">
      <c r="A255" s="39"/>
      <c r="B255" s="39"/>
      <c r="C255" s="39"/>
      <c r="D255" s="39"/>
      <c r="E255" s="39"/>
      <c r="F255" s="39"/>
      <c r="G255" s="40"/>
      <c r="H255" s="40"/>
      <c r="I255" s="40"/>
      <c r="J255" s="41" t="str">
        <f aca="false">IF(OR($B255="",$H255=""),"",IF($H255&gt;DateRef,0,YEARFRAC($H255,DateRef,1)))</f>
        <v/>
      </c>
      <c r="K255" s="42" t="str">
        <f aca="false">IF(OR($B255="",$H255=""),"",IF(EDATE($H255,12)&lt;=DateRef,"Plus d'un an","Moins d'un an"))</f>
        <v/>
      </c>
      <c r="L255" s="40"/>
      <c r="M255" s="43" t="str">
        <f aca="false">IF(OR($B255="",$A255=""),"",IF(SUMPRODUCT(MAX((Journal!$A$6:$A$1005=$A255)*Journal!$C$6:$C$1005))=0,"",SUMPRODUCT(MAX((Journal!$A$6:$A$1005=$A255)*Journal!$C$6:$C$1005))))</f>
        <v/>
      </c>
      <c r="N255" s="43" t="str">
        <f aca="false">IF($B255="","",IF(MAX($L255,$M255)=0,"",MAX($L255,$M255)))</f>
        <v/>
      </c>
      <c r="O255" s="44" t="str">
        <f aca="false">IF(OR($B255="",$H255=""),"",IF($N255="",IF(EDATE($H255,DelaiPremierEPP)&gt;DateRef,"1er EPP (1re année)","Aucun entretien renseigné"),IF(AND(ReglesTransitoires="Oui",EDATE($N255,AnciennePeriodiciteEP*12)&lt;DateVigueur),"Retard antérieur à la réforme","Périodicité "&amp;PeriodiciteEPP&amp;" ans")))</f>
        <v/>
      </c>
      <c r="P255" s="43" t="str">
        <f aca="false">IF(OR($B255="",$H255=""),"",IF($N255="",EDATE($H255,DelaiPremierEPP),IF(AND(ReglesTransitoires="Oui",EDATE($N255,AnciennePeriodiciteEP*12)&lt;DateVigueur),EDATE($N255,AnciennePeriodiciteEP*12),EDATE($N255,PeriodiciteEPP*12))))</f>
        <v/>
      </c>
      <c r="Q255" s="40"/>
      <c r="R255" s="45" t="str">
        <f aca="false">IF(OR($P255="",AND($I255&lt;&gt;"",$I255&lt;=DateRef)),"",$P255-DateRef)</f>
        <v/>
      </c>
      <c r="S255" s="42" t="str">
        <f aca="false">IF($B255="","",IF(AND($I255&lt;&gt;"",$I255&lt;=DateRef),"Sorti",IF($H255="","À compléter",IF(AND($Q255&lt;&gt;"",$Q255&gt;=DateRef,$Q255&lt;=$P255),"Planifié",IF($R255&lt;0,"En retard",IF($R255&lt;=SeuilAlerteEPP,"À planifier","À jour"))))))</f>
        <v/>
      </c>
      <c r="T255" s="46" t="str">
        <f aca="false">IF(OR($B255="",$S255="Sorti"),"",MID(IF($H255=""," | Date d'embauche manquante","")&amp;IF(AND($K255="Plus d'un an",$N255="")," | Précédent entretien à renseigner (ancienneté &gt; 1 an)","")&amp;IF($O255="Retard antérieur à la réforme"," | Ancien délai de 2 ans expiré avant la réforme","")&amp;IF(AND($N255&lt;&gt;"",$H255&lt;&gt;"",$N255&lt;$H255)," | Entretien antérieur à l'embauche ?","")&amp;IF(AND($N255&lt;&gt;"",$N255&gt;DateRef)," | Entretien daté dans le futur ?","")&amp;IF(AND($Q255&lt;&gt;"",$P255&lt;&gt;"",$Q255&gt;$P255)," | Date prévue après l'échéance","")&amp;IF(AND($Q255&lt;&gt;"",$Q255&lt;DateRef,OR($N255="",$N255&lt;$Q255))," | Entretien prévu passé : le consigner au Journal","")&amp;IF(AND($G255&lt;&gt;"",$X255="",YEAR(DateRef)-YEAR($G255)&gt;=AgeMiCarriere-1,YEAR(DateRef)-YEAR($G255)&lt;=AgeMiCarriere+1)," | Visite de mi-carrière à vérifier",""),4,1000))</f>
        <v/>
      </c>
      <c r="U255" s="39"/>
      <c r="V255" s="40"/>
      <c r="W255" s="42" t="str">
        <f aca="false">IF(OR($B255="",$V255=""),"",IF(AND($I255&lt;&gt;"",$I255&lt;=DateRef),"",IF(AND($N255&lt;&gt;"",$N255&gt;=$V255),"Réalisé",IF(AND($N255&lt;&gt;"",$N255&gt;=EDATE($V255,-FenetreRetour)),"Dispensé (EPP récent)",IF($V255&gt;DateRef,"À prévoir à la reprise","À proposer (reprise passée)")))))</f>
        <v/>
      </c>
      <c r="X255" s="40"/>
      <c r="Y255" s="43" t="str">
        <f aca="false">IF(OR($B255="",$X255=""),"",EDATE($X255,DelaiMiCarriere))</f>
        <v/>
      </c>
      <c r="Z255" s="42" t="str">
        <f aca="false">IF(OR($B255="",$X255=""),"",IF(AND($I255&lt;&gt;"",$I255&lt;=DateRef),"",IF(AND($N255&lt;&gt;"",$N255&gt;=$X255),"Réalisé",IF($Y255&lt;DateRef,"En retard","À planifier"))))</f>
        <v/>
      </c>
      <c r="AA255" s="47" t="str">
        <f aca="false">IF(OR($B255="",$G255=""),"",IF($G255&gt;DateRef,"",DATEDIF($G255,DateRef,"y")))</f>
        <v/>
      </c>
      <c r="AB255" s="43" t="str">
        <f aca="false">IF(OR($B255="",$G255=""),"",EDATE($G255,AgeFinCarriere*12))</f>
        <v/>
      </c>
      <c r="AC255" s="42" t="str">
        <f aca="false">IF(OR($B255="",$G255="",$H255=""),"",IF(AND($I255&lt;&gt;"",$I255&lt;=DateRef),"",IF($AB255&lt;DateVigueur,"Non concerné",IF(AND($N255&lt;&gt;"",$N255&gt;=MAX(EDATE($AB255,-FenetreFinCarriere*12),DateVigueur),$N255&lt;=$AB255),"Réalisé",IF(DateRef&gt;$AB255,"Non réalisé",IF(AND($Q255&lt;&gt;"",$Q255&gt;=EDATE($AB255,-FenetreFinCarriere*12),$Q255&lt;=$AB255),"Planifié dans la fenêtre",IF(AND(MAX($P255,DateRef)&gt;=EDATE($AB255,-FenetreFinCarriere*12),MAX($P255,DateRef)&lt;=$AB255),"Prochain EPP dans la fenêtre",IF(MAX($P255,DateRef)&gt;$AB255,"À programmer avant 60 ans",""))))))))</f>
        <v/>
      </c>
      <c r="AD255" s="40"/>
      <c r="AE255" s="43" t="str">
        <f aca="false">IF(OR($B255="",$H255="",AND($I255&lt;&gt;"",$I255&lt;=DateRef)),"",MAX($H255,$AD255,IF($A255="",0,SUMPRODUCT(MAX((Journal!$A$6:$A$1005=$A255)*((Journal!$D$6:$D$1005=TypeEDL)+(Journal!$D$6:$D$1005=TypeBilan6))*Journal!$C$6:$C$1005)))))</f>
        <v/>
      </c>
      <c r="AF255" s="43" t="str">
        <f aca="false">IF($AE255="","",IF(AND(ReglesTransitoires="Oui",EDATE($AE255,AnciennePeriodiciteEDL*12)&lt;DateVigueur),EDATE($AE255,AnciennePeriodiciteEDL*12),EDATE($AE255,PeriodiciteEDL*12)))</f>
        <v/>
      </c>
      <c r="AG255" s="42" t="str">
        <f aca="false">IF($AF255="","",IF(AND($I255&lt;&gt;"",$I255&lt;=DateRef),"",IF($AF255&lt;DateRef,"En retard",IF($AF255-DateRef&lt;=SeuilAlerteEDL,"À prévoir","À jour"))))</f>
        <v/>
      </c>
      <c r="AH255" s="39"/>
      <c r="AI255" s="39"/>
      <c r="AJ255" s="42" t="str">
        <f aca="false">IF(OR($B255="",$H255=""),"",IF(AND($I255&lt;&gt;"",$I255&lt;=DateRef),"",IF(Effectif&lt;SeuilEffectif,"Non concerné (&lt; "&amp;SeuilEffectif&amp;" salariés)",IF($AH255="Oui","Pas de risque",IF(AND(OR($AI255="Non",$S255="En retard"),$AH255="Non"),"Risque abondement",IF(OR($AI255="Non",$S255="En retard"),"À vérifier (formation ?)",IF($AI255="Oui","Pas de risque","À compléter")))))))</f>
        <v/>
      </c>
      <c r="AK255" s="39"/>
    </row>
    <row r="256" customFormat="false" ht="15" hidden="false" customHeight="false" outlineLevel="0" collapsed="false">
      <c r="A256" s="39"/>
      <c r="B256" s="39"/>
      <c r="C256" s="39"/>
      <c r="D256" s="39"/>
      <c r="E256" s="39"/>
      <c r="F256" s="39"/>
      <c r="G256" s="40"/>
      <c r="H256" s="40"/>
      <c r="I256" s="40"/>
      <c r="J256" s="41" t="str">
        <f aca="false">IF(OR($B256="",$H256=""),"",IF($H256&gt;DateRef,0,YEARFRAC($H256,DateRef,1)))</f>
        <v/>
      </c>
      <c r="K256" s="42" t="str">
        <f aca="false">IF(OR($B256="",$H256=""),"",IF(EDATE($H256,12)&lt;=DateRef,"Plus d'un an","Moins d'un an"))</f>
        <v/>
      </c>
      <c r="L256" s="40"/>
      <c r="M256" s="43" t="str">
        <f aca="false">IF(OR($B256="",$A256=""),"",IF(SUMPRODUCT(MAX((Journal!$A$6:$A$1005=$A256)*Journal!$C$6:$C$1005))=0,"",SUMPRODUCT(MAX((Journal!$A$6:$A$1005=$A256)*Journal!$C$6:$C$1005))))</f>
        <v/>
      </c>
      <c r="N256" s="43" t="str">
        <f aca="false">IF($B256="","",IF(MAX($L256,$M256)=0,"",MAX($L256,$M256)))</f>
        <v/>
      </c>
      <c r="O256" s="44" t="str">
        <f aca="false">IF(OR($B256="",$H256=""),"",IF($N256="",IF(EDATE($H256,DelaiPremierEPP)&gt;DateRef,"1er EPP (1re année)","Aucun entretien renseigné"),IF(AND(ReglesTransitoires="Oui",EDATE($N256,AnciennePeriodiciteEP*12)&lt;DateVigueur),"Retard antérieur à la réforme","Périodicité "&amp;PeriodiciteEPP&amp;" ans")))</f>
        <v/>
      </c>
      <c r="P256" s="43" t="str">
        <f aca="false">IF(OR($B256="",$H256=""),"",IF($N256="",EDATE($H256,DelaiPremierEPP),IF(AND(ReglesTransitoires="Oui",EDATE($N256,AnciennePeriodiciteEP*12)&lt;DateVigueur),EDATE($N256,AnciennePeriodiciteEP*12),EDATE($N256,PeriodiciteEPP*12))))</f>
        <v/>
      </c>
      <c r="Q256" s="40"/>
      <c r="R256" s="45" t="str">
        <f aca="false">IF(OR($P256="",AND($I256&lt;&gt;"",$I256&lt;=DateRef)),"",$P256-DateRef)</f>
        <v/>
      </c>
      <c r="S256" s="42" t="str">
        <f aca="false">IF($B256="","",IF(AND($I256&lt;&gt;"",$I256&lt;=DateRef),"Sorti",IF($H256="","À compléter",IF(AND($Q256&lt;&gt;"",$Q256&gt;=DateRef,$Q256&lt;=$P256),"Planifié",IF($R256&lt;0,"En retard",IF($R256&lt;=SeuilAlerteEPP,"À planifier","À jour"))))))</f>
        <v/>
      </c>
      <c r="T256" s="46" t="str">
        <f aca="false">IF(OR($B256="",$S256="Sorti"),"",MID(IF($H256=""," | Date d'embauche manquante","")&amp;IF(AND($K256="Plus d'un an",$N256="")," | Précédent entretien à renseigner (ancienneté &gt; 1 an)","")&amp;IF($O256="Retard antérieur à la réforme"," | Ancien délai de 2 ans expiré avant la réforme","")&amp;IF(AND($N256&lt;&gt;"",$H256&lt;&gt;"",$N256&lt;$H256)," | Entretien antérieur à l'embauche ?","")&amp;IF(AND($N256&lt;&gt;"",$N256&gt;DateRef)," | Entretien daté dans le futur ?","")&amp;IF(AND($Q256&lt;&gt;"",$P256&lt;&gt;"",$Q256&gt;$P256)," | Date prévue après l'échéance","")&amp;IF(AND($Q256&lt;&gt;"",$Q256&lt;DateRef,OR($N256="",$N256&lt;$Q256))," | Entretien prévu passé : le consigner au Journal","")&amp;IF(AND($G256&lt;&gt;"",$X256="",YEAR(DateRef)-YEAR($G256)&gt;=AgeMiCarriere-1,YEAR(DateRef)-YEAR($G256)&lt;=AgeMiCarriere+1)," | Visite de mi-carrière à vérifier",""),4,1000))</f>
        <v/>
      </c>
      <c r="U256" s="39"/>
      <c r="V256" s="40"/>
      <c r="W256" s="42" t="str">
        <f aca="false">IF(OR($B256="",$V256=""),"",IF(AND($I256&lt;&gt;"",$I256&lt;=DateRef),"",IF(AND($N256&lt;&gt;"",$N256&gt;=$V256),"Réalisé",IF(AND($N256&lt;&gt;"",$N256&gt;=EDATE($V256,-FenetreRetour)),"Dispensé (EPP récent)",IF($V256&gt;DateRef,"À prévoir à la reprise","À proposer (reprise passée)")))))</f>
        <v/>
      </c>
      <c r="X256" s="40"/>
      <c r="Y256" s="43" t="str">
        <f aca="false">IF(OR($B256="",$X256=""),"",EDATE($X256,DelaiMiCarriere))</f>
        <v/>
      </c>
      <c r="Z256" s="42" t="str">
        <f aca="false">IF(OR($B256="",$X256=""),"",IF(AND($I256&lt;&gt;"",$I256&lt;=DateRef),"",IF(AND($N256&lt;&gt;"",$N256&gt;=$X256),"Réalisé",IF($Y256&lt;DateRef,"En retard","À planifier"))))</f>
        <v/>
      </c>
      <c r="AA256" s="47" t="str">
        <f aca="false">IF(OR($B256="",$G256=""),"",IF($G256&gt;DateRef,"",DATEDIF($G256,DateRef,"y")))</f>
        <v/>
      </c>
      <c r="AB256" s="43" t="str">
        <f aca="false">IF(OR($B256="",$G256=""),"",EDATE($G256,AgeFinCarriere*12))</f>
        <v/>
      </c>
      <c r="AC256" s="42" t="str">
        <f aca="false">IF(OR($B256="",$G256="",$H256=""),"",IF(AND($I256&lt;&gt;"",$I256&lt;=DateRef),"",IF($AB256&lt;DateVigueur,"Non concerné",IF(AND($N256&lt;&gt;"",$N256&gt;=MAX(EDATE($AB256,-FenetreFinCarriere*12),DateVigueur),$N256&lt;=$AB256),"Réalisé",IF(DateRef&gt;$AB256,"Non réalisé",IF(AND($Q256&lt;&gt;"",$Q256&gt;=EDATE($AB256,-FenetreFinCarriere*12),$Q256&lt;=$AB256),"Planifié dans la fenêtre",IF(AND(MAX($P256,DateRef)&gt;=EDATE($AB256,-FenetreFinCarriere*12),MAX($P256,DateRef)&lt;=$AB256),"Prochain EPP dans la fenêtre",IF(MAX($P256,DateRef)&gt;$AB256,"À programmer avant 60 ans",""))))))))</f>
        <v/>
      </c>
      <c r="AD256" s="40"/>
      <c r="AE256" s="43" t="str">
        <f aca="false">IF(OR($B256="",$H256="",AND($I256&lt;&gt;"",$I256&lt;=DateRef)),"",MAX($H256,$AD256,IF($A256="",0,SUMPRODUCT(MAX((Journal!$A$6:$A$1005=$A256)*((Journal!$D$6:$D$1005=TypeEDL)+(Journal!$D$6:$D$1005=TypeBilan6))*Journal!$C$6:$C$1005)))))</f>
        <v/>
      </c>
      <c r="AF256" s="43" t="str">
        <f aca="false">IF($AE256="","",IF(AND(ReglesTransitoires="Oui",EDATE($AE256,AnciennePeriodiciteEDL*12)&lt;DateVigueur),EDATE($AE256,AnciennePeriodiciteEDL*12),EDATE($AE256,PeriodiciteEDL*12)))</f>
        <v/>
      </c>
      <c r="AG256" s="42" t="str">
        <f aca="false">IF($AF256="","",IF(AND($I256&lt;&gt;"",$I256&lt;=DateRef),"",IF($AF256&lt;DateRef,"En retard",IF($AF256-DateRef&lt;=SeuilAlerteEDL,"À prévoir","À jour"))))</f>
        <v/>
      </c>
      <c r="AH256" s="39"/>
      <c r="AI256" s="39"/>
      <c r="AJ256" s="42" t="str">
        <f aca="false">IF(OR($B256="",$H256=""),"",IF(AND($I256&lt;&gt;"",$I256&lt;=DateRef),"",IF(Effectif&lt;SeuilEffectif,"Non concerné (&lt; "&amp;SeuilEffectif&amp;" salariés)",IF($AH256="Oui","Pas de risque",IF(AND(OR($AI256="Non",$S256="En retard"),$AH256="Non"),"Risque abondement",IF(OR($AI256="Non",$S256="En retard"),"À vérifier (formation ?)",IF($AI256="Oui","Pas de risque","À compléter")))))))</f>
        <v/>
      </c>
      <c r="AK256" s="39"/>
    </row>
    <row r="257" customFormat="false" ht="15" hidden="false" customHeight="false" outlineLevel="0" collapsed="false">
      <c r="A257" s="39"/>
      <c r="B257" s="39"/>
      <c r="C257" s="39"/>
      <c r="D257" s="39"/>
      <c r="E257" s="39"/>
      <c r="F257" s="39"/>
      <c r="G257" s="40"/>
      <c r="H257" s="40"/>
      <c r="I257" s="40"/>
      <c r="J257" s="41" t="str">
        <f aca="false">IF(OR($B257="",$H257=""),"",IF($H257&gt;DateRef,0,YEARFRAC($H257,DateRef,1)))</f>
        <v/>
      </c>
      <c r="K257" s="42" t="str">
        <f aca="false">IF(OR($B257="",$H257=""),"",IF(EDATE($H257,12)&lt;=DateRef,"Plus d'un an","Moins d'un an"))</f>
        <v/>
      </c>
      <c r="L257" s="40"/>
      <c r="M257" s="43" t="str">
        <f aca="false">IF(OR($B257="",$A257=""),"",IF(SUMPRODUCT(MAX((Journal!$A$6:$A$1005=$A257)*Journal!$C$6:$C$1005))=0,"",SUMPRODUCT(MAX((Journal!$A$6:$A$1005=$A257)*Journal!$C$6:$C$1005))))</f>
        <v/>
      </c>
      <c r="N257" s="43" t="str">
        <f aca="false">IF($B257="","",IF(MAX($L257,$M257)=0,"",MAX($L257,$M257)))</f>
        <v/>
      </c>
      <c r="O257" s="44" t="str">
        <f aca="false">IF(OR($B257="",$H257=""),"",IF($N257="",IF(EDATE($H257,DelaiPremierEPP)&gt;DateRef,"1er EPP (1re année)","Aucun entretien renseigné"),IF(AND(ReglesTransitoires="Oui",EDATE($N257,AnciennePeriodiciteEP*12)&lt;DateVigueur),"Retard antérieur à la réforme","Périodicité "&amp;PeriodiciteEPP&amp;" ans")))</f>
        <v/>
      </c>
      <c r="P257" s="43" t="str">
        <f aca="false">IF(OR($B257="",$H257=""),"",IF($N257="",EDATE($H257,DelaiPremierEPP),IF(AND(ReglesTransitoires="Oui",EDATE($N257,AnciennePeriodiciteEP*12)&lt;DateVigueur),EDATE($N257,AnciennePeriodiciteEP*12),EDATE($N257,PeriodiciteEPP*12))))</f>
        <v/>
      </c>
      <c r="Q257" s="40"/>
      <c r="R257" s="45" t="str">
        <f aca="false">IF(OR($P257="",AND($I257&lt;&gt;"",$I257&lt;=DateRef)),"",$P257-DateRef)</f>
        <v/>
      </c>
      <c r="S257" s="42" t="str">
        <f aca="false">IF($B257="","",IF(AND($I257&lt;&gt;"",$I257&lt;=DateRef),"Sorti",IF($H257="","À compléter",IF(AND($Q257&lt;&gt;"",$Q257&gt;=DateRef,$Q257&lt;=$P257),"Planifié",IF($R257&lt;0,"En retard",IF($R257&lt;=SeuilAlerteEPP,"À planifier","À jour"))))))</f>
        <v/>
      </c>
      <c r="T257" s="46" t="str">
        <f aca="false">IF(OR($B257="",$S257="Sorti"),"",MID(IF($H257=""," | Date d'embauche manquante","")&amp;IF(AND($K257="Plus d'un an",$N257="")," | Précédent entretien à renseigner (ancienneté &gt; 1 an)","")&amp;IF($O257="Retard antérieur à la réforme"," | Ancien délai de 2 ans expiré avant la réforme","")&amp;IF(AND($N257&lt;&gt;"",$H257&lt;&gt;"",$N257&lt;$H257)," | Entretien antérieur à l'embauche ?","")&amp;IF(AND($N257&lt;&gt;"",$N257&gt;DateRef)," | Entretien daté dans le futur ?","")&amp;IF(AND($Q257&lt;&gt;"",$P257&lt;&gt;"",$Q257&gt;$P257)," | Date prévue après l'échéance","")&amp;IF(AND($Q257&lt;&gt;"",$Q257&lt;DateRef,OR($N257="",$N257&lt;$Q257))," | Entretien prévu passé : le consigner au Journal","")&amp;IF(AND($G257&lt;&gt;"",$X257="",YEAR(DateRef)-YEAR($G257)&gt;=AgeMiCarriere-1,YEAR(DateRef)-YEAR($G257)&lt;=AgeMiCarriere+1)," | Visite de mi-carrière à vérifier",""),4,1000))</f>
        <v/>
      </c>
      <c r="U257" s="39"/>
      <c r="V257" s="40"/>
      <c r="W257" s="42" t="str">
        <f aca="false">IF(OR($B257="",$V257=""),"",IF(AND($I257&lt;&gt;"",$I257&lt;=DateRef),"",IF(AND($N257&lt;&gt;"",$N257&gt;=$V257),"Réalisé",IF(AND($N257&lt;&gt;"",$N257&gt;=EDATE($V257,-FenetreRetour)),"Dispensé (EPP récent)",IF($V257&gt;DateRef,"À prévoir à la reprise","À proposer (reprise passée)")))))</f>
        <v/>
      </c>
      <c r="X257" s="40"/>
      <c r="Y257" s="43" t="str">
        <f aca="false">IF(OR($B257="",$X257=""),"",EDATE($X257,DelaiMiCarriere))</f>
        <v/>
      </c>
      <c r="Z257" s="42" t="str">
        <f aca="false">IF(OR($B257="",$X257=""),"",IF(AND($I257&lt;&gt;"",$I257&lt;=DateRef),"",IF(AND($N257&lt;&gt;"",$N257&gt;=$X257),"Réalisé",IF($Y257&lt;DateRef,"En retard","À planifier"))))</f>
        <v/>
      </c>
      <c r="AA257" s="47" t="str">
        <f aca="false">IF(OR($B257="",$G257=""),"",IF($G257&gt;DateRef,"",DATEDIF($G257,DateRef,"y")))</f>
        <v/>
      </c>
      <c r="AB257" s="43" t="str">
        <f aca="false">IF(OR($B257="",$G257=""),"",EDATE($G257,AgeFinCarriere*12))</f>
        <v/>
      </c>
      <c r="AC257" s="42" t="str">
        <f aca="false">IF(OR($B257="",$G257="",$H257=""),"",IF(AND($I257&lt;&gt;"",$I257&lt;=DateRef),"",IF($AB257&lt;DateVigueur,"Non concerné",IF(AND($N257&lt;&gt;"",$N257&gt;=MAX(EDATE($AB257,-FenetreFinCarriere*12),DateVigueur),$N257&lt;=$AB257),"Réalisé",IF(DateRef&gt;$AB257,"Non réalisé",IF(AND($Q257&lt;&gt;"",$Q257&gt;=EDATE($AB257,-FenetreFinCarriere*12),$Q257&lt;=$AB257),"Planifié dans la fenêtre",IF(AND(MAX($P257,DateRef)&gt;=EDATE($AB257,-FenetreFinCarriere*12),MAX($P257,DateRef)&lt;=$AB257),"Prochain EPP dans la fenêtre",IF(MAX($P257,DateRef)&gt;$AB257,"À programmer avant 60 ans",""))))))))</f>
        <v/>
      </c>
      <c r="AD257" s="40"/>
      <c r="AE257" s="43" t="str">
        <f aca="false">IF(OR($B257="",$H257="",AND($I257&lt;&gt;"",$I257&lt;=DateRef)),"",MAX($H257,$AD257,IF($A257="",0,SUMPRODUCT(MAX((Journal!$A$6:$A$1005=$A257)*((Journal!$D$6:$D$1005=TypeEDL)+(Journal!$D$6:$D$1005=TypeBilan6))*Journal!$C$6:$C$1005)))))</f>
        <v/>
      </c>
      <c r="AF257" s="43" t="str">
        <f aca="false">IF($AE257="","",IF(AND(ReglesTransitoires="Oui",EDATE($AE257,AnciennePeriodiciteEDL*12)&lt;DateVigueur),EDATE($AE257,AnciennePeriodiciteEDL*12),EDATE($AE257,PeriodiciteEDL*12)))</f>
        <v/>
      </c>
      <c r="AG257" s="42" t="str">
        <f aca="false">IF($AF257="","",IF(AND($I257&lt;&gt;"",$I257&lt;=DateRef),"",IF($AF257&lt;DateRef,"En retard",IF($AF257-DateRef&lt;=SeuilAlerteEDL,"À prévoir","À jour"))))</f>
        <v/>
      </c>
      <c r="AH257" s="39"/>
      <c r="AI257" s="39"/>
      <c r="AJ257" s="42" t="str">
        <f aca="false">IF(OR($B257="",$H257=""),"",IF(AND($I257&lt;&gt;"",$I257&lt;=DateRef),"",IF(Effectif&lt;SeuilEffectif,"Non concerné (&lt; "&amp;SeuilEffectif&amp;" salariés)",IF($AH257="Oui","Pas de risque",IF(AND(OR($AI257="Non",$S257="En retard"),$AH257="Non"),"Risque abondement",IF(OR($AI257="Non",$S257="En retard"),"À vérifier (formation ?)",IF($AI257="Oui","Pas de risque","À compléter")))))))</f>
        <v/>
      </c>
      <c r="AK257" s="39"/>
    </row>
    <row r="258" customFormat="false" ht="15" hidden="false" customHeight="false" outlineLevel="0" collapsed="false">
      <c r="A258" s="39"/>
      <c r="B258" s="39"/>
      <c r="C258" s="39"/>
      <c r="D258" s="39"/>
      <c r="E258" s="39"/>
      <c r="F258" s="39"/>
      <c r="G258" s="40"/>
      <c r="H258" s="40"/>
      <c r="I258" s="40"/>
      <c r="J258" s="41" t="str">
        <f aca="false">IF(OR($B258="",$H258=""),"",IF($H258&gt;DateRef,0,YEARFRAC($H258,DateRef,1)))</f>
        <v/>
      </c>
      <c r="K258" s="42" t="str">
        <f aca="false">IF(OR($B258="",$H258=""),"",IF(EDATE($H258,12)&lt;=DateRef,"Plus d'un an","Moins d'un an"))</f>
        <v/>
      </c>
      <c r="L258" s="40"/>
      <c r="M258" s="43" t="str">
        <f aca="false">IF(OR($B258="",$A258=""),"",IF(SUMPRODUCT(MAX((Journal!$A$6:$A$1005=$A258)*Journal!$C$6:$C$1005))=0,"",SUMPRODUCT(MAX((Journal!$A$6:$A$1005=$A258)*Journal!$C$6:$C$1005))))</f>
        <v/>
      </c>
      <c r="N258" s="43" t="str">
        <f aca="false">IF($B258="","",IF(MAX($L258,$M258)=0,"",MAX($L258,$M258)))</f>
        <v/>
      </c>
      <c r="O258" s="44" t="str">
        <f aca="false">IF(OR($B258="",$H258=""),"",IF($N258="",IF(EDATE($H258,DelaiPremierEPP)&gt;DateRef,"1er EPP (1re année)","Aucun entretien renseigné"),IF(AND(ReglesTransitoires="Oui",EDATE($N258,AnciennePeriodiciteEP*12)&lt;DateVigueur),"Retard antérieur à la réforme","Périodicité "&amp;PeriodiciteEPP&amp;" ans")))</f>
        <v/>
      </c>
      <c r="P258" s="43" t="str">
        <f aca="false">IF(OR($B258="",$H258=""),"",IF($N258="",EDATE($H258,DelaiPremierEPP),IF(AND(ReglesTransitoires="Oui",EDATE($N258,AnciennePeriodiciteEP*12)&lt;DateVigueur),EDATE($N258,AnciennePeriodiciteEP*12),EDATE($N258,PeriodiciteEPP*12))))</f>
        <v/>
      </c>
      <c r="Q258" s="40"/>
      <c r="R258" s="45" t="str">
        <f aca="false">IF(OR($P258="",AND($I258&lt;&gt;"",$I258&lt;=DateRef)),"",$P258-DateRef)</f>
        <v/>
      </c>
      <c r="S258" s="42" t="str">
        <f aca="false">IF($B258="","",IF(AND($I258&lt;&gt;"",$I258&lt;=DateRef),"Sorti",IF($H258="","À compléter",IF(AND($Q258&lt;&gt;"",$Q258&gt;=DateRef,$Q258&lt;=$P258),"Planifié",IF($R258&lt;0,"En retard",IF($R258&lt;=SeuilAlerteEPP,"À planifier","À jour"))))))</f>
        <v/>
      </c>
      <c r="T258" s="46" t="str">
        <f aca="false">IF(OR($B258="",$S258="Sorti"),"",MID(IF($H258=""," | Date d'embauche manquante","")&amp;IF(AND($K258="Plus d'un an",$N258="")," | Précédent entretien à renseigner (ancienneté &gt; 1 an)","")&amp;IF($O258="Retard antérieur à la réforme"," | Ancien délai de 2 ans expiré avant la réforme","")&amp;IF(AND($N258&lt;&gt;"",$H258&lt;&gt;"",$N258&lt;$H258)," | Entretien antérieur à l'embauche ?","")&amp;IF(AND($N258&lt;&gt;"",$N258&gt;DateRef)," | Entretien daté dans le futur ?","")&amp;IF(AND($Q258&lt;&gt;"",$P258&lt;&gt;"",$Q258&gt;$P258)," | Date prévue après l'échéance","")&amp;IF(AND($Q258&lt;&gt;"",$Q258&lt;DateRef,OR($N258="",$N258&lt;$Q258))," | Entretien prévu passé : le consigner au Journal","")&amp;IF(AND($G258&lt;&gt;"",$X258="",YEAR(DateRef)-YEAR($G258)&gt;=AgeMiCarriere-1,YEAR(DateRef)-YEAR($G258)&lt;=AgeMiCarriere+1)," | Visite de mi-carrière à vérifier",""),4,1000))</f>
        <v/>
      </c>
      <c r="U258" s="39"/>
      <c r="V258" s="40"/>
      <c r="W258" s="42" t="str">
        <f aca="false">IF(OR($B258="",$V258=""),"",IF(AND($I258&lt;&gt;"",$I258&lt;=DateRef),"",IF(AND($N258&lt;&gt;"",$N258&gt;=$V258),"Réalisé",IF(AND($N258&lt;&gt;"",$N258&gt;=EDATE($V258,-FenetreRetour)),"Dispensé (EPP récent)",IF($V258&gt;DateRef,"À prévoir à la reprise","À proposer (reprise passée)")))))</f>
        <v/>
      </c>
      <c r="X258" s="40"/>
      <c r="Y258" s="43" t="str">
        <f aca="false">IF(OR($B258="",$X258=""),"",EDATE($X258,DelaiMiCarriere))</f>
        <v/>
      </c>
      <c r="Z258" s="42" t="str">
        <f aca="false">IF(OR($B258="",$X258=""),"",IF(AND($I258&lt;&gt;"",$I258&lt;=DateRef),"",IF(AND($N258&lt;&gt;"",$N258&gt;=$X258),"Réalisé",IF($Y258&lt;DateRef,"En retard","À planifier"))))</f>
        <v/>
      </c>
      <c r="AA258" s="47" t="str">
        <f aca="false">IF(OR($B258="",$G258=""),"",IF($G258&gt;DateRef,"",DATEDIF($G258,DateRef,"y")))</f>
        <v/>
      </c>
      <c r="AB258" s="43" t="str">
        <f aca="false">IF(OR($B258="",$G258=""),"",EDATE($G258,AgeFinCarriere*12))</f>
        <v/>
      </c>
      <c r="AC258" s="42" t="str">
        <f aca="false">IF(OR($B258="",$G258="",$H258=""),"",IF(AND($I258&lt;&gt;"",$I258&lt;=DateRef),"",IF($AB258&lt;DateVigueur,"Non concerné",IF(AND($N258&lt;&gt;"",$N258&gt;=MAX(EDATE($AB258,-FenetreFinCarriere*12),DateVigueur),$N258&lt;=$AB258),"Réalisé",IF(DateRef&gt;$AB258,"Non réalisé",IF(AND($Q258&lt;&gt;"",$Q258&gt;=EDATE($AB258,-FenetreFinCarriere*12),$Q258&lt;=$AB258),"Planifié dans la fenêtre",IF(AND(MAX($P258,DateRef)&gt;=EDATE($AB258,-FenetreFinCarriere*12),MAX($P258,DateRef)&lt;=$AB258),"Prochain EPP dans la fenêtre",IF(MAX($P258,DateRef)&gt;$AB258,"À programmer avant 60 ans",""))))))))</f>
        <v/>
      </c>
      <c r="AD258" s="40"/>
      <c r="AE258" s="43" t="str">
        <f aca="false">IF(OR($B258="",$H258="",AND($I258&lt;&gt;"",$I258&lt;=DateRef)),"",MAX($H258,$AD258,IF($A258="",0,SUMPRODUCT(MAX((Journal!$A$6:$A$1005=$A258)*((Journal!$D$6:$D$1005=TypeEDL)+(Journal!$D$6:$D$1005=TypeBilan6))*Journal!$C$6:$C$1005)))))</f>
        <v/>
      </c>
      <c r="AF258" s="43" t="str">
        <f aca="false">IF($AE258="","",IF(AND(ReglesTransitoires="Oui",EDATE($AE258,AnciennePeriodiciteEDL*12)&lt;DateVigueur),EDATE($AE258,AnciennePeriodiciteEDL*12),EDATE($AE258,PeriodiciteEDL*12)))</f>
        <v/>
      </c>
      <c r="AG258" s="42" t="str">
        <f aca="false">IF($AF258="","",IF(AND($I258&lt;&gt;"",$I258&lt;=DateRef),"",IF($AF258&lt;DateRef,"En retard",IF($AF258-DateRef&lt;=SeuilAlerteEDL,"À prévoir","À jour"))))</f>
        <v/>
      </c>
      <c r="AH258" s="39"/>
      <c r="AI258" s="39"/>
      <c r="AJ258" s="42" t="str">
        <f aca="false">IF(OR($B258="",$H258=""),"",IF(AND($I258&lt;&gt;"",$I258&lt;=DateRef),"",IF(Effectif&lt;SeuilEffectif,"Non concerné (&lt; "&amp;SeuilEffectif&amp;" salariés)",IF($AH258="Oui","Pas de risque",IF(AND(OR($AI258="Non",$S258="En retard"),$AH258="Non"),"Risque abondement",IF(OR($AI258="Non",$S258="En retard"),"À vérifier (formation ?)",IF($AI258="Oui","Pas de risque","À compléter")))))))</f>
        <v/>
      </c>
      <c r="AK258" s="39"/>
    </row>
    <row r="259" customFormat="false" ht="15" hidden="false" customHeight="false" outlineLevel="0" collapsed="false">
      <c r="A259" s="39"/>
      <c r="B259" s="39"/>
      <c r="C259" s="39"/>
      <c r="D259" s="39"/>
      <c r="E259" s="39"/>
      <c r="F259" s="39"/>
      <c r="G259" s="40"/>
      <c r="H259" s="40"/>
      <c r="I259" s="40"/>
      <c r="J259" s="41" t="str">
        <f aca="false">IF(OR($B259="",$H259=""),"",IF($H259&gt;DateRef,0,YEARFRAC($H259,DateRef,1)))</f>
        <v/>
      </c>
      <c r="K259" s="42" t="str">
        <f aca="false">IF(OR($B259="",$H259=""),"",IF(EDATE($H259,12)&lt;=DateRef,"Plus d'un an","Moins d'un an"))</f>
        <v/>
      </c>
      <c r="L259" s="40"/>
      <c r="M259" s="43" t="str">
        <f aca="false">IF(OR($B259="",$A259=""),"",IF(SUMPRODUCT(MAX((Journal!$A$6:$A$1005=$A259)*Journal!$C$6:$C$1005))=0,"",SUMPRODUCT(MAX((Journal!$A$6:$A$1005=$A259)*Journal!$C$6:$C$1005))))</f>
        <v/>
      </c>
      <c r="N259" s="43" t="str">
        <f aca="false">IF($B259="","",IF(MAX($L259,$M259)=0,"",MAX($L259,$M259)))</f>
        <v/>
      </c>
      <c r="O259" s="44" t="str">
        <f aca="false">IF(OR($B259="",$H259=""),"",IF($N259="",IF(EDATE($H259,DelaiPremierEPP)&gt;DateRef,"1er EPP (1re année)","Aucun entretien renseigné"),IF(AND(ReglesTransitoires="Oui",EDATE($N259,AnciennePeriodiciteEP*12)&lt;DateVigueur),"Retard antérieur à la réforme","Périodicité "&amp;PeriodiciteEPP&amp;" ans")))</f>
        <v/>
      </c>
      <c r="P259" s="43" t="str">
        <f aca="false">IF(OR($B259="",$H259=""),"",IF($N259="",EDATE($H259,DelaiPremierEPP),IF(AND(ReglesTransitoires="Oui",EDATE($N259,AnciennePeriodiciteEP*12)&lt;DateVigueur),EDATE($N259,AnciennePeriodiciteEP*12),EDATE($N259,PeriodiciteEPP*12))))</f>
        <v/>
      </c>
      <c r="Q259" s="40"/>
      <c r="R259" s="45" t="str">
        <f aca="false">IF(OR($P259="",AND($I259&lt;&gt;"",$I259&lt;=DateRef)),"",$P259-DateRef)</f>
        <v/>
      </c>
      <c r="S259" s="42" t="str">
        <f aca="false">IF($B259="","",IF(AND($I259&lt;&gt;"",$I259&lt;=DateRef),"Sorti",IF($H259="","À compléter",IF(AND($Q259&lt;&gt;"",$Q259&gt;=DateRef,$Q259&lt;=$P259),"Planifié",IF($R259&lt;0,"En retard",IF($R259&lt;=SeuilAlerteEPP,"À planifier","À jour"))))))</f>
        <v/>
      </c>
      <c r="T259" s="46" t="str">
        <f aca="false">IF(OR($B259="",$S259="Sorti"),"",MID(IF($H259=""," | Date d'embauche manquante","")&amp;IF(AND($K259="Plus d'un an",$N259="")," | Précédent entretien à renseigner (ancienneté &gt; 1 an)","")&amp;IF($O259="Retard antérieur à la réforme"," | Ancien délai de 2 ans expiré avant la réforme","")&amp;IF(AND($N259&lt;&gt;"",$H259&lt;&gt;"",$N259&lt;$H259)," | Entretien antérieur à l'embauche ?","")&amp;IF(AND($N259&lt;&gt;"",$N259&gt;DateRef)," | Entretien daté dans le futur ?","")&amp;IF(AND($Q259&lt;&gt;"",$P259&lt;&gt;"",$Q259&gt;$P259)," | Date prévue après l'échéance","")&amp;IF(AND($Q259&lt;&gt;"",$Q259&lt;DateRef,OR($N259="",$N259&lt;$Q259))," | Entretien prévu passé : le consigner au Journal","")&amp;IF(AND($G259&lt;&gt;"",$X259="",YEAR(DateRef)-YEAR($G259)&gt;=AgeMiCarriere-1,YEAR(DateRef)-YEAR($G259)&lt;=AgeMiCarriere+1)," | Visite de mi-carrière à vérifier",""),4,1000))</f>
        <v/>
      </c>
      <c r="U259" s="39"/>
      <c r="V259" s="40"/>
      <c r="W259" s="42" t="str">
        <f aca="false">IF(OR($B259="",$V259=""),"",IF(AND($I259&lt;&gt;"",$I259&lt;=DateRef),"",IF(AND($N259&lt;&gt;"",$N259&gt;=$V259),"Réalisé",IF(AND($N259&lt;&gt;"",$N259&gt;=EDATE($V259,-FenetreRetour)),"Dispensé (EPP récent)",IF($V259&gt;DateRef,"À prévoir à la reprise","À proposer (reprise passée)")))))</f>
        <v/>
      </c>
      <c r="X259" s="40"/>
      <c r="Y259" s="43" t="str">
        <f aca="false">IF(OR($B259="",$X259=""),"",EDATE($X259,DelaiMiCarriere))</f>
        <v/>
      </c>
      <c r="Z259" s="42" t="str">
        <f aca="false">IF(OR($B259="",$X259=""),"",IF(AND($I259&lt;&gt;"",$I259&lt;=DateRef),"",IF(AND($N259&lt;&gt;"",$N259&gt;=$X259),"Réalisé",IF($Y259&lt;DateRef,"En retard","À planifier"))))</f>
        <v/>
      </c>
      <c r="AA259" s="47" t="str">
        <f aca="false">IF(OR($B259="",$G259=""),"",IF($G259&gt;DateRef,"",DATEDIF($G259,DateRef,"y")))</f>
        <v/>
      </c>
      <c r="AB259" s="43" t="str">
        <f aca="false">IF(OR($B259="",$G259=""),"",EDATE($G259,AgeFinCarriere*12))</f>
        <v/>
      </c>
      <c r="AC259" s="42" t="str">
        <f aca="false">IF(OR($B259="",$G259="",$H259=""),"",IF(AND($I259&lt;&gt;"",$I259&lt;=DateRef),"",IF($AB259&lt;DateVigueur,"Non concerné",IF(AND($N259&lt;&gt;"",$N259&gt;=MAX(EDATE($AB259,-FenetreFinCarriere*12),DateVigueur),$N259&lt;=$AB259),"Réalisé",IF(DateRef&gt;$AB259,"Non réalisé",IF(AND($Q259&lt;&gt;"",$Q259&gt;=EDATE($AB259,-FenetreFinCarriere*12),$Q259&lt;=$AB259),"Planifié dans la fenêtre",IF(AND(MAX($P259,DateRef)&gt;=EDATE($AB259,-FenetreFinCarriere*12),MAX($P259,DateRef)&lt;=$AB259),"Prochain EPP dans la fenêtre",IF(MAX($P259,DateRef)&gt;$AB259,"À programmer avant 60 ans",""))))))))</f>
        <v/>
      </c>
      <c r="AD259" s="40"/>
      <c r="AE259" s="43" t="str">
        <f aca="false">IF(OR($B259="",$H259="",AND($I259&lt;&gt;"",$I259&lt;=DateRef)),"",MAX($H259,$AD259,IF($A259="",0,SUMPRODUCT(MAX((Journal!$A$6:$A$1005=$A259)*((Journal!$D$6:$D$1005=TypeEDL)+(Journal!$D$6:$D$1005=TypeBilan6))*Journal!$C$6:$C$1005)))))</f>
        <v/>
      </c>
      <c r="AF259" s="43" t="str">
        <f aca="false">IF($AE259="","",IF(AND(ReglesTransitoires="Oui",EDATE($AE259,AnciennePeriodiciteEDL*12)&lt;DateVigueur),EDATE($AE259,AnciennePeriodiciteEDL*12),EDATE($AE259,PeriodiciteEDL*12)))</f>
        <v/>
      </c>
      <c r="AG259" s="42" t="str">
        <f aca="false">IF($AF259="","",IF(AND($I259&lt;&gt;"",$I259&lt;=DateRef),"",IF($AF259&lt;DateRef,"En retard",IF($AF259-DateRef&lt;=SeuilAlerteEDL,"À prévoir","À jour"))))</f>
        <v/>
      </c>
      <c r="AH259" s="39"/>
      <c r="AI259" s="39"/>
      <c r="AJ259" s="42" t="str">
        <f aca="false">IF(OR($B259="",$H259=""),"",IF(AND($I259&lt;&gt;"",$I259&lt;=DateRef),"",IF(Effectif&lt;SeuilEffectif,"Non concerné (&lt; "&amp;SeuilEffectif&amp;" salariés)",IF($AH259="Oui","Pas de risque",IF(AND(OR($AI259="Non",$S259="En retard"),$AH259="Non"),"Risque abondement",IF(OR($AI259="Non",$S259="En retard"),"À vérifier (formation ?)",IF($AI259="Oui","Pas de risque","À compléter")))))))</f>
        <v/>
      </c>
      <c r="AK259" s="39"/>
    </row>
    <row r="260" customFormat="false" ht="15" hidden="false" customHeight="false" outlineLevel="0" collapsed="false">
      <c r="A260" s="39"/>
      <c r="B260" s="39"/>
      <c r="C260" s="39"/>
      <c r="D260" s="39"/>
      <c r="E260" s="39"/>
      <c r="F260" s="39"/>
      <c r="G260" s="40"/>
      <c r="H260" s="40"/>
      <c r="I260" s="40"/>
      <c r="J260" s="41" t="str">
        <f aca="false">IF(OR($B260="",$H260=""),"",IF($H260&gt;DateRef,0,YEARFRAC($H260,DateRef,1)))</f>
        <v/>
      </c>
      <c r="K260" s="42" t="str">
        <f aca="false">IF(OR($B260="",$H260=""),"",IF(EDATE($H260,12)&lt;=DateRef,"Plus d'un an","Moins d'un an"))</f>
        <v/>
      </c>
      <c r="L260" s="40"/>
      <c r="M260" s="43" t="str">
        <f aca="false">IF(OR($B260="",$A260=""),"",IF(SUMPRODUCT(MAX((Journal!$A$6:$A$1005=$A260)*Journal!$C$6:$C$1005))=0,"",SUMPRODUCT(MAX((Journal!$A$6:$A$1005=$A260)*Journal!$C$6:$C$1005))))</f>
        <v/>
      </c>
      <c r="N260" s="43" t="str">
        <f aca="false">IF($B260="","",IF(MAX($L260,$M260)=0,"",MAX($L260,$M260)))</f>
        <v/>
      </c>
      <c r="O260" s="44" t="str">
        <f aca="false">IF(OR($B260="",$H260=""),"",IF($N260="",IF(EDATE($H260,DelaiPremierEPP)&gt;DateRef,"1er EPP (1re année)","Aucun entretien renseigné"),IF(AND(ReglesTransitoires="Oui",EDATE($N260,AnciennePeriodiciteEP*12)&lt;DateVigueur),"Retard antérieur à la réforme","Périodicité "&amp;PeriodiciteEPP&amp;" ans")))</f>
        <v/>
      </c>
      <c r="P260" s="43" t="str">
        <f aca="false">IF(OR($B260="",$H260=""),"",IF($N260="",EDATE($H260,DelaiPremierEPP),IF(AND(ReglesTransitoires="Oui",EDATE($N260,AnciennePeriodiciteEP*12)&lt;DateVigueur),EDATE($N260,AnciennePeriodiciteEP*12),EDATE($N260,PeriodiciteEPP*12))))</f>
        <v/>
      </c>
      <c r="Q260" s="40"/>
      <c r="R260" s="45" t="str">
        <f aca="false">IF(OR($P260="",AND($I260&lt;&gt;"",$I260&lt;=DateRef)),"",$P260-DateRef)</f>
        <v/>
      </c>
      <c r="S260" s="42" t="str">
        <f aca="false">IF($B260="","",IF(AND($I260&lt;&gt;"",$I260&lt;=DateRef),"Sorti",IF($H260="","À compléter",IF(AND($Q260&lt;&gt;"",$Q260&gt;=DateRef,$Q260&lt;=$P260),"Planifié",IF($R260&lt;0,"En retard",IF($R260&lt;=SeuilAlerteEPP,"À planifier","À jour"))))))</f>
        <v/>
      </c>
      <c r="T260" s="46" t="str">
        <f aca="false">IF(OR($B260="",$S260="Sorti"),"",MID(IF($H260=""," | Date d'embauche manquante","")&amp;IF(AND($K260="Plus d'un an",$N260="")," | Précédent entretien à renseigner (ancienneté &gt; 1 an)","")&amp;IF($O260="Retard antérieur à la réforme"," | Ancien délai de 2 ans expiré avant la réforme","")&amp;IF(AND($N260&lt;&gt;"",$H260&lt;&gt;"",$N260&lt;$H260)," | Entretien antérieur à l'embauche ?","")&amp;IF(AND($N260&lt;&gt;"",$N260&gt;DateRef)," | Entretien daté dans le futur ?","")&amp;IF(AND($Q260&lt;&gt;"",$P260&lt;&gt;"",$Q260&gt;$P260)," | Date prévue après l'échéance","")&amp;IF(AND($Q260&lt;&gt;"",$Q260&lt;DateRef,OR($N260="",$N260&lt;$Q260))," | Entretien prévu passé : le consigner au Journal","")&amp;IF(AND($G260&lt;&gt;"",$X260="",YEAR(DateRef)-YEAR($G260)&gt;=AgeMiCarriere-1,YEAR(DateRef)-YEAR($G260)&lt;=AgeMiCarriere+1)," | Visite de mi-carrière à vérifier",""),4,1000))</f>
        <v/>
      </c>
      <c r="U260" s="39"/>
      <c r="V260" s="40"/>
      <c r="W260" s="42" t="str">
        <f aca="false">IF(OR($B260="",$V260=""),"",IF(AND($I260&lt;&gt;"",$I260&lt;=DateRef),"",IF(AND($N260&lt;&gt;"",$N260&gt;=$V260),"Réalisé",IF(AND($N260&lt;&gt;"",$N260&gt;=EDATE($V260,-FenetreRetour)),"Dispensé (EPP récent)",IF($V260&gt;DateRef,"À prévoir à la reprise","À proposer (reprise passée)")))))</f>
        <v/>
      </c>
      <c r="X260" s="40"/>
      <c r="Y260" s="43" t="str">
        <f aca="false">IF(OR($B260="",$X260=""),"",EDATE($X260,DelaiMiCarriere))</f>
        <v/>
      </c>
      <c r="Z260" s="42" t="str">
        <f aca="false">IF(OR($B260="",$X260=""),"",IF(AND($I260&lt;&gt;"",$I260&lt;=DateRef),"",IF(AND($N260&lt;&gt;"",$N260&gt;=$X260),"Réalisé",IF($Y260&lt;DateRef,"En retard","À planifier"))))</f>
        <v/>
      </c>
      <c r="AA260" s="47" t="str">
        <f aca="false">IF(OR($B260="",$G260=""),"",IF($G260&gt;DateRef,"",DATEDIF($G260,DateRef,"y")))</f>
        <v/>
      </c>
      <c r="AB260" s="43" t="str">
        <f aca="false">IF(OR($B260="",$G260=""),"",EDATE($G260,AgeFinCarriere*12))</f>
        <v/>
      </c>
      <c r="AC260" s="42" t="str">
        <f aca="false">IF(OR($B260="",$G260="",$H260=""),"",IF(AND($I260&lt;&gt;"",$I260&lt;=DateRef),"",IF($AB260&lt;DateVigueur,"Non concerné",IF(AND($N260&lt;&gt;"",$N260&gt;=MAX(EDATE($AB260,-FenetreFinCarriere*12),DateVigueur),$N260&lt;=$AB260),"Réalisé",IF(DateRef&gt;$AB260,"Non réalisé",IF(AND($Q260&lt;&gt;"",$Q260&gt;=EDATE($AB260,-FenetreFinCarriere*12),$Q260&lt;=$AB260),"Planifié dans la fenêtre",IF(AND(MAX($P260,DateRef)&gt;=EDATE($AB260,-FenetreFinCarriere*12),MAX($P260,DateRef)&lt;=$AB260),"Prochain EPP dans la fenêtre",IF(MAX($P260,DateRef)&gt;$AB260,"À programmer avant 60 ans",""))))))))</f>
        <v/>
      </c>
      <c r="AD260" s="40"/>
      <c r="AE260" s="43" t="str">
        <f aca="false">IF(OR($B260="",$H260="",AND($I260&lt;&gt;"",$I260&lt;=DateRef)),"",MAX($H260,$AD260,IF($A260="",0,SUMPRODUCT(MAX((Journal!$A$6:$A$1005=$A260)*((Journal!$D$6:$D$1005=TypeEDL)+(Journal!$D$6:$D$1005=TypeBilan6))*Journal!$C$6:$C$1005)))))</f>
        <v/>
      </c>
      <c r="AF260" s="43" t="str">
        <f aca="false">IF($AE260="","",IF(AND(ReglesTransitoires="Oui",EDATE($AE260,AnciennePeriodiciteEDL*12)&lt;DateVigueur),EDATE($AE260,AnciennePeriodiciteEDL*12),EDATE($AE260,PeriodiciteEDL*12)))</f>
        <v/>
      </c>
      <c r="AG260" s="42" t="str">
        <f aca="false">IF($AF260="","",IF(AND($I260&lt;&gt;"",$I260&lt;=DateRef),"",IF($AF260&lt;DateRef,"En retard",IF($AF260-DateRef&lt;=SeuilAlerteEDL,"À prévoir","À jour"))))</f>
        <v/>
      </c>
      <c r="AH260" s="39"/>
      <c r="AI260" s="39"/>
      <c r="AJ260" s="42" t="str">
        <f aca="false">IF(OR($B260="",$H260=""),"",IF(AND($I260&lt;&gt;"",$I260&lt;=DateRef),"",IF(Effectif&lt;SeuilEffectif,"Non concerné (&lt; "&amp;SeuilEffectif&amp;" salariés)",IF($AH260="Oui","Pas de risque",IF(AND(OR($AI260="Non",$S260="En retard"),$AH260="Non"),"Risque abondement",IF(OR($AI260="Non",$S260="En retard"),"À vérifier (formation ?)",IF($AI260="Oui","Pas de risque","À compléter")))))))</f>
        <v/>
      </c>
      <c r="AK260" s="39"/>
    </row>
    <row r="261" customFormat="false" ht="15" hidden="false" customHeight="false" outlineLevel="0" collapsed="false">
      <c r="A261" s="39"/>
      <c r="B261" s="39"/>
      <c r="C261" s="39"/>
      <c r="D261" s="39"/>
      <c r="E261" s="39"/>
      <c r="F261" s="39"/>
      <c r="G261" s="40"/>
      <c r="H261" s="40"/>
      <c r="I261" s="40"/>
      <c r="J261" s="41" t="str">
        <f aca="false">IF(OR($B261="",$H261=""),"",IF($H261&gt;DateRef,0,YEARFRAC($H261,DateRef,1)))</f>
        <v/>
      </c>
      <c r="K261" s="42" t="str">
        <f aca="false">IF(OR($B261="",$H261=""),"",IF(EDATE($H261,12)&lt;=DateRef,"Plus d'un an","Moins d'un an"))</f>
        <v/>
      </c>
      <c r="L261" s="40"/>
      <c r="M261" s="43" t="str">
        <f aca="false">IF(OR($B261="",$A261=""),"",IF(SUMPRODUCT(MAX((Journal!$A$6:$A$1005=$A261)*Journal!$C$6:$C$1005))=0,"",SUMPRODUCT(MAX((Journal!$A$6:$A$1005=$A261)*Journal!$C$6:$C$1005))))</f>
        <v/>
      </c>
      <c r="N261" s="43" t="str">
        <f aca="false">IF($B261="","",IF(MAX($L261,$M261)=0,"",MAX($L261,$M261)))</f>
        <v/>
      </c>
      <c r="O261" s="44" t="str">
        <f aca="false">IF(OR($B261="",$H261=""),"",IF($N261="",IF(EDATE($H261,DelaiPremierEPP)&gt;DateRef,"1er EPP (1re année)","Aucun entretien renseigné"),IF(AND(ReglesTransitoires="Oui",EDATE($N261,AnciennePeriodiciteEP*12)&lt;DateVigueur),"Retard antérieur à la réforme","Périodicité "&amp;PeriodiciteEPP&amp;" ans")))</f>
        <v/>
      </c>
      <c r="P261" s="43" t="str">
        <f aca="false">IF(OR($B261="",$H261=""),"",IF($N261="",EDATE($H261,DelaiPremierEPP),IF(AND(ReglesTransitoires="Oui",EDATE($N261,AnciennePeriodiciteEP*12)&lt;DateVigueur),EDATE($N261,AnciennePeriodiciteEP*12),EDATE($N261,PeriodiciteEPP*12))))</f>
        <v/>
      </c>
      <c r="Q261" s="40"/>
      <c r="R261" s="45" t="str">
        <f aca="false">IF(OR($P261="",AND($I261&lt;&gt;"",$I261&lt;=DateRef)),"",$P261-DateRef)</f>
        <v/>
      </c>
      <c r="S261" s="42" t="str">
        <f aca="false">IF($B261="","",IF(AND($I261&lt;&gt;"",$I261&lt;=DateRef),"Sorti",IF($H261="","À compléter",IF(AND($Q261&lt;&gt;"",$Q261&gt;=DateRef,$Q261&lt;=$P261),"Planifié",IF($R261&lt;0,"En retard",IF($R261&lt;=SeuilAlerteEPP,"À planifier","À jour"))))))</f>
        <v/>
      </c>
      <c r="T261" s="46" t="str">
        <f aca="false">IF(OR($B261="",$S261="Sorti"),"",MID(IF($H261=""," | Date d'embauche manquante","")&amp;IF(AND($K261="Plus d'un an",$N261="")," | Précédent entretien à renseigner (ancienneté &gt; 1 an)","")&amp;IF($O261="Retard antérieur à la réforme"," | Ancien délai de 2 ans expiré avant la réforme","")&amp;IF(AND($N261&lt;&gt;"",$H261&lt;&gt;"",$N261&lt;$H261)," | Entretien antérieur à l'embauche ?","")&amp;IF(AND($N261&lt;&gt;"",$N261&gt;DateRef)," | Entretien daté dans le futur ?","")&amp;IF(AND($Q261&lt;&gt;"",$P261&lt;&gt;"",$Q261&gt;$P261)," | Date prévue après l'échéance","")&amp;IF(AND($Q261&lt;&gt;"",$Q261&lt;DateRef,OR($N261="",$N261&lt;$Q261))," | Entretien prévu passé : le consigner au Journal","")&amp;IF(AND($G261&lt;&gt;"",$X261="",YEAR(DateRef)-YEAR($G261)&gt;=AgeMiCarriere-1,YEAR(DateRef)-YEAR($G261)&lt;=AgeMiCarriere+1)," | Visite de mi-carrière à vérifier",""),4,1000))</f>
        <v/>
      </c>
      <c r="U261" s="39"/>
      <c r="V261" s="40"/>
      <c r="W261" s="42" t="str">
        <f aca="false">IF(OR($B261="",$V261=""),"",IF(AND($I261&lt;&gt;"",$I261&lt;=DateRef),"",IF(AND($N261&lt;&gt;"",$N261&gt;=$V261),"Réalisé",IF(AND($N261&lt;&gt;"",$N261&gt;=EDATE($V261,-FenetreRetour)),"Dispensé (EPP récent)",IF($V261&gt;DateRef,"À prévoir à la reprise","À proposer (reprise passée)")))))</f>
        <v/>
      </c>
      <c r="X261" s="40"/>
      <c r="Y261" s="43" t="str">
        <f aca="false">IF(OR($B261="",$X261=""),"",EDATE($X261,DelaiMiCarriere))</f>
        <v/>
      </c>
      <c r="Z261" s="42" t="str">
        <f aca="false">IF(OR($B261="",$X261=""),"",IF(AND($I261&lt;&gt;"",$I261&lt;=DateRef),"",IF(AND($N261&lt;&gt;"",$N261&gt;=$X261),"Réalisé",IF($Y261&lt;DateRef,"En retard","À planifier"))))</f>
        <v/>
      </c>
      <c r="AA261" s="47" t="str">
        <f aca="false">IF(OR($B261="",$G261=""),"",IF($G261&gt;DateRef,"",DATEDIF($G261,DateRef,"y")))</f>
        <v/>
      </c>
      <c r="AB261" s="43" t="str">
        <f aca="false">IF(OR($B261="",$G261=""),"",EDATE($G261,AgeFinCarriere*12))</f>
        <v/>
      </c>
      <c r="AC261" s="42" t="str">
        <f aca="false">IF(OR($B261="",$G261="",$H261=""),"",IF(AND($I261&lt;&gt;"",$I261&lt;=DateRef),"",IF($AB261&lt;DateVigueur,"Non concerné",IF(AND($N261&lt;&gt;"",$N261&gt;=MAX(EDATE($AB261,-FenetreFinCarriere*12),DateVigueur),$N261&lt;=$AB261),"Réalisé",IF(DateRef&gt;$AB261,"Non réalisé",IF(AND($Q261&lt;&gt;"",$Q261&gt;=EDATE($AB261,-FenetreFinCarriere*12),$Q261&lt;=$AB261),"Planifié dans la fenêtre",IF(AND(MAX($P261,DateRef)&gt;=EDATE($AB261,-FenetreFinCarriere*12),MAX($P261,DateRef)&lt;=$AB261),"Prochain EPP dans la fenêtre",IF(MAX($P261,DateRef)&gt;$AB261,"À programmer avant 60 ans",""))))))))</f>
        <v/>
      </c>
      <c r="AD261" s="40"/>
      <c r="AE261" s="43" t="str">
        <f aca="false">IF(OR($B261="",$H261="",AND($I261&lt;&gt;"",$I261&lt;=DateRef)),"",MAX($H261,$AD261,IF($A261="",0,SUMPRODUCT(MAX((Journal!$A$6:$A$1005=$A261)*((Journal!$D$6:$D$1005=TypeEDL)+(Journal!$D$6:$D$1005=TypeBilan6))*Journal!$C$6:$C$1005)))))</f>
        <v/>
      </c>
      <c r="AF261" s="43" t="str">
        <f aca="false">IF($AE261="","",IF(AND(ReglesTransitoires="Oui",EDATE($AE261,AnciennePeriodiciteEDL*12)&lt;DateVigueur),EDATE($AE261,AnciennePeriodiciteEDL*12),EDATE($AE261,PeriodiciteEDL*12)))</f>
        <v/>
      </c>
      <c r="AG261" s="42" t="str">
        <f aca="false">IF($AF261="","",IF(AND($I261&lt;&gt;"",$I261&lt;=DateRef),"",IF($AF261&lt;DateRef,"En retard",IF($AF261-DateRef&lt;=SeuilAlerteEDL,"À prévoir","À jour"))))</f>
        <v/>
      </c>
      <c r="AH261" s="39"/>
      <c r="AI261" s="39"/>
      <c r="AJ261" s="42" t="str">
        <f aca="false">IF(OR($B261="",$H261=""),"",IF(AND($I261&lt;&gt;"",$I261&lt;=DateRef),"",IF(Effectif&lt;SeuilEffectif,"Non concerné (&lt; "&amp;SeuilEffectif&amp;" salariés)",IF($AH261="Oui","Pas de risque",IF(AND(OR($AI261="Non",$S261="En retard"),$AH261="Non"),"Risque abondement",IF(OR($AI261="Non",$S261="En retard"),"À vérifier (formation ?)",IF($AI261="Oui","Pas de risque","À compléter")))))))</f>
        <v/>
      </c>
      <c r="AK261" s="39"/>
    </row>
    <row r="262" customFormat="false" ht="15" hidden="false" customHeight="false" outlineLevel="0" collapsed="false">
      <c r="A262" s="39"/>
      <c r="B262" s="39"/>
      <c r="C262" s="39"/>
      <c r="D262" s="39"/>
      <c r="E262" s="39"/>
      <c r="F262" s="39"/>
      <c r="G262" s="40"/>
      <c r="H262" s="40"/>
      <c r="I262" s="40"/>
      <c r="J262" s="41" t="str">
        <f aca="false">IF(OR($B262="",$H262=""),"",IF($H262&gt;DateRef,0,YEARFRAC($H262,DateRef,1)))</f>
        <v/>
      </c>
      <c r="K262" s="42" t="str">
        <f aca="false">IF(OR($B262="",$H262=""),"",IF(EDATE($H262,12)&lt;=DateRef,"Plus d'un an","Moins d'un an"))</f>
        <v/>
      </c>
      <c r="L262" s="40"/>
      <c r="M262" s="43" t="str">
        <f aca="false">IF(OR($B262="",$A262=""),"",IF(SUMPRODUCT(MAX((Journal!$A$6:$A$1005=$A262)*Journal!$C$6:$C$1005))=0,"",SUMPRODUCT(MAX((Journal!$A$6:$A$1005=$A262)*Journal!$C$6:$C$1005))))</f>
        <v/>
      </c>
      <c r="N262" s="43" t="str">
        <f aca="false">IF($B262="","",IF(MAX($L262,$M262)=0,"",MAX($L262,$M262)))</f>
        <v/>
      </c>
      <c r="O262" s="44" t="str">
        <f aca="false">IF(OR($B262="",$H262=""),"",IF($N262="",IF(EDATE($H262,DelaiPremierEPP)&gt;DateRef,"1er EPP (1re année)","Aucun entretien renseigné"),IF(AND(ReglesTransitoires="Oui",EDATE($N262,AnciennePeriodiciteEP*12)&lt;DateVigueur),"Retard antérieur à la réforme","Périodicité "&amp;PeriodiciteEPP&amp;" ans")))</f>
        <v/>
      </c>
      <c r="P262" s="43" t="str">
        <f aca="false">IF(OR($B262="",$H262=""),"",IF($N262="",EDATE($H262,DelaiPremierEPP),IF(AND(ReglesTransitoires="Oui",EDATE($N262,AnciennePeriodiciteEP*12)&lt;DateVigueur),EDATE($N262,AnciennePeriodiciteEP*12),EDATE($N262,PeriodiciteEPP*12))))</f>
        <v/>
      </c>
      <c r="Q262" s="40"/>
      <c r="R262" s="45" t="str">
        <f aca="false">IF(OR($P262="",AND($I262&lt;&gt;"",$I262&lt;=DateRef)),"",$P262-DateRef)</f>
        <v/>
      </c>
      <c r="S262" s="42" t="str">
        <f aca="false">IF($B262="","",IF(AND($I262&lt;&gt;"",$I262&lt;=DateRef),"Sorti",IF($H262="","À compléter",IF(AND($Q262&lt;&gt;"",$Q262&gt;=DateRef,$Q262&lt;=$P262),"Planifié",IF($R262&lt;0,"En retard",IF($R262&lt;=SeuilAlerteEPP,"À planifier","À jour"))))))</f>
        <v/>
      </c>
      <c r="T262" s="46" t="str">
        <f aca="false">IF(OR($B262="",$S262="Sorti"),"",MID(IF($H262=""," | Date d'embauche manquante","")&amp;IF(AND($K262="Plus d'un an",$N262="")," | Précédent entretien à renseigner (ancienneté &gt; 1 an)","")&amp;IF($O262="Retard antérieur à la réforme"," | Ancien délai de 2 ans expiré avant la réforme","")&amp;IF(AND($N262&lt;&gt;"",$H262&lt;&gt;"",$N262&lt;$H262)," | Entretien antérieur à l'embauche ?","")&amp;IF(AND($N262&lt;&gt;"",$N262&gt;DateRef)," | Entretien daté dans le futur ?","")&amp;IF(AND($Q262&lt;&gt;"",$P262&lt;&gt;"",$Q262&gt;$P262)," | Date prévue après l'échéance","")&amp;IF(AND($Q262&lt;&gt;"",$Q262&lt;DateRef,OR($N262="",$N262&lt;$Q262))," | Entretien prévu passé : le consigner au Journal","")&amp;IF(AND($G262&lt;&gt;"",$X262="",YEAR(DateRef)-YEAR($G262)&gt;=AgeMiCarriere-1,YEAR(DateRef)-YEAR($G262)&lt;=AgeMiCarriere+1)," | Visite de mi-carrière à vérifier",""),4,1000))</f>
        <v/>
      </c>
      <c r="U262" s="39"/>
      <c r="V262" s="40"/>
      <c r="W262" s="42" t="str">
        <f aca="false">IF(OR($B262="",$V262=""),"",IF(AND($I262&lt;&gt;"",$I262&lt;=DateRef),"",IF(AND($N262&lt;&gt;"",$N262&gt;=$V262),"Réalisé",IF(AND($N262&lt;&gt;"",$N262&gt;=EDATE($V262,-FenetreRetour)),"Dispensé (EPP récent)",IF($V262&gt;DateRef,"À prévoir à la reprise","À proposer (reprise passée)")))))</f>
        <v/>
      </c>
      <c r="X262" s="40"/>
      <c r="Y262" s="43" t="str">
        <f aca="false">IF(OR($B262="",$X262=""),"",EDATE($X262,DelaiMiCarriere))</f>
        <v/>
      </c>
      <c r="Z262" s="42" t="str">
        <f aca="false">IF(OR($B262="",$X262=""),"",IF(AND($I262&lt;&gt;"",$I262&lt;=DateRef),"",IF(AND($N262&lt;&gt;"",$N262&gt;=$X262),"Réalisé",IF($Y262&lt;DateRef,"En retard","À planifier"))))</f>
        <v/>
      </c>
      <c r="AA262" s="47" t="str">
        <f aca="false">IF(OR($B262="",$G262=""),"",IF($G262&gt;DateRef,"",DATEDIF($G262,DateRef,"y")))</f>
        <v/>
      </c>
      <c r="AB262" s="43" t="str">
        <f aca="false">IF(OR($B262="",$G262=""),"",EDATE($G262,AgeFinCarriere*12))</f>
        <v/>
      </c>
      <c r="AC262" s="42" t="str">
        <f aca="false">IF(OR($B262="",$G262="",$H262=""),"",IF(AND($I262&lt;&gt;"",$I262&lt;=DateRef),"",IF($AB262&lt;DateVigueur,"Non concerné",IF(AND($N262&lt;&gt;"",$N262&gt;=MAX(EDATE($AB262,-FenetreFinCarriere*12),DateVigueur),$N262&lt;=$AB262),"Réalisé",IF(DateRef&gt;$AB262,"Non réalisé",IF(AND($Q262&lt;&gt;"",$Q262&gt;=EDATE($AB262,-FenetreFinCarriere*12),$Q262&lt;=$AB262),"Planifié dans la fenêtre",IF(AND(MAX($P262,DateRef)&gt;=EDATE($AB262,-FenetreFinCarriere*12),MAX($P262,DateRef)&lt;=$AB262),"Prochain EPP dans la fenêtre",IF(MAX($P262,DateRef)&gt;$AB262,"À programmer avant 60 ans",""))))))))</f>
        <v/>
      </c>
      <c r="AD262" s="40"/>
      <c r="AE262" s="43" t="str">
        <f aca="false">IF(OR($B262="",$H262="",AND($I262&lt;&gt;"",$I262&lt;=DateRef)),"",MAX($H262,$AD262,IF($A262="",0,SUMPRODUCT(MAX((Journal!$A$6:$A$1005=$A262)*((Journal!$D$6:$D$1005=TypeEDL)+(Journal!$D$6:$D$1005=TypeBilan6))*Journal!$C$6:$C$1005)))))</f>
        <v/>
      </c>
      <c r="AF262" s="43" t="str">
        <f aca="false">IF($AE262="","",IF(AND(ReglesTransitoires="Oui",EDATE($AE262,AnciennePeriodiciteEDL*12)&lt;DateVigueur),EDATE($AE262,AnciennePeriodiciteEDL*12),EDATE($AE262,PeriodiciteEDL*12)))</f>
        <v/>
      </c>
      <c r="AG262" s="42" t="str">
        <f aca="false">IF($AF262="","",IF(AND($I262&lt;&gt;"",$I262&lt;=DateRef),"",IF($AF262&lt;DateRef,"En retard",IF($AF262-DateRef&lt;=SeuilAlerteEDL,"À prévoir","À jour"))))</f>
        <v/>
      </c>
      <c r="AH262" s="39"/>
      <c r="AI262" s="39"/>
      <c r="AJ262" s="42" t="str">
        <f aca="false">IF(OR($B262="",$H262=""),"",IF(AND($I262&lt;&gt;"",$I262&lt;=DateRef),"",IF(Effectif&lt;SeuilEffectif,"Non concerné (&lt; "&amp;SeuilEffectif&amp;" salariés)",IF($AH262="Oui","Pas de risque",IF(AND(OR($AI262="Non",$S262="En retard"),$AH262="Non"),"Risque abondement",IF(OR($AI262="Non",$S262="En retard"),"À vérifier (formation ?)",IF($AI262="Oui","Pas de risque","À compléter")))))))</f>
        <v/>
      </c>
      <c r="AK262" s="39"/>
    </row>
    <row r="263" customFormat="false" ht="15" hidden="false" customHeight="false" outlineLevel="0" collapsed="false">
      <c r="A263" s="39"/>
      <c r="B263" s="39"/>
      <c r="C263" s="39"/>
      <c r="D263" s="39"/>
      <c r="E263" s="39"/>
      <c r="F263" s="39"/>
      <c r="G263" s="40"/>
      <c r="H263" s="40"/>
      <c r="I263" s="40"/>
      <c r="J263" s="41" t="str">
        <f aca="false">IF(OR($B263="",$H263=""),"",IF($H263&gt;DateRef,0,YEARFRAC($H263,DateRef,1)))</f>
        <v/>
      </c>
      <c r="K263" s="42" t="str">
        <f aca="false">IF(OR($B263="",$H263=""),"",IF(EDATE($H263,12)&lt;=DateRef,"Plus d'un an","Moins d'un an"))</f>
        <v/>
      </c>
      <c r="L263" s="40"/>
      <c r="M263" s="43" t="str">
        <f aca="false">IF(OR($B263="",$A263=""),"",IF(SUMPRODUCT(MAX((Journal!$A$6:$A$1005=$A263)*Journal!$C$6:$C$1005))=0,"",SUMPRODUCT(MAX((Journal!$A$6:$A$1005=$A263)*Journal!$C$6:$C$1005))))</f>
        <v/>
      </c>
      <c r="N263" s="43" t="str">
        <f aca="false">IF($B263="","",IF(MAX($L263,$M263)=0,"",MAX($L263,$M263)))</f>
        <v/>
      </c>
      <c r="O263" s="44" t="str">
        <f aca="false">IF(OR($B263="",$H263=""),"",IF($N263="",IF(EDATE($H263,DelaiPremierEPP)&gt;DateRef,"1er EPP (1re année)","Aucun entretien renseigné"),IF(AND(ReglesTransitoires="Oui",EDATE($N263,AnciennePeriodiciteEP*12)&lt;DateVigueur),"Retard antérieur à la réforme","Périodicité "&amp;PeriodiciteEPP&amp;" ans")))</f>
        <v/>
      </c>
      <c r="P263" s="43" t="str">
        <f aca="false">IF(OR($B263="",$H263=""),"",IF($N263="",EDATE($H263,DelaiPremierEPP),IF(AND(ReglesTransitoires="Oui",EDATE($N263,AnciennePeriodiciteEP*12)&lt;DateVigueur),EDATE($N263,AnciennePeriodiciteEP*12),EDATE($N263,PeriodiciteEPP*12))))</f>
        <v/>
      </c>
      <c r="Q263" s="40"/>
      <c r="R263" s="45" t="str">
        <f aca="false">IF(OR($P263="",AND($I263&lt;&gt;"",$I263&lt;=DateRef)),"",$P263-DateRef)</f>
        <v/>
      </c>
      <c r="S263" s="42" t="str">
        <f aca="false">IF($B263="","",IF(AND($I263&lt;&gt;"",$I263&lt;=DateRef),"Sorti",IF($H263="","À compléter",IF(AND($Q263&lt;&gt;"",$Q263&gt;=DateRef,$Q263&lt;=$P263),"Planifié",IF($R263&lt;0,"En retard",IF($R263&lt;=SeuilAlerteEPP,"À planifier","À jour"))))))</f>
        <v/>
      </c>
      <c r="T263" s="46" t="str">
        <f aca="false">IF(OR($B263="",$S263="Sorti"),"",MID(IF($H263=""," | Date d'embauche manquante","")&amp;IF(AND($K263="Plus d'un an",$N263="")," | Précédent entretien à renseigner (ancienneté &gt; 1 an)","")&amp;IF($O263="Retard antérieur à la réforme"," | Ancien délai de 2 ans expiré avant la réforme","")&amp;IF(AND($N263&lt;&gt;"",$H263&lt;&gt;"",$N263&lt;$H263)," | Entretien antérieur à l'embauche ?","")&amp;IF(AND($N263&lt;&gt;"",$N263&gt;DateRef)," | Entretien daté dans le futur ?","")&amp;IF(AND($Q263&lt;&gt;"",$P263&lt;&gt;"",$Q263&gt;$P263)," | Date prévue après l'échéance","")&amp;IF(AND($Q263&lt;&gt;"",$Q263&lt;DateRef,OR($N263="",$N263&lt;$Q263))," | Entretien prévu passé : le consigner au Journal","")&amp;IF(AND($G263&lt;&gt;"",$X263="",YEAR(DateRef)-YEAR($G263)&gt;=AgeMiCarriere-1,YEAR(DateRef)-YEAR($G263)&lt;=AgeMiCarriere+1)," | Visite de mi-carrière à vérifier",""),4,1000))</f>
        <v/>
      </c>
      <c r="U263" s="39"/>
      <c r="V263" s="40"/>
      <c r="W263" s="42" t="str">
        <f aca="false">IF(OR($B263="",$V263=""),"",IF(AND($I263&lt;&gt;"",$I263&lt;=DateRef),"",IF(AND($N263&lt;&gt;"",$N263&gt;=$V263),"Réalisé",IF(AND($N263&lt;&gt;"",$N263&gt;=EDATE($V263,-FenetreRetour)),"Dispensé (EPP récent)",IF($V263&gt;DateRef,"À prévoir à la reprise","À proposer (reprise passée)")))))</f>
        <v/>
      </c>
      <c r="X263" s="40"/>
      <c r="Y263" s="43" t="str">
        <f aca="false">IF(OR($B263="",$X263=""),"",EDATE($X263,DelaiMiCarriere))</f>
        <v/>
      </c>
      <c r="Z263" s="42" t="str">
        <f aca="false">IF(OR($B263="",$X263=""),"",IF(AND($I263&lt;&gt;"",$I263&lt;=DateRef),"",IF(AND($N263&lt;&gt;"",$N263&gt;=$X263),"Réalisé",IF($Y263&lt;DateRef,"En retard","À planifier"))))</f>
        <v/>
      </c>
      <c r="AA263" s="47" t="str">
        <f aca="false">IF(OR($B263="",$G263=""),"",IF($G263&gt;DateRef,"",DATEDIF($G263,DateRef,"y")))</f>
        <v/>
      </c>
      <c r="AB263" s="43" t="str">
        <f aca="false">IF(OR($B263="",$G263=""),"",EDATE($G263,AgeFinCarriere*12))</f>
        <v/>
      </c>
      <c r="AC263" s="42" t="str">
        <f aca="false">IF(OR($B263="",$G263="",$H263=""),"",IF(AND($I263&lt;&gt;"",$I263&lt;=DateRef),"",IF($AB263&lt;DateVigueur,"Non concerné",IF(AND($N263&lt;&gt;"",$N263&gt;=MAX(EDATE($AB263,-FenetreFinCarriere*12),DateVigueur),$N263&lt;=$AB263),"Réalisé",IF(DateRef&gt;$AB263,"Non réalisé",IF(AND($Q263&lt;&gt;"",$Q263&gt;=EDATE($AB263,-FenetreFinCarriere*12),$Q263&lt;=$AB263),"Planifié dans la fenêtre",IF(AND(MAX($P263,DateRef)&gt;=EDATE($AB263,-FenetreFinCarriere*12),MAX($P263,DateRef)&lt;=$AB263),"Prochain EPP dans la fenêtre",IF(MAX($P263,DateRef)&gt;$AB263,"À programmer avant 60 ans",""))))))))</f>
        <v/>
      </c>
      <c r="AD263" s="40"/>
      <c r="AE263" s="43" t="str">
        <f aca="false">IF(OR($B263="",$H263="",AND($I263&lt;&gt;"",$I263&lt;=DateRef)),"",MAX($H263,$AD263,IF($A263="",0,SUMPRODUCT(MAX((Journal!$A$6:$A$1005=$A263)*((Journal!$D$6:$D$1005=TypeEDL)+(Journal!$D$6:$D$1005=TypeBilan6))*Journal!$C$6:$C$1005)))))</f>
        <v/>
      </c>
      <c r="AF263" s="43" t="str">
        <f aca="false">IF($AE263="","",IF(AND(ReglesTransitoires="Oui",EDATE($AE263,AnciennePeriodiciteEDL*12)&lt;DateVigueur),EDATE($AE263,AnciennePeriodiciteEDL*12),EDATE($AE263,PeriodiciteEDL*12)))</f>
        <v/>
      </c>
      <c r="AG263" s="42" t="str">
        <f aca="false">IF($AF263="","",IF(AND($I263&lt;&gt;"",$I263&lt;=DateRef),"",IF($AF263&lt;DateRef,"En retard",IF($AF263-DateRef&lt;=SeuilAlerteEDL,"À prévoir","À jour"))))</f>
        <v/>
      </c>
      <c r="AH263" s="39"/>
      <c r="AI263" s="39"/>
      <c r="AJ263" s="42" t="str">
        <f aca="false">IF(OR($B263="",$H263=""),"",IF(AND($I263&lt;&gt;"",$I263&lt;=DateRef),"",IF(Effectif&lt;SeuilEffectif,"Non concerné (&lt; "&amp;SeuilEffectif&amp;" salariés)",IF($AH263="Oui","Pas de risque",IF(AND(OR($AI263="Non",$S263="En retard"),$AH263="Non"),"Risque abondement",IF(OR($AI263="Non",$S263="En retard"),"À vérifier (formation ?)",IF($AI263="Oui","Pas de risque","À compléter")))))))</f>
        <v/>
      </c>
      <c r="AK263" s="39"/>
    </row>
    <row r="264" customFormat="false" ht="15" hidden="false" customHeight="false" outlineLevel="0" collapsed="false">
      <c r="A264" s="39"/>
      <c r="B264" s="39"/>
      <c r="C264" s="39"/>
      <c r="D264" s="39"/>
      <c r="E264" s="39"/>
      <c r="F264" s="39"/>
      <c r="G264" s="40"/>
      <c r="H264" s="40"/>
      <c r="I264" s="40"/>
      <c r="J264" s="41" t="str">
        <f aca="false">IF(OR($B264="",$H264=""),"",IF($H264&gt;DateRef,0,YEARFRAC($H264,DateRef,1)))</f>
        <v/>
      </c>
      <c r="K264" s="42" t="str">
        <f aca="false">IF(OR($B264="",$H264=""),"",IF(EDATE($H264,12)&lt;=DateRef,"Plus d'un an","Moins d'un an"))</f>
        <v/>
      </c>
      <c r="L264" s="40"/>
      <c r="M264" s="43" t="str">
        <f aca="false">IF(OR($B264="",$A264=""),"",IF(SUMPRODUCT(MAX((Journal!$A$6:$A$1005=$A264)*Journal!$C$6:$C$1005))=0,"",SUMPRODUCT(MAX((Journal!$A$6:$A$1005=$A264)*Journal!$C$6:$C$1005))))</f>
        <v/>
      </c>
      <c r="N264" s="43" t="str">
        <f aca="false">IF($B264="","",IF(MAX($L264,$M264)=0,"",MAX($L264,$M264)))</f>
        <v/>
      </c>
      <c r="O264" s="44" t="str">
        <f aca="false">IF(OR($B264="",$H264=""),"",IF($N264="",IF(EDATE($H264,DelaiPremierEPP)&gt;DateRef,"1er EPP (1re année)","Aucun entretien renseigné"),IF(AND(ReglesTransitoires="Oui",EDATE($N264,AnciennePeriodiciteEP*12)&lt;DateVigueur),"Retard antérieur à la réforme","Périodicité "&amp;PeriodiciteEPP&amp;" ans")))</f>
        <v/>
      </c>
      <c r="P264" s="43" t="str">
        <f aca="false">IF(OR($B264="",$H264=""),"",IF($N264="",EDATE($H264,DelaiPremierEPP),IF(AND(ReglesTransitoires="Oui",EDATE($N264,AnciennePeriodiciteEP*12)&lt;DateVigueur),EDATE($N264,AnciennePeriodiciteEP*12),EDATE($N264,PeriodiciteEPP*12))))</f>
        <v/>
      </c>
      <c r="Q264" s="40"/>
      <c r="R264" s="45" t="str">
        <f aca="false">IF(OR($P264="",AND($I264&lt;&gt;"",$I264&lt;=DateRef)),"",$P264-DateRef)</f>
        <v/>
      </c>
      <c r="S264" s="42" t="str">
        <f aca="false">IF($B264="","",IF(AND($I264&lt;&gt;"",$I264&lt;=DateRef),"Sorti",IF($H264="","À compléter",IF(AND($Q264&lt;&gt;"",$Q264&gt;=DateRef,$Q264&lt;=$P264),"Planifié",IF($R264&lt;0,"En retard",IF($R264&lt;=SeuilAlerteEPP,"À planifier","À jour"))))))</f>
        <v/>
      </c>
      <c r="T264" s="46" t="str">
        <f aca="false">IF(OR($B264="",$S264="Sorti"),"",MID(IF($H264=""," | Date d'embauche manquante","")&amp;IF(AND($K264="Plus d'un an",$N264="")," | Précédent entretien à renseigner (ancienneté &gt; 1 an)","")&amp;IF($O264="Retard antérieur à la réforme"," | Ancien délai de 2 ans expiré avant la réforme","")&amp;IF(AND($N264&lt;&gt;"",$H264&lt;&gt;"",$N264&lt;$H264)," | Entretien antérieur à l'embauche ?","")&amp;IF(AND($N264&lt;&gt;"",$N264&gt;DateRef)," | Entretien daté dans le futur ?","")&amp;IF(AND($Q264&lt;&gt;"",$P264&lt;&gt;"",$Q264&gt;$P264)," | Date prévue après l'échéance","")&amp;IF(AND($Q264&lt;&gt;"",$Q264&lt;DateRef,OR($N264="",$N264&lt;$Q264))," | Entretien prévu passé : le consigner au Journal","")&amp;IF(AND($G264&lt;&gt;"",$X264="",YEAR(DateRef)-YEAR($G264)&gt;=AgeMiCarriere-1,YEAR(DateRef)-YEAR($G264)&lt;=AgeMiCarriere+1)," | Visite de mi-carrière à vérifier",""),4,1000))</f>
        <v/>
      </c>
      <c r="U264" s="39"/>
      <c r="V264" s="40"/>
      <c r="W264" s="42" t="str">
        <f aca="false">IF(OR($B264="",$V264=""),"",IF(AND($I264&lt;&gt;"",$I264&lt;=DateRef),"",IF(AND($N264&lt;&gt;"",$N264&gt;=$V264),"Réalisé",IF(AND($N264&lt;&gt;"",$N264&gt;=EDATE($V264,-FenetreRetour)),"Dispensé (EPP récent)",IF($V264&gt;DateRef,"À prévoir à la reprise","À proposer (reprise passée)")))))</f>
        <v/>
      </c>
      <c r="X264" s="40"/>
      <c r="Y264" s="43" t="str">
        <f aca="false">IF(OR($B264="",$X264=""),"",EDATE($X264,DelaiMiCarriere))</f>
        <v/>
      </c>
      <c r="Z264" s="42" t="str">
        <f aca="false">IF(OR($B264="",$X264=""),"",IF(AND($I264&lt;&gt;"",$I264&lt;=DateRef),"",IF(AND($N264&lt;&gt;"",$N264&gt;=$X264),"Réalisé",IF($Y264&lt;DateRef,"En retard","À planifier"))))</f>
        <v/>
      </c>
      <c r="AA264" s="47" t="str">
        <f aca="false">IF(OR($B264="",$G264=""),"",IF($G264&gt;DateRef,"",DATEDIF($G264,DateRef,"y")))</f>
        <v/>
      </c>
      <c r="AB264" s="43" t="str">
        <f aca="false">IF(OR($B264="",$G264=""),"",EDATE($G264,AgeFinCarriere*12))</f>
        <v/>
      </c>
      <c r="AC264" s="42" t="str">
        <f aca="false">IF(OR($B264="",$G264="",$H264=""),"",IF(AND($I264&lt;&gt;"",$I264&lt;=DateRef),"",IF($AB264&lt;DateVigueur,"Non concerné",IF(AND($N264&lt;&gt;"",$N264&gt;=MAX(EDATE($AB264,-FenetreFinCarriere*12),DateVigueur),$N264&lt;=$AB264),"Réalisé",IF(DateRef&gt;$AB264,"Non réalisé",IF(AND($Q264&lt;&gt;"",$Q264&gt;=EDATE($AB264,-FenetreFinCarriere*12),$Q264&lt;=$AB264),"Planifié dans la fenêtre",IF(AND(MAX($P264,DateRef)&gt;=EDATE($AB264,-FenetreFinCarriere*12),MAX($P264,DateRef)&lt;=$AB264),"Prochain EPP dans la fenêtre",IF(MAX($P264,DateRef)&gt;$AB264,"À programmer avant 60 ans",""))))))))</f>
        <v/>
      </c>
      <c r="AD264" s="40"/>
      <c r="AE264" s="43" t="str">
        <f aca="false">IF(OR($B264="",$H264="",AND($I264&lt;&gt;"",$I264&lt;=DateRef)),"",MAX($H264,$AD264,IF($A264="",0,SUMPRODUCT(MAX((Journal!$A$6:$A$1005=$A264)*((Journal!$D$6:$D$1005=TypeEDL)+(Journal!$D$6:$D$1005=TypeBilan6))*Journal!$C$6:$C$1005)))))</f>
        <v/>
      </c>
      <c r="AF264" s="43" t="str">
        <f aca="false">IF($AE264="","",IF(AND(ReglesTransitoires="Oui",EDATE($AE264,AnciennePeriodiciteEDL*12)&lt;DateVigueur),EDATE($AE264,AnciennePeriodiciteEDL*12),EDATE($AE264,PeriodiciteEDL*12)))</f>
        <v/>
      </c>
      <c r="AG264" s="42" t="str">
        <f aca="false">IF($AF264="","",IF(AND($I264&lt;&gt;"",$I264&lt;=DateRef),"",IF($AF264&lt;DateRef,"En retard",IF($AF264-DateRef&lt;=SeuilAlerteEDL,"À prévoir","À jour"))))</f>
        <v/>
      </c>
      <c r="AH264" s="39"/>
      <c r="AI264" s="39"/>
      <c r="AJ264" s="42" t="str">
        <f aca="false">IF(OR($B264="",$H264=""),"",IF(AND($I264&lt;&gt;"",$I264&lt;=DateRef),"",IF(Effectif&lt;SeuilEffectif,"Non concerné (&lt; "&amp;SeuilEffectif&amp;" salariés)",IF($AH264="Oui","Pas de risque",IF(AND(OR($AI264="Non",$S264="En retard"),$AH264="Non"),"Risque abondement",IF(OR($AI264="Non",$S264="En retard"),"À vérifier (formation ?)",IF($AI264="Oui","Pas de risque","À compléter")))))))</f>
        <v/>
      </c>
      <c r="AK264" s="39"/>
    </row>
    <row r="265" customFormat="false" ht="15" hidden="false" customHeight="false" outlineLevel="0" collapsed="false">
      <c r="A265" s="39"/>
      <c r="B265" s="39"/>
      <c r="C265" s="39"/>
      <c r="D265" s="39"/>
      <c r="E265" s="39"/>
      <c r="F265" s="39"/>
      <c r="G265" s="40"/>
      <c r="H265" s="40"/>
      <c r="I265" s="40"/>
      <c r="J265" s="41" t="str">
        <f aca="false">IF(OR($B265="",$H265=""),"",IF($H265&gt;DateRef,0,YEARFRAC($H265,DateRef,1)))</f>
        <v/>
      </c>
      <c r="K265" s="42" t="str">
        <f aca="false">IF(OR($B265="",$H265=""),"",IF(EDATE($H265,12)&lt;=DateRef,"Plus d'un an","Moins d'un an"))</f>
        <v/>
      </c>
      <c r="L265" s="40"/>
      <c r="M265" s="43" t="str">
        <f aca="false">IF(OR($B265="",$A265=""),"",IF(SUMPRODUCT(MAX((Journal!$A$6:$A$1005=$A265)*Journal!$C$6:$C$1005))=0,"",SUMPRODUCT(MAX((Journal!$A$6:$A$1005=$A265)*Journal!$C$6:$C$1005))))</f>
        <v/>
      </c>
      <c r="N265" s="43" t="str">
        <f aca="false">IF($B265="","",IF(MAX($L265,$M265)=0,"",MAX($L265,$M265)))</f>
        <v/>
      </c>
      <c r="O265" s="44" t="str">
        <f aca="false">IF(OR($B265="",$H265=""),"",IF($N265="",IF(EDATE($H265,DelaiPremierEPP)&gt;DateRef,"1er EPP (1re année)","Aucun entretien renseigné"),IF(AND(ReglesTransitoires="Oui",EDATE($N265,AnciennePeriodiciteEP*12)&lt;DateVigueur),"Retard antérieur à la réforme","Périodicité "&amp;PeriodiciteEPP&amp;" ans")))</f>
        <v/>
      </c>
      <c r="P265" s="43" t="str">
        <f aca="false">IF(OR($B265="",$H265=""),"",IF($N265="",EDATE($H265,DelaiPremierEPP),IF(AND(ReglesTransitoires="Oui",EDATE($N265,AnciennePeriodiciteEP*12)&lt;DateVigueur),EDATE($N265,AnciennePeriodiciteEP*12),EDATE($N265,PeriodiciteEPP*12))))</f>
        <v/>
      </c>
      <c r="Q265" s="40"/>
      <c r="R265" s="45" t="str">
        <f aca="false">IF(OR($P265="",AND($I265&lt;&gt;"",$I265&lt;=DateRef)),"",$P265-DateRef)</f>
        <v/>
      </c>
      <c r="S265" s="42" t="str">
        <f aca="false">IF($B265="","",IF(AND($I265&lt;&gt;"",$I265&lt;=DateRef),"Sorti",IF($H265="","À compléter",IF(AND($Q265&lt;&gt;"",$Q265&gt;=DateRef,$Q265&lt;=$P265),"Planifié",IF($R265&lt;0,"En retard",IF($R265&lt;=SeuilAlerteEPP,"À planifier","À jour"))))))</f>
        <v/>
      </c>
      <c r="T265" s="46" t="str">
        <f aca="false">IF(OR($B265="",$S265="Sorti"),"",MID(IF($H265=""," | Date d'embauche manquante","")&amp;IF(AND($K265="Plus d'un an",$N265="")," | Précédent entretien à renseigner (ancienneté &gt; 1 an)","")&amp;IF($O265="Retard antérieur à la réforme"," | Ancien délai de 2 ans expiré avant la réforme","")&amp;IF(AND($N265&lt;&gt;"",$H265&lt;&gt;"",$N265&lt;$H265)," | Entretien antérieur à l'embauche ?","")&amp;IF(AND($N265&lt;&gt;"",$N265&gt;DateRef)," | Entretien daté dans le futur ?","")&amp;IF(AND($Q265&lt;&gt;"",$P265&lt;&gt;"",$Q265&gt;$P265)," | Date prévue après l'échéance","")&amp;IF(AND($Q265&lt;&gt;"",$Q265&lt;DateRef,OR($N265="",$N265&lt;$Q265))," | Entretien prévu passé : le consigner au Journal","")&amp;IF(AND($G265&lt;&gt;"",$X265="",YEAR(DateRef)-YEAR($G265)&gt;=AgeMiCarriere-1,YEAR(DateRef)-YEAR($G265)&lt;=AgeMiCarriere+1)," | Visite de mi-carrière à vérifier",""),4,1000))</f>
        <v/>
      </c>
      <c r="U265" s="39"/>
      <c r="V265" s="40"/>
      <c r="W265" s="42" t="str">
        <f aca="false">IF(OR($B265="",$V265=""),"",IF(AND($I265&lt;&gt;"",$I265&lt;=DateRef),"",IF(AND($N265&lt;&gt;"",$N265&gt;=$V265),"Réalisé",IF(AND($N265&lt;&gt;"",$N265&gt;=EDATE($V265,-FenetreRetour)),"Dispensé (EPP récent)",IF($V265&gt;DateRef,"À prévoir à la reprise","À proposer (reprise passée)")))))</f>
        <v/>
      </c>
      <c r="X265" s="40"/>
      <c r="Y265" s="43" t="str">
        <f aca="false">IF(OR($B265="",$X265=""),"",EDATE($X265,DelaiMiCarriere))</f>
        <v/>
      </c>
      <c r="Z265" s="42" t="str">
        <f aca="false">IF(OR($B265="",$X265=""),"",IF(AND($I265&lt;&gt;"",$I265&lt;=DateRef),"",IF(AND($N265&lt;&gt;"",$N265&gt;=$X265),"Réalisé",IF($Y265&lt;DateRef,"En retard","À planifier"))))</f>
        <v/>
      </c>
      <c r="AA265" s="47" t="str">
        <f aca="false">IF(OR($B265="",$G265=""),"",IF($G265&gt;DateRef,"",DATEDIF($G265,DateRef,"y")))</f>
        <v/>
      </c>
      <c r="AB265" s="43" t="str">
        <f aca="false">IF(OR($B265="",$G265=""),"",EDATE($G265,AgeFinCarriere*12))</f>
        <v/>
      </c>
      <c r="AC265" s="42" t="str">
        <f aca="false">IF(OR($B265="",$G265="",$H265=""),"",IF(AND($I265&lt;&gt;"",$I265&lt;=DateRef),"",IF($AB265&lt;DateVigueur,"Non concerné",IF(AND($N265&lt;&gt;"",$N265&gt;=MAX(EDATE($AB265,-FenetreFinCarriere*12),DateVigueur),$N265&lt;=$AB265),"Réalisé",IF(DateRef&gt;$AB265,"Non réalisé",IF(AND($Q265&lt;&gt;"",$Q265&gt;=EDATE($AB265,-FenetreFinCarriere*12),$Q265&lt;=$AB265),"Planifié dans la fenêtre",IF(AND(MAX($P265,DateRef)&gt;=EDATE($AB265,-FenetreFinCarriere*12),MAX($P265,DateRef)&lt;=$AB265),"Prochain EPP dans la fenêtre",IF(MAX($P265,DateRef)&gt;$AB265,"À programmer avant 60 ans",""))))))))</f>
        <v/>
      </c>
      <c r="AD265" s="40"/>
      <c r="AE265" s="43" t="str">
        <f aca="false">IF(OR($B265="",$H265="",AND($I265&lt;&gt;"",$I265&lt;=DateRef)),"",MAX($H265,$AD265,IF($A265="",0,SUMPRODUCT(MAX((Journal!$A$6:$A$1005=$A265)*((Journal!$D$6:$D$1005=TypeEDL)+(Journal!$D$6:$D$1005=TypeBilan6))*Journal!$C$6:$C$1005)))))</f>
        <v/>
      </c>
      <c r="AF265" s="43" t="str">
        <f aca="false">IF($AE265="","",IF(AND(ReglesTransitoires="Oui",EDATE($AE265,AnciennePeriodiciteEDL*12)&lt;DateVigueur),EDATE($AE265,AnciennePeriodiciteEDL*12),EDATE($AE265,PeriodiciteEDL*12)))</f>
        <v/>
      </c>
      <c r="AG265" s="42" t="str">
        <f aca="false">IF($AF265="","",IF(AND($I265&lt;&gt;"",$I265&lt;=DateRef),"",IF($AF265&lt;DateRef,"En retard",IF($AF265-DateRef&lt;=SeuilAlerteEDL,"À prévoir","À jour"))))</f>
        <v/>
      </c>
      <c r="AH265" s="39"/>
      <c r="AI265" s="39"/>
      <c r="AJ265" s="42" t="str">
        <f aca="false">IF(OR($B265="",$H265=""),"",IF(AND($I265&lt;&gt;"",$I265&lt;=DateRef),"",IF(Effectif&lt;SeuilEffectif,"Non concerné (&lt; "&amp;SeuilEffectif&amp;" salariés)",IF($AH265="Oui","Pas de risque",IF(AND(OR($AI265="Non",$S265="En retard"),$AH265="Non"),"Risque abondement",IF(OR($AI265="Non",$S265="En retard"),"À vérifier (formation ?)",IF($AI265="Oui","Pas de risque","À compléter")))))))</f>
        <v/>
      </c>
      <c r="AK265" s="39"/>
    </row>
    <row r="266" customFormat="false" ht="15" hidden="false" customHeight="false" outlineLevel="0" collapsed="false">
      <c r="A266" s="39"/>
      <c r="B266" s="39"/>
      <c r="C266" s="39"/>
      <c r="D266" s="39"/>
      <c r="E266" s="39"/>
      <c r="F266" s="39"/>
      <c r="G266" s="40"/>
      <c r="H266" s="40"/>
      <c r="I266" s="40"/>
      <c r="J266" s="41" t="str">
        <f aca="false">IF(OR($B266="",$H266=""),"",IF($H266&gt;DateRef,0,YEARFRAC($H266,DateRef,1)))</f>
        <v/>
      </c>
      <c r="K266" s="42" t="str">
        <f aca="false">IF(OR($B266="",$H266=""),"",IF(EDATE($H266,12)&lt;=DateRef,"Plus d'un an","Moins d'un an"))</f>
        <v/>
      </c>
      <c r="L266" s="40"/>
      <c r="M266" s="43" t="str">
        <f aca="false">IF(OR($B266="",$A266=""),"",IF(SUMPRODUCT(MAX((Journal!$A$6:$A$1005=$A266)*Journal!$C$6:$C$1005))=0,"",SUMPRODUCT(MAX((Journal!$A$6:$A$1005=$A266)*Journal!$C$6:$C$1005))))</f>
        <v/>
      </c>
      <c r="N266" s="43" t="str">
        <f aca="false">IF($B266="","",IF(MAX($L266,$M266)=0,"",MAX($L266,$M266)))</f>
        <v/>
      </c>
      <c r="O266" s="44" t="str">
        <f aca="false">IF(OR($B266="",$H266=""),"",IF($N266="",IF(EDATE($H266,DelaiPremierEPP)&gt;DateRef,"1er EPP (1re année)","Aucun entretien renseigné"),IF(AND(ReglesTransitoires="Oui",EDATE($N266,AnciennePeriodiciteEP*12)&lt;DateVigueur),"Retard antérieur à la réforme","Périodicité "&amp;PeriodiciteEPP&amp;" ans")))</f>
        <v/>
      </c>
      <c r="P266" s="43" t="str">
        <f aca="false">IF(OR($B266="",$H266=""),"",IF($N266="",EDATE($H266,DelaiPremierEPP),IF(AND(ReglesTransitoires="Oui",EDATE($N266,AnciennePeriodiciteEP*12)&lt;DateVigueur),EDATE($N266,AnciennePeriodiciteEP*12),EDATE($N266,PeriodiciteEPP*12))))</f>
        <v/>
      </c>
      <c r="Q266" s="40"/>
      <c r="R266" s="45" t="str">
        <f aca="false">IF(OR($P266="",AND($I266&lt;&gt;"",$I266&lt;=DateRef)),"",$P266-DateRef)</f>
        <v/>
      </c>
      <c r="S266" s="42" t="str">
        <f aca="false">IF($B266="","",IF(AND($I266&lt;&gt;"",$I266&lt;=DateRef),"Sorti",IF($H266="","À compléter",IF(AND($Q266&lt;&gt;"",$Q266&gt;=DateRef,$Q266&lt;=$P266),"Planifié",IF($R266&lt;0,"En retard",IF($R266&lt;=SeuilAlerteEPP,"À planifier","À jour"))))))</f>
        <v/>
      </c>
      <c r="T266" s="46" t="str">
        <f aca="false">IF(OR($B266="",$S266="Sorti"),"",MID(IF($H266=""," | Date d'embauche manquante","")&amp;IF(AND($K266="Plus d'un an",$N266="")," | Précédent entretien à renseigner (ancienneté &gt; 1 an)","")&amp;IF($O266="Retard antérieur à la réforme"," | Ancien délai de 2 ans expiré avant la réforme","")&amp;IF(AND($N266&lt;&gt;"",$H266&lt;&gt;"",$N266&lt;$H266)," | Entretien antérieur à l'embauche ?","")&amp;IF(AND($N266&lt;&gt;"",$N266&gt;DateRef)," | Entretien daté dans le futur ?","")&amp;IF(AND($Q266&lt;&gt;"",$P266&lt;&gt;"",$Q266&gt;$P266)," | Date prévue après l'échéance","")&amp;IF(AND($Q266&lt;&gt;"",$Q266&lt;DateRef,OR($N266="",$N266&lt;$Q266))," | Entretien prévu passé : le consigner au Journal","")&amp;IF(AND($G266&lt;&gt;"",$X266="",YEAR(DateRef)-YEAR($G266)&gt;=AgeMiCarriere-1,YEAR(DateRef)-YEAR($G266)&lt;=AgeMiCarriere+1)," | Visite de mi-carrière à vérifier",""),4,1000))</f>
        <v/>
      </c>
      <c r="U266" s="39"/>
      <c r="V266" s="40"/>
      <c r="W266" s="42" t="str">
        <f aca="false">IF(OR($B266="",$V266=""),"",IF(AND($I266&lt;&gt;"",$I266&lt;=DateRef),"",IF(AND($N266&lt;&gt;"",$N266&gt;=$V266),"Réalisé",IF(AND($N266&lt;&gt;"",$N266&gt;=EDATE($V266,-FenetreRetour)),"Dispensé (EPP récent)",IF($V266&gt;DateRef,"À prévoir à la reprise","À proposer (reprise passée)")))))</f>
        <v/>
      </c>
      <c r="X266" s="40"/>
      <c r="Y266" s="43" t="str">
        <f aca="false">IF(OR($B266="",$X266=""),"",EDATE($X266,DelaiMiCarriere))</f>
        <v/>
      </c>
      <c r="Z266" s="42" t="str">
        <f aca="false">IF(OR($B266="",$X266=""),"",IF(AND($I266&lt;&gt;"",$I266&lt;=DateRef),"",IF(AND($N266&lt;&gt;"",$N266&gt;=$X266),"Réalisé",IF($Y266&lt;DateRef,"En retard","À planifier"))))</f>
        <v/>
      </c>
      <c r="AA266" s="47" t="str">
        <f aca="false">IF(OR($B266="",$G266=""),"",IF($G266&gt;DateRef,"",DATEDIF($G266,DateRef,"y")))</f>
        <v/>
      </c>
      <c r="AB266" s="43" t="str">
        <f aca="false">IF(OR($B266="",$G266=""),"",EDATE($G266,AgeFinCarriere*12))</f>
        <v/>
      </c>
      <c r="AC266" s="42" t="str">
        <f aca="false">IF(OR($B266="",$G266="",$H266=""),"",IF(AND($I266&lt;&gt;"",$I266&lt;=DateRef),"",IF($AB266&lt;DateVigueur,"Non concerné",IF(AND($N266&lt;&gt;"",$N266&gt;=MAX(EDATE($AB266,-FenetreFinCarriere*12),DateVigueur),$N266&lt;=$AB266),"Réalisé",IF(DateRef&gt;$AB266,"Non réalisé",IF(AND($Q266&lt;&gt;"",$Q266&gt;=EDATE($AB266,-FenetreFinCarriere*12),$Q266&lt;=$AB266),"Planifié dans la fenêtre",IF(AND(MAX($P266,DateRef)&gt;=EDATE($AB266,-FenetreFinCarriere*12),MAX($P266,DateRef)&lt;=$AB266),"Prochain EPP dans la fenêtre",IF(MAX($P266,DateRef)&gt;$AB266,"À programmer avant 60 ans",""))))))))</f>
        <v/>
      </c>
      <c r="AD266" s="40"/>
      <c r="AE266" s="43" t="str">
        <f aca="false">IF(OR($B266="",$H266="",AND($I266&lt;&gt;"",$I266&lt;=DateRef)),"",MAX($H266,$AD266,IF($A266="",0,SUMPRODUCT(MAX((Journal!$A$6:$A$1005=$A266)*((Journal!$D$6:$D$1005=TypeEDL)+(Journal!$D$6:$D$1005=TypeBilan6))*Journal!$C$6:$C$1005)))))</f>
        <v/>
      </c>
      <c r="AF266" s="43" t="str">
        <f aca="false">IF($AE266="","",IF(AND(ReglesTransitoires="Oui",EDATE($AE266,AnciennePeriodiciteEDL*12)&lt;DateVigueur),EDATE($AE266,AnciennePeriodiciteEDL*12),EDATE($AE266,PeriodiciteEDL*12)))</f>
        <v/>
      </c>
      <c r="AG266" s="42" t="str">
        <f aca="false">IF($AF266="","",IF(AND($I266&lt;&gt;"",$I266&lt;=DateRef),"",IF($AF266&lt;DateRef,"En retard",IF($AF266-DateRef&lt;=SeuilAlerteEDL,"À prévoir","À jour"))))</f>
        <v/>
      </c>
      <c r="AH266" s="39"/>
      <c r="AI266" s="39"/>
      <c r="AJ266" s="42" t="str">
        <f aca="false">IF(OR($B266="",$H266=""),"",IF(AND($I266&lt;&gt;"",$I266&lt;=DateRef),"",IF(Effectif&lt;SeuilEffectif,"Non concerné (&lt; "&amp;SeuilEffectif&amp;" salariés)",IF($AH266="Oui","Pas de risque",IF(AND(OR($AI266="Non",$S266="En retard"),$AH266="Non"),"Risque abondement",IF(OR($AI266="Non",$S266="En retard"),"À vérifier (formation ?)",IF($AI266="Oui","Pas de risque","À compléter")))))))</f>
        <v/>
      </c>
      <c r="AK266" s="39"/>
    </row>
    <row r="267" customFormat="false" ht="15" hidden="false" customHeight="false" outlineLevel="0" collapsed="false">
      <c r="A267" s="39"/>
      <c r="B267" s="39"/>
      <c r="C267" s="39"/>
      <c r="D267" s="39"/>
      <c r="E267" s="39"/>
      <c r="F267" s="39"/>
      <c r="G267" s="40"/>
      <c r="H267" s="40"/>
      <c r="I267" s="40"/>
      <c r="J267" s="41" t="str">
        <f aca="false">IF(OR($B267="",$H267=""),"",IF($H267&gt;DateRef,0,YEARFRAC($H267,DateRef,1)))</f>
        <v/>
      </c>
      <c r="K267" s="42" t="str">
        <f aca="false">IF(OR($B267="",$H267=""),"",IF(EDATE($H267,12)&lt;=DateRef,"Plus d'un an","Moins d'un an"))</f>
        <v/>
      </c>
      <c r="L267" s="40"/>
      <c r="M267" s="43" t="str">
        <f aca="false">IF(OR($B267="",$A267=""),"",IF(SUMPRODUCT(MAX((Journal!$A$6:$A$1005=$A267)*Journal!$C$6:$C$1005))=0,"",SUMPRODUCT(MAX((Journal!$A$6:$A$1005=$A267)*Journal!$C$6:$C$1005))))</f>
        <v/>
      </c>
      <c r="N267" s="43" t="str">
        <f aca="false">IF($B267="","",IF(MAX($L267,$M267)=0,"",MAX($L267,$M267)))</f>
        <v/>
      </c>
      <c r="O267" s="44" t="str">
        <f aca="false">IF(OR($B267="",$H267=""),"",IF($N267="",IF(EDATE($H267,DelaiPremierEPP)&gt;DateRef,"1er EPP (1re année)","Aucun entretien renseigné"),IF(AND(ReglesTransitoires="Oui",EDATE($N267,AnciennePeriodiciteEP*12)&lt;DateVigueur),"Retard antérieur à la réforme","Périodicité "&amp;PeriodiciteEPP&amp;" ans")))</f>
        <v/>
      </c>
      <c r="P267" s="43" t="str">
        <f aca="false">IF(OR($B267="",$H267=""),"",IF($N267="",EDATE($H267,DelaiPremierEPP),IF(AND(ReglesTransitoires="Oui",EDATE($N267,AnciennePeriodiciteEP*12)&lt;DateVigueur),EDATE($N267,AnciennePeriodiciteEP*12),EDATE($N267,PeriodiciteEPP*12))))</f>
        <v/>
      </c>
      <c r="Q267" s="40"/>
      <c r="R267" s="45" t="str">
        <f aca="false">IF(OR($P267="",AND($I267&lt;&gt;"",$I267&lt;=DateRef)),"",$P267-DateRef)</f>
        <v/>
      </c>
      <c r="S267" s="42" t="str">
        <f aca="false">IF($B267="","",IF(AND($I267&lt;&gt;"",$I267&lt;=DateRef),"Sorti",IF($H267="","À compléter",IF(AND($Q267&lt;&gt;"",$Q267&gt;=DateRef,$Q267&lt;=$P267),"Planifié",IF($R267&lt;0,"En retard",IF($R267&lt;=SeuilAlerteEPP,"À planifier","À jour"))))))</f>
        <v/>
      </c>
      <c r="T267" s="46" t="str">
        <f aca="false">IF(OR($B267="",$S267="Sorti"),"",MID(IF($H267=""," | Date d'embauche manquante","")&amp;IF(AND($K267="Plus d'un an",$N267="")," | Précédent entretien à renseigner (ancienneté &gt; 1 an)","")&amp;IF($O267="Retard antérieur à la réforme"," | Ancien délai de 2 ans expiré avant la réforme","")&amp;IF(AND($N267&lt;&gt;"",$H267&lt;&gt;"",$N267&lt;$H267)," | Entretien antérieur à l'embauche ?","")&amp;IF(AND($N267&lt;&gt;"",$N267&gt;DateRef)," | Entretien daté dans le futur ?","")&amp;IF(AND($Q267&lt;&gt;"",$P267&lt;&gt;"",$Q267&gt;$P267)," | Date prévue après l'échéance","")&amp;IF(AND($Q267&lt;&gt;"",$Q267&lt;DateRef,OR($N267="",$N267&lt;$Q267))," | Entretien prévu passé : le consigner au Journal","")&amp;IF(AND($G267&lt;&gt;"",$X267="",YEAR(DateRef)-YEAR($G267)&gt;=AgeMiCarriere-1,YEAR(DateRef)-YEAR($G267)&lt;=AgeMiCarriere+1)," | Visite de mi-carrière à vérifier",""),4,1000))</f>
        <v/>
      </c>
      <c r="U267" s="39"/>
      <c r="V267" s="40"/>
      <c r="W267" s="42" t="str">
        <f aca="false">IF(OR($B267="",$V267=""),"",IF(AND($I267&lt;&gt;"",$I267&lt;=DateRef),"",IF(AND($N267&lt;&gt;"",$N267&gt;=$V267),"Réalisé",IF(AND($N267&lt;&gt;"",$N267&gt;=EDATE($V267,-FenetreRetour)),"Dispensé (EPP récent)",IF($V267&gt;DateRef,"À prévoir à la reprise","À proposer (reprise passée)")))))</f>
        <v/>
      </c>
      <c r="X267" s="40"/>
      <c r="Y267" s="43" t="str">
        <f aca="false">IF(OR($B267="",$X267=""),"",EDATE($X267,DelaiMiCarriere))</f>
        <v/>
      </c>
      <c r="Z267" s="42" t="str">
        <f aca="false">IF(OR($B267="",$X267=""),"",IF(AND($I267&lt;&gt;"",$I267&lt;=DateRef),"",IF(AND($N267&lt;&gt;"",$N267&gt;=$X267),"Réalisé",IF($Y267&lt;DateRef,"En retard","À planifier"))))</f>
        <v/>
      </c>
      <c r="AA267" s="47" t="str">
        <f aca="false">IF(OR($B267="",$G267=""),"",IF($G267&gt;DateRef,"",DATEDIF($G267,DateRef,"y")))</f>
        <v/>
      </c>
      <c r="AB267" s="43" t="str">
        <f aca="false">IF(OR($B267="",$G267=""),"",EDATE($G267,AgeFinCarriere*12))</f>
        <v/>
      </c>
      <c r="AC267" s="42" t="str">
        <f aca="false">IF(OR($B267="",$G267="",$H267=""),"",IF(AND($I267&lt;&gt;"",$I267&lt;=DateRef),"",IF($AB267&lt;DateVigueur,"Non concerné",IF(AND($N267&lt;&gt;"",$N267&gt;=MAX(EDATE($AB267,-FenetreFinCarriere*12),DateVigueur),$N267&lt;=$AB267),"Réalisé",IF(DateRef&gt;$AB267,"Non réalisé",IF(AND($Q267&lt;&gt;"",$Q267&gt;=EDATE($AB267,-FenetreFinCarriere*12),$Q267&lt;=$AB267),"Planifié dans la fenêtre",IF(AND(MAX($P267,DateRef)&gt;=EDATE($AB267,-FenetreFinCarriere*12),MAX($P267,DateRef)&lt;=$AB267),"Prochain EPP dans la fenêtre",IF(MAX($P267,DateRef)&gt;$AB267,"À programmer avant 60 ans",""))))))))</f>
        <v/>
      </c>
      <c r="AD267" s="40"/>
      <c r="AE267" s="43" t="str">
        <f aca="false">IF(OR($B267="",$H267="",AND($I267&lt;&gt;"",$I267&lt;=DateRef)),"",MAX($H267,$AD267,IF($A267="",0,SUMPRODUCT(MAX((Journal!$A$6:$A$1005=$A267)*((Journal!$D$6:$D$1005=TypeEDL)+(Journal!$D$6:$D$1005=TypeBilan6))*Journal!$C$6:$C$1005)))))</f>
        <v/>
      </c>
      <c r="AF267" s="43" t="str">
        <f aca="false">IF($AE267="","",IF(AND(ReglesTransitoires="Oui",EDATE($AE267,AnciennePeriodiciteEDL*12)&lt;DateVigueur),EDATE($AE267,AnciennePeriodiciteEDL*12),EDATE($AE267,PeriodiciteEDL*12)))</f>
        <v/>
      </c>
      <c r="AG267" s="42" t="str">
        <f aca="false">IF($AF267="","",IF(AND($I267&lt;&gt;"",$I267&lt;=DateRef),"",IF($AF267&lt;DateRef,"En retard",IF($AF267-DateRef&lt;=SeuilAlerteEDL,"À prévoir","À jour"))))</f>
        <v/>
      </c>
      <c r="AH267" s="39"/>
      <c r="AI267" s="39"/>
      <c r="AJ267" s="42" t="str">
        <f aca="false">IF(OR($B267="",$H267=""),"",IF(AND($I267&lt;&gt;"",$I267&lt;=DateRef),"",IF(Effectif&lt;SeuilEffectif,"Non concerné (&lt; "&amp;SeuilEffectif&amp;" salariés)",IF($AH267="Oui","Pas de risque",IF(AND(OR($AI267="Non",$S267="En retard"),$AH267="Non"),"Risque abondement",IF(OR($AI267="Non",$S267="En retard"),"À vérifier (formation ?)",IF($AI267="Oui","Pas de risque","À compléter")))))))</f>
        <v/>
      </c>
      <c r="AK267" s="39"/>
    </row>
    <row r="268" customFormat="false" ht="15" hidden="false" customHeight="false" outlineLevel="0" collapsed="false">
      <c r="A268" s="39"/>
      <c r="B268" s="39"/>
      <c r="C268" s="39"/>
      <c r="D268" s="39"/>
      <c r="E268" s="39"/>
      <c r="F268" s="39"/>
      <c r="G268" s="40"/>
      <c r="H268" s="40"/>
      <c r="I268" s="40"/>
      <c r="J268" s="41" t="str">
        <f aca="false">IF(OR($B268="",$H268=""),"",IF($H268&gt;DateRef,0,YEARFRAC($H268,DateRef,1)))</f>
        <v/>
      </c>
      <c r="K268" s="42" t="str">
        <f aca="false">IF(OR($B268="",$H268=""),"",IF(EDATE($H268,12)&lt;=DateRef,"Plus d'un an","Moins d'un an"))</f>
        <v/>
      </c>
      <c r="L268" s="40"/>
      <c r="M268" s="43" t="str">
        <f aca="false">IF(OR($B268="",$A268=""),"",IF(SUMPRODUCT(MAX((Journal!$A$6:$A$1005=$A268)*Journal!$C$6:$C$1005))=0,"",SUMPRODUCT(MAX((Journal!$A$6:$A$1005=$A268)*Journal!$C$6:$C$1005))))</f>
        <v/>
      </c>
      <c r="N268" s="43" t="str">
        <f aca="false">IF($B268="","",IF(MAX($L268,$M268)=0,"",MAX($L268,$M268)))</f>
        <v/>
      </c>
      <c r="O268" s="44" t="str">
        <f aca="false">IF(OR($B268="",$H268=""),"",IF($N268="",IF(EDATE($H268,DelaiPremierEPP)&gt;DateRef,"1er EPP (1re année)","Aucun entretien renseigné"),IF(AND(ReglesTransitoires="Oui",EDATE($N268,AnciennePeriodiciteEP*12)&lt;DateVigueur),"Retard antérieur à la réforme","Périodicité "&amp;PeriodiciteEPP&amp;" ans")))</f>
        <v/>
      </c>
      <c r="P268" s="43" t="str">
        <f aca="false">IF(OR($B268="",$H268=""),"",IF($N268="",EDATE($H268,DelaiPremierEPP),IF(AND(ReglesTransitoires="Oui",EDATE($N268,AnciennePeriodiciteEP*12)&lt;DateVigueur),EDATE($N268,AnciennePeriodiciteEP*12),EDATE($N268,PeriodiciteEPP*12))))</f>
        <v/>
      </c>
      <c r="Q268" s="40"/>
      <c r="R268" s="45" t="str">
        <f aca="false">IF(OR($P268="",AND($I268&lt;&gt;"",$I268&lt;=DateRef)),"",$P268-DateRef)</f>
        <v/>
      </c>
      <c r="S268" s="42" t="str">
        <f aca="false">IF($B268="","",IF(AND($I268&lt;&gt;"",$I268&lt;=DateRef),"Sorti",IF($H268="","À compléter",IF(AND($Q268&lt;&gt;"",$Q268&gt;=DateRef,$Q268&lt;=$P268),"Planifié",IF($R268&lt;0,"En retard",IF($R268&lt;=SeuilAlerteEPP,"À planifier","À jour"))))))</f>
        <v/>
      </c>
      <c r="T268" s="46" t="str">
        <f aca="false">IF(OR($B268="",$S268="Sorti"),"",MID(IF($H268=""," | Date d'embauche manquante","")&amp;IF(AND($K268="Plus d'un an",$N268="")," | Précédent entretien à renseigner (ancienneté &gt; 1 an)","")&amp;IF($O268="Retard antérieur à la réforme"," | Ancien délai de 2 ans expiré avant la réforme","")&amp;IF(AND($N268&lt;&gt;"",$H268&lt;&gt;"",$N268&lt;$H268)," | Entretien antérieur à l'embauche ?","")&amp;IF(AND($N268&lt;&gt;"",$N268&gt;DateRef)," | Entretien daté dans le futur ?","")&amp;IF(AND($Q268&lt;&gt;"",$P268&lt;&gt;"",$Q268&gt;$P268)," | Date prévue après l'échéance","")&amp;IF(AND($Q268&lt;&gt;"",$Q268&lt;DateRef,OR($N268="",$N268&lt;$Q268))," | Entretien prévu passé : le consigner au Journal","")&amp;IF(AND($G268&lt;&gt;"",$X268="",YEAR(DateRef)-YEAR($G268)&gt;=AgeMiCarriere-1,YEAR(DateRef)-YEAR($G268)&lt;=AgeMiCarriere+1)," | Visite de mi-carrière à vérifier",""),4,1000))</f>
        <v/>
      </c>
      <c r="U268" s="39"/>
      <c r="V268" s="40"/>
      <c r="W268" s="42" t="str">
        <f aca="false">IF(OR($B268="",$V268=""),"",IF(AND($I268&lt;&gt;"",$I268&lt;=DateRef),"",IF(AND($N268&lt;&gt;"",$N268&gt;=$V268),"Réalisé",IF(AND($N268&lt;&gt;"",$N268&gt;=EDATE($V268,-FenetreRetour)),"Dispensé (EPP récent)",IF($V268&gt;DateRef,"À prévoir à la reprise","À proposer (reprise passée)")))))</f>
        <v/>
      </c>
      <c r="X268" s="40"/>
      <c r="Y268" s="43" t="str">
        <f aca="false">IF(OR($B268="",$X268=""),"",EDATE($X268,DelaiMiCarriere))</f>
        <v/>
      </c>
      <c r="Z268" s="42" t="str">
        <f aca="false">IF(OR($B268="",$X268=""),"",IF(AND($I268&lt;&gt;"",$I268&lt;=DateRef),"",IF(AND($N268&lt;&gt;"",$N268&gt;=$X268),"Réalisé",IF($Y268&lt;DateRef,"En retard","À planifier"))))</f>
        <v/>
      </c>
      <c r="AA268" s="47" t="str">
        <f aca="false">IF(OR($B268="",$G268=""),"",IF($G268&gt;DateRef,"",DATEDIF($G268,DateRef,"y")))</f>
        <v/>
      </c>
      <c r="AB268" s="43" t="str">
        <f aca="false">IF(OR($B268="",$G268=""),"",EDATE($G268,AgeFinCarriere*12))</f>
        <v/>
      </c>
      <c r="AC268" s="42" t="str">
        <f aca="false">IF(OR($B268="",$G268="",$H268=""),"",IF(AND($I268&lt;&gt;"",$I268&lt;=DateRef),"",IF($AB268&lt;DateVigueur,"Non concerné",IF(AND($N268&lt;&gt;"",$N268&gt;=MAX(EDATE($AB268,-FenetreFinCarriere*12),DateVigueur),$N268&lt;=$AB268),"Réalisé",IF(DateRef&gt;$AB268,"Non réalisé",IF(AND($Q268&lt;&gt;"",$Q268&gt;=EDATE($AB268,-FenetreFinCarriere*12),$Q268&lt;=$AB268),"Planifié dans la fenêtre",IF(AND(MAX($P268,DateRef)&gt;=EDATE($AB268,-FenetreFinCarriere*12),MAX($P268,DateRef)&lt;=$AB268),"Prochain EPP dans la fenêtre",IF(MAX($P268,DateRef)&gt;$AB268,"À programmer avant 60 ans",""))))))))</f>
        <v/>
      </c>
      <c r="AD268" s="40"/>
      <c r="AE268" s="43" t="str">
        <f aca="false">IF(OR($B268="",$H268="",AND($I268&lt;&gt;"",$I268&lt;=DateRef)),"",MAX($H268,$AD268,IF($A268="",0,SUMPRODUCT(MAX((Journal!$A$6:$A$1005=$A268)*((Journal!$D$6:$D$1005=TypeEDL)+(Journal!$D$6:$D$1005=TypeBilan6))*Journal!$C$6:$C$1005)))))</f>
        <v/>
      </c>
      <c r="AF268" s="43" t="str">
        <f aca="false">IF($AE268="","",IF(AND(ReglesTransitoires="Oui",EDATE($AE268,AnciennePeriodiciteEDL*12)&lt;DateVigueur),EDATE($AE268,AnciennePeriodiciteEDL*12),EDATE($AE268,PeriodiciteEDL*12)))</f>
        <v/>
      </c>
      <c r="AG268" s="42" t="str">
        <f aca="false">IF($AF268="","",IF(AND($I268&lt;&gt;"",$I268&lt;=DateRef),"",IF($AF268&lt;DateRef,"En retard",IF($AF268-DateRef&lt;=SeuilAlerteEDL,"À prévoir","À jour"))))</f>
        <v/>
      </c>
      <c r="AH268" s="39"/>
      <c r="AI268" s="39"/>
      <c r="AJ268" s="42" t="str">
        <f aca="false">IF(OR($B268="",$H268=""),"",IF(AND($I268&lt;&gt;"",$I268&lt;=DateRef),"",IF(Effectif&lt;SeuilEffectif,"Non concerné (&lt; "&amp;SeuilEffectif&amp;" salariés)",IF($AH268="Oui","Pas de risque",IF(AND(OR($AI268="Non",$S268="En retard"),$AH268="Non"),"Risque abondement",IF(OR($AI268="Non",$S268="En retard"),"À vérifier (formation ?)",IF($AI268="Oui","Pas de risque","À compléter")))))))</f>
        <v/>
      </c>
      <c r="AK268" s="39"/>
    </row>
    <row r="269" customFormat="false" ht="15" hidden="false" customHeight="false" outlineLevel="0" collapsed="false">
      <c r="A269" s="39"/>
      <c r="B269" s="39"/>
      <c r="C269" s="39"/>
      <c r="D269" s="39"/>
      <c r="E269" s="39"/>
      <c r="F269" s="39"/>
      <c r="G269" s="40"/>
      <c r="H269" s="40"/>
      <c r="I269" s="40"/>
      <c r="J269" s="41" t="str">
        <f aca="false">IF(OR($B269="",$H269=""),"",IF($H269&gt;DateRef,0,YEARFRAC($H269,DateRef,1)))</f>
        <v/>
      </c>
      <c r="K269" s="42" t="str">
        <f aca="false">IF(OR($B269="",$H269=""),"",IF(EDATE($H269,12)&lt;=DateRef,"Plus d'un an","Moins d'un an"))</f>
        <v/>
      </c>
      <c r="L269" s="40"/>
      <c r="M269" s="43" t="str">
        <f aca="false">IF(OR($B269="",$A269=""),"",IF(SUMPRODUCT(MAX((Journal!$A$6:$A$1005=$A269)*Journal!$C$6:$C$1005))=0,"",SUMPRODUCT(MAX((Journal!$A$6:$A$1005=$A269)*Journal!$C$6:$C$1005))))</f>
        <v/>
      </c>
      <c r="N269" s="43" t="str">
        <f aca="false">IF($B269="","",IF(MAX($L269,$M269)=0,"",MAX($L269,$M269)))</f>
        <v/>
      </c>
      <c r="O269" s="44" t="str">
        <f aca="false">IF(OR($B269="",$H269=""),"",IF($N269="",IF(EDATE($H269,DelaiPremierEPP)&gt;DateRef,"1er EPP (1re année)","Aucun entretien renseigné"),IF(AND(ReglesTransitoires="Oui",EDATE($N269,AnciennePeriodiciteEP*12)&lt;DateVigueur),"Retard antérieur à la réforme","Périodicité "&amp;PeriodiciteEPP&amp;" ans")))</f>
        <v/>
      </c>
      <c r="P269" s="43" t="str">
        <f aca="false">IF(OR($B269="",$H269=""),"",IF($N269="",EDATE($H269,DelaiPremierEPP),IF(AND(ReglesTransitoires="Oui",EDATE($N269,AnciennePeriodiciteEP*12)&lt;DateVigueur),EDATE($N269,AnciennePeriodiciteEP*12),EDATE($N269,PeriodiciteEPP*12))))</f>
        <v/>
      </c>
      <c r="Q269" s="40"/>
      <c r="R269" s="45" t="str">
        <f aca="false">IF(OR($P269="",AND($I269&lt;&gt;"",$I269&lt;=DateRef)),"",$P269-DateRef)</f>
        <v/>
      </c>
      <c r="S269" s="42" t="str">
        <f aca="false">IF($B269="","",IF(AND($I269&lt;&gt;"",$I269&lt;=DateRef),"Sorti",IF($H269="","À compléter",IF(AND($Q269&lt;&gt;"",$Q269&gt;=DateRef,$Q269&lt;=$P269),"Planifié",IF($R269&lt;0,"En retard",IF($R269&lt;=SeuilAlerteEPP,"À planifier","À jour"))))))</f>
        <v/>
      </c>
      <c r="T269" s="46" t="str">
        <f aca="false">IF(OR($B269="",$S269="Sorti"),"",MID(IF($H269=""," | Date d'embauche manquante","")&amp;IF(AND($K269="Plus d'un an",$N269="")," | Précédent entretien à renseigner (ancienneté &gt; 1 an)","")&amp;IF($O269="Retard antérieur à la réforme"," | Ancien délai de 2 ans expiré avant la réforme","")&amp;IF(AND($N269&lt;&gt;"",$H269&lt;&gt;"",$N269&lt;$H269)," | Entretien antérieur à l'embauche ?","")&amp;IF(AND($N269&lt;&gt;"",$N269&gt;DateRef)," | Entretien daté dans le futur ?","")&amp;IF(AND($Q269&lt;&gt;"",$P269&lt;&gt;"",$Q269&gt;$P269)," | Date prévue après l'échéance","")&amp;IF(AND($Q269&lt;&gt;"",$Q269&lt;DateRef,OR($N269="",$N269&lt;$Q269))," | Entretien prévu passé : le consigner au Journal","")&amp;IF(AND($G269&lt;&gt;"",$X269="",YEAR(DateRef)-YEAR($G269)&gt;=AgeMiCarriere-1,YEAR(DateRef)-YEAR($G269)&lt;=AgeMiCarriere+1)," | Visite de mi-carrière à vérifier",""),4,1000))</f>
        <v/>
      </c>
      <c r="U269" s="39"/>
      <c r="V269" s="40"/>
      <c r="W269" s="42" t="str">
        <f aca="false">IF(OR($B269="",$V269=""),"",IF(AND($I269&lt;&gt;"",$I269&lt;=DateRef),"",IF(AND($N269&lt;&gt;"",$N269&gt;=$V269),"Réalisé",IF(AND($N269&lt;&gt;"",$N269&gt;=EDATE($V269,-FenetreRetour)),"Dispensé (EPP récent)",IF($V269&gt;DateRef,"À prévoir à la reprise","À proposer (reprise passée)")))))</f>
        <v/>
      </c>
      <c r="X269" s="40"/>
      <c r="Y269" s="43" t="str">
        <f aca="false">IF(OR($B269="",$X269=""),"",EDATE($X269,DelaiMiCarriere))</f>
        <v/>
      </c>
      <c r="Z269" s="42" t="str">
        <f aca="false">IF(OR($B269="",$X269=""),"",IF(AND($I269&lt;&gt;"",$I269&lt;=DateRef),"",IF(AND($N269&lt;&gt;"",$N269&gt;=$X269),"Réalisé",IF($Y269&lt;DateRef,"En retard","À planifier"))))</f>
        <v/>
      </c>
      <c r="AA269" s="47" t="str">
        <f aca="false">IF(OR($B269="",$G269=""),"",IF($G269&gt;DateRef,"",DATEDIF($G269,DateRef,"y")))</f>
        <v/>
      </c>
      <c r="AB269" s="43" t="str">
        <f aca="false">IF(OR($B269="",$G269=""),"",EDATE($G269,AgeFinCarriere*12))</f>
        <v/>
      </c>
      <c r="AC269" s="42" t="str">
        <f aca="false">IF(OR($B269="",$G269="",$H269=""),"",IF(AND($I269&lt;&gt;"",$I269&lt;=DateRef),"",IF($AB269&lt;DateVigueur,"Non concerné",IF(AND($N269&lt;&gt;"",$N269&gt;=MAX(EDATE($AB269,-FenetreFinCarriere*12),DateVigueur),$N269&lt;=$AB269),"Réalisé",IF(DateRef&gt;$AB269,"Non réalisé",IF(AND($Q269&lt;&gt;"",$Q269&gt;=EDATE($AB269,-FenetreFinCarriere*12),$Q269&lt;=$AB269),"Planifié dans la fenêtre",IF(AND(MAX($P269,DateRef)&gt;=EDATE($AB269,-FenetreFinCarriere*12),MAX($P269,DateRef)&lt;=$AB269),"Prochain EPP dans la fenêtre",IF(MAX($P269,DateRef)&gt;$AB269,"À programmer avant 60 ans",""))))))))</f>
        <v/>
      </c>
      <c r="AD269" s="40"/>
      <c r="AE269" s="43" t="str">
        <f aca="false">IF(OR($B269="",$H269="",AND($I269&lt;&gt;"",$I269&lt;=DateRef)),"",MAX($H269,$AD269,IF($A269="",0,SUMPRODUCT(MAX((Journal!$A$6:$A$1005=$A269)*((Journal!$D$6:$D$1005=TypeEDL)+(Journal!$D$6:$D$1005=TypeBilan6))*Journal!$C$6:$C$1005)))))</f>
        <v/>
      </c>
      <c r="AF269" s="43" t="str">
        <f aca="false">IF($AE269="","",IF(AND(ReglesTransitoires="Oui",EDATE($AE269,AnciennePeriodiciteEDL*12)&lt;DateVigueur),EDATE($AE269,AnciennePeriodiciteEDL*12),EDATE($AE269,PeriodiciteEDL*12)))</f>
        <v/>
      </c>
      <c r="AG269" s="42" t="str">
        <f aca="false">IF($AF269="","",IF(AND($I269&lt;&gt;"",$I269&lt;=DateRef),"",IF($AF269&lt;DateRef,"En retard",IF($AF269-DateRef&lt;=SeuilAlerteEDL,"À prévoir","À jour"))))</f>
        <v/>
      </c>
      <c r="AH269" s="39"/>
      <c r="AI269" s="39"/>
      <c r="AJ269" s="42" t="str">
        <f aca="false">IF(OR($B269="",$H269=""),"",IF(AND($I269&lt;&gt;"",$I269&lt;=DateRef),"",IF(Effectif&lt;SeuilEffectif,"Non concerné (&lt; "&amp;SeuilEffectif&amp;" salariés)",IF($AH269="Oui","Pas de risque",IF(AND(OR($AI269="Non",$S269="En retard"),$AH269="Non"),"Risque abondement",IF(OR($AI269="Non",$S269="En retard"),"À vérifier (formation ?)",IF($AI269="Oui","Pas de risque","À compléter")))))))</f>
        <v/>
      </c>
      <c r="AK269" s="39"/>
    </row>
    <row r="270" customFormat="false" ht="15" hidden="false" customHeight="false" outlineLevel="0" collapsed="false">
      <c r="A270" s="39"/>
      <c r="B270" s="39"/>
      <c r="C270" s="39"/>
      <c r="D270" s="39"/>
      <c r="E270" s="39"/>
      <c r="F270" s="39"/>
      <c r="G270" s="40"/>
      <c r="H270" s="40"/>
      <c r="I270" s="40"/>
      <c r="J270" s="41" t="str">
        <f aca="false">IF(OR($B270="",$H270=""),"",IF($H270&gt;DateRef,0,YEARFRAC($H270,DateRef,1)))</f>
        <v/>
      </c>
      <c r="K270" s="42" t="str">
        <f aca="false">IF(OR($B270="",$H270=""),"",IF(EDATE($H270,12)&lt;=DateRef,"Plus d'un an","Moins d'un an"))</f>
        <v/>
      </c>
      <c r="L270" s="40"/>
      <c r="M270" s="43" t="str">
        <f aca="false">IF(OR($B270="",$A270=""),"",IF(SUMPRODUCT(MAX((Journal!$A$6:$A$1005=$A270)*Journal!$C$6:$C$1005))=0,"",SUMPRODUCT(MAX((Journal!$A$6:$A$1005=$A270)*Journal!$C$6:$C$1005))))</f>
        <v/>
      </c>
      <c r="N270" s="43" t="str">
        <f aca="false">IF($B270="","",IF(MAX($L270,$M270)=0,"",MAX($L270,$M270)))</f>
        <v/>
      </c>
      <c r="O270" s="44" t="str">
        <f aca="false">IF(OR($B270="",$H270=""),"",IF($N270="",IF(EDATE($H270,DelaiPremierEPP)&gt;DateRef,"1er EPP (1re année)","Aucun entretien renseigné"),IF(AND(ReglesTransitoires="Oui",EDATE($N270,AnciennePeriodiciteEP*12)&lt;DateVigueur),"Retard antérieur à la réforme","Périodicité "&amp;PeriodiciteEPP&amp;" ans")))</f>
        <v/>
      </c>
      <c r="P270" s="43" t="str">
        <f aca="false">IF(OR($B270="",$H270=""),"",IF($N270="",EDATE($H270,DelaiPremierEPP),IF(AND(ReglesTransitoires="Oui",EDATE($N270,AnciennePeriodiciteEP*12)&lt;DateVigueur),EDATE($N270,AnciennePeriodiciteEP*12),EDATE($N270,PeriodiciteEPP*12))))</f>
        <v/>
      </c>
      <c r="Q270" s="40"/>
      <c r="R270" s="45" t="str">
        <f aca="false">IF(OR($P270="",AND($I270&lt;&gt;"",$I270&lt;=DateRef)),"",$P270-DateRef)</f>
        <v/>
      </c>
      <c r="S270" s="42" t="str">
        <f aca="false">IF($B270="","",IF(AND($I270&lt;&gt;"",$I270&lt;=DateRef),"Sorti",IF($H270="","À compléter",IF(AND($Q270&lt;&gt;"",$Q270&gt;=DateRef,$Q270&lt;=$P270),"Planifié",IF($R270&lt;0,"En retard",IF($R270&lt;=SeuilAlerteEPP,"À planifier","À jour"))))))</f>
        <v/>
      </c>
      <c r="T270" s="46" t="str">
        <f aca="false">IF(OR($B270="",$S270="Sorti"),"",MID(IF($H270=""," | Date d'embauche manquante","")&amp;IF(AND($K270="Plus d'un an",$N270="")," | Précédent entretien à renseigner (ancienneté &gt; 1 an)","")&amp;IF($O270="Retard antérieur à la réforme"," | Ancien délai de 2 ans expiré avant la réforme","")&amp;IF(AND($N270&lt;&gt;"",$H270&lt;&gt;"",$N270&lt;$H270)," | Entretien antérieur à l'embauche ?","")&amp;IF(AND($N270&lt;&gt;"",$N270&gt;DateRef)," | Entretien daté dans le futur ?","")&amp;IF(AND($Q270&lt;&gt;"",$P270&lt;&gt;"",$Q270&gt;$P270)," | Date prévue après l'échéance","")&amp;IF(AND($Q270&lt;&gt;"",$Q270&lt;DateRef,OR($N270="",$N270&lt;$Q270))," | Entretien prévu passé : le consigner au Journal","")&amp;IF(AND($G270&lt;&gt;"",$X270="",YEAR(DateRef)-YEAR($G270)&gt;=AgeMiCarriere-1,YEAR(DateRef)-YEAR($G270)&lt;=AgeMiCarriere+1)," | Visite de mi-carrière à vérifier",""),4,1000))</f>
        <v/>
      </c>
      <c r="U270" s="39"/>
      <c r="V270" s="40"/>
      <c r="W270" s="42" t="str">
        <f aca="false">IF(OR($B270="",$V270=""),"",IF(AND($I270&lt;&gt;"",$I270&lt;=DateRef),"",IF(AND($N270&lt;&gt;"",$N270&gt;=$V270),"Réalisé",IF(AND($N270&lt;&gt;"",$N270&gt;=EDATE($V270,-FenetreRetour)),"Dispensé (EPP récent)",IF($V270&gt;DateRef,"À prévoir à la reprise","À proposer (reprise passée)")))))</f>
        <v/>
      </c>
      <c r="X270" s="40"/>
      <c r="Y270" s="43" t="str">
        <f aca="false">IF(OR($B270="",$X270=""),"",EDATE($X270,DelaiMiCarriere))</f>
        <v/>
      </c>
      <c r="Z270" s="42" t="str">
        <f aca="false">IF(OR($B270="",$X270=""),"",IF(AND($I270&lt;&gt;"",$I270&lt;=DateRef),"",IF(AND($N270&lt;&gt;"",$N270&gt;=$X270),"Réalisé",IF($Y270&lt;DateRef,"En retard","À planifier"))))</f>
        <v/>
      </c>
      <c r="AA270" s="47" t="str">
        <f aca="false">IF(OR($B270="",$G270=""),"",IF($G270&gt;DateRef,"",DATEDIF($G270,DateRef,"y")))</f>
        <v/>
      </c>
      <c r="AB270" s="43" t="str">
        <f aca="false">IF(OR($B270="",$G270=""),"",EDATE($G270,AgeFinCarriere*12))</f>
        <v/>
      </c>
      <c r="AC270" s="42" t="str">
        <f aca="false">IF(OR($B270="",$G270="",$H270=""),"",IF(AND($I270&lt;&gt;"",$I270&lt;=DateRef),"",IF($AB270&lt;DateVigueur,"Non concerné",IF(AND($N270&lt;&gt;"",$N270&gt;=MAX(EDATE($AB270,-FenetreFinCarriere*12),DateVigueur),$N270&lt;=$AB270),"Réalisé",IF(DateRef&gt;$AB270,"Non réalisé",IF(AND($Q270&lt;&gt;"",$Q270&gt;=EDATE($AB270,-FenetreFinCarriere*12),$Q270&lt;=$AB270),"Planifié dans la fenêtre",IF(AND(MAX($P270,DateRef)&gt;=EDATE($AB270,-FenetreFinCarriere*12),MAX($P270,DateRef)&lt;=$AB270),"Prochain EPP dans la fenêtre",IF(MAX($P270,DateRef)&gt;$AB270,"À programmer avant 60 ans",""))))))))</f>
        <v/>
      </c>
      <c r="AD270" s="40"/>
      <c r="AE270" s="43" t="str">
        <f aca="false">IF(OR($B270="",$H270="",AND($I270&lt;&gt;"",$I270&lt;=DateRef)),"",MAX($H270,$AD270,IF($A270="",0,SUMPRODUCT(MAX((Journal!$A$6:$A$1005=$A270)*((Journal!$D$6:$D$1005=TypeEDL)+(Journal!$D$6:$D$1005=TypeBilan6))*Journal!$C$6:$C$1005)))))</f>
        <v/>
      </c>
      <c r="AF270" s="43" t="str">
        <f aca="false">IF($AE270="","",IF(AND(ReglesTransitoires="Oui",EDATE($AE270,AnciennePeriodiciteEDL*12)&lt;DateVigueur),EDATE($AE270,AnciennePeriodiciteEDL*12),EDATE($AE270,PeriodiciteEDL*12)))</f>
        <v/>
      </c>
      <c r="AG270" s="42" t="str">
        <f aca="false">IF($AF270="","",IF(AND($I270&lt;&gt;"",$I270&lt;=DateRef),"",IF($AF270&lt;DateRef,"En retard",IF($AF270-DateRef&lt;=SeuilAlerteEDL,"À prévoir","À jour"))))</f>
        <v/>
      </c>
      <c r="AH270" s="39"/>
      <c r="AI270" s="39"/>
      <c r="AJ270" s="42" t="str">
        <f aca="false">IF(OR($B270="",$H270=""),"",IF(AND($I270&lt;&gt;"",$I270&lt;=DateRef),"",IF(Effectif&lt;SeuilEffectif,"Non concerné (&lt; "&amp;SeuilEffectif&amp;" salariés)",IF($AH270="Oui","Pas de risque",IF(AND(OR($AI270="Non",$S270="En retard"),$AH270="Non"),"Risque abondement",IF(OR($AI270="Non",$S270="En retard"),"À vérifier (formation ?)",IF($AI270="Oui","Pas de risque","À compléter")))))))</f>
        <v/>
      </c>
      <c r="AK270" s="39"/>
    </row>
    <row r="271" customFormat="false" ht="15" hidden="false" customHeight="false" outlineLevel="0" collapsed="false">
      <c r="A271" s="39"/>
      <c r="B271" s="39"/>
      <c r="C271" s="39"/>
      <c r="D271" s="39"/>
      <c r="E271" s="39"/>
      <c r="F271" s="39"/>
      <c r="G271" s="40"/>
      <c r="H271" s="40"/>
      <c r="I271" s="40"/>
      <c r="J271" s="41" t="str">
        <f aca="false">IF(OR($B271="",$H271=""),"",IF($H271&gt;DateRef,0,YEARFRAC($H271,DateRef,1)))</f>
        <v/>
      </c>
      <c r="K271" s="42" t="str">
        <f aca="false">IF(OR($B271="",$H271=""),"",IF(EDATE($H271,12)&lt;=DateRef,"Plus d'un an","Moins d'un an"))</f>
        <v/>
      </c>
      <c r="L271" s="40"/>
      <c r="M271" s="43" t="str">
        <f aca="false">IF(OR($B271="",$A271=""),"",IF(SUMPRODUCT(MAX((Journal!$A$6:$A$1005=$A271)*Journal!$C$6:$C$1005))=0,"",SUMPRODUCT(MAX((Journal!$A$6:$A$1005=$A271)*Journal!$C$6:$C$1005))))</f>
        <v/>
      </c>
      <c r="N271" s="43" t="str">
        <f aca="false">IF($B271="","",IF(MAX($L271,$M271)=0,"",MAX($L271,$M271)))</f>
        <v/>
      </c>
      <c r="O271" s="44" t="str">
        <f aca="false">IF(OR($B271="",$H271=""),"",IF($N271="",IF(EDATE($H271,DelaiPremierEPP)&gt;DateRef,"1er EPP (1re année)","Aucun entretien renseigné"),IF(AND(ReglesTransitoires="Oui",EDATE($N271,AnciennePeriodiciteEP*12)&lt;DateVigueur),"Retard antérieur à la réforme","Périodicité "&amp;PeriodiciteEPP&amp;" ans")))</f>
        <v/>
      </c>
      <c r="P271" s="43" t="str">
        <f aca="false">IF(OR($B271="",$H271=""),"",IF($N271="",EDATE($H271,DelaiPremierEPP),IF(AND(ReglesTransitoires="Oui",EDATE($N271,AnciennePeriodiciteEP*12)&lt;DateVigueur),EDATE($N271,AnciennePeriodiciteEP*12),EDATE($N271,PeriodiciteEPP*12))))</f>
        <v/>
      </c>
      <c r="Q271" s="40"/>
      <c r="R271" s="45" t="str">
        <f aca="false">IF(OR($P271="",AND($I271&lt;&gt;"",$I271&lt;=DateRef)),"",$P271-DateRef)</f>
        <v/>
      </c>
      <c r="S271" s="42" t="str">
        <f aca="false">IF($B271="","",IF(AND($I271&lt;&gt;"",$I271&lt;=DateRef),"Sorti",IF($H271="","À compléter",IF(AND($Q271&lt;&gt;"",$Q271&gt;=DateRef,$Q271&lt;=$P271),"Planifié",IF($R271&lt;0,"En retard",IF($R271&lt;=SeuilAlerteEPP,"À planifier","À jour"))))))</f>
        <v/>
      </c>
      <c r="T271" s="46" t="str">
        <f aca="false">IF(OR($B271="",$S271="Sorti"),"",MID(IF($H271=""," | Date d'embauche manquante","")&amp;IF(AND($K271="Plus d'un an",$N271="")," | Précédent entretien à renseigner (ancienneté &gt; 1 an)","")&amp;IF($O271="Retard antérieur à la réforme"," | Ancien délai de 2 ans expiré avant la réforme","")&amp;IF(AND($N271&lt;&gt;"",$H271&lt;&gt;"",$N271&lt;$H271)," | Entretien antérieur à l'embauche ?","")&amp;IF(AND($N271&lt;&gt;"",$N271&gt;DateRef)," | Entretien daté dans le futur ?","")&amp;IF(AND($Q271&lt;&gt;"",$P271&lt;&gt;"",$Q271&gt;$P271)," | Date prévue après l'échéance","")&amp;IF(AND($Q271&lt;&gt;"",$Q271&lt;DateRef,OR($N271="",$N271&lt;$Q271))," | Entretien prévu passé : le consigner au Journal","")&amp;IF(AND($G271&lt;&gt;"",$X271="",YEAR(DateRef)-YEAR($G271)&gt;=AgeMiCarriere-1,YEAR(DateRef)-YEAR($G271)&lt;=AgeMiCarriere+1)," | Visite de mi-carrière à vérifier",""),4,1000))</f>
        <v/>
      </c>
      <c r="U271" s="39"/>
      <c r="V271" s="40"/>
      <c r="W271" s="42" t="str">
        <f aca="false">IF(OR($B271="",$V271=""),"",IF(AND($I271&lt;&gt;"",$I271&lt;=DateRef),"",IF(AND($N271&lt;&gt;"",$N271&gt;=$V271),"Réalisé",IF(AND($N271&lt;&gt;"",$N271&gt;=EDATE($V271,-FenetreRetour)),"Dispensé (EPP récent)",IF($V271&gt;DateRef,"À prévoir à la reprise","À proposer (reprise passée)")))))</f>
        <v/>
      </c>
      <c r="X271" s="40"/>
      <c r="Y271" s="43" t="str">
        <f aca="false">IF(OR($B271="",$X271=""),"",EDATE($X271,DelaiMiCarriere))</f>
        <v/>
      </c>
      <c r="Z271" s="42" t="str">
        <f aca="false">IF(OR($B271="",$X271=""),"",IF(AND($I271&lt;&gt;"",$I271&lt;=DateRef),"",IF(AND($N271&lt;&gt;"",$N271&gt;=$X271),"Réalisé",IF($Y271&lt;DateRef,"En retard","À planifier"))))</f>
        <v/>
      </c>
      <c r="AA271" s="47" t="str">
        <f aca="false">IF(OR($B271="",$G271=""),"",IF($G271&gt;DateRef,"",DATEDIF($G271,DateRef,"y")))</f>
        <v/>
      </c>
      <c r="AB271" s="43" t="str">
        <f aca="false">IF(OR($B271="",$G271=""),"",EDATE($G271,AgeFinCarriere*12))</f>
        <v/>
      </c>
      <c r="AC271" s="42" t="str">
        <f aca="false">IF(OR($B271="",$G271="",$H271=""),"",IF(AND($I271&lt;&gt;"",$I271&lt;=DateRef),"",IF($AB271&lt;DateVigueur,"Non concerné",IF(AND($N271&lt;&gt;"",$N271&gt;=MAX(EDATE($AB271,-FenetreFinCarriere*12),DateVigueur),$N271&lt;=$AB271),"Réalisé",IF(DateRef&gt;$AB271,"Non réalisé",IF(AND($Q271&lt;&gt;"",$Q271&gt;=EDATE($AB271,-FenetreFinCarriere*12),$Q271&lt;=$AB271),"Planifié dans la fenêtre",IF(AND(MAX($P271,DateRef)&gt;=EDATE($AB271,-FenetreFinCarriere*12),MAX($P271,DateRef)&lt;=$AB271),"Prochain EPP dans la fenêtre",IF(MAX($P271,DateRef)&gt;$AB271,"À programmer avant 60 ans",""))))))))</f>
        <v/>
      </c>
      <c r="AD271" s="40"/>
      <c r="AE271" s="43" t="str">
        <f aca="false">IF(OR($B271="",$H271="",AND($I271&lt;&gt;"",$I271&lt;=DateRef)),"",MAX($H271,$AD271,IF($A271="",0,SUMPRODUCT(MAX((Journal!$A$6:$A$1005=$A271)*((Journal!$D$6:$D$1005=TypeEDL)+(Journal!$D$6:$D$1005=TypeBilan6))*Journal!$C$6:$C$1005)))))</f>
        <v/>
      </c>
      <c r="AF271" s="43" t="str">
        <f aca="false">IF($AE271="","",IF(AND(ReglesTransitoires="Oui",EDATE($AE271,AnciennePeriodiciteEDL*12)&lt;DateVigueur),EDATE($AE271,AnciennePeriodiciteEDL*12),EDATE($AE271,PeriodiciteEDL*12)))</f>
        <v/>
      </c>
      <c r="AG271" s="42" t="str">
        <f aca="false">IF($AF271="","",IF(AND($I271&lt;&gt;"",$I271&lt;=DateRef),"",IF($AF271&lt;DateRef,"En retard",IF($AF271-DateRef&lt;=SeuilAlerteEDL,"À prévoir","À jour"))))</f>
        <v/>
      </c>
      <c r="AH271" s="39"/>
      <c r="AI271" s="39"/>
      <c r="AJ271" s="42" t="str">
        <f aca="false">IF(OR($B271="",$H271=""),"",IF(AND($I271&lt;&gt;"",$I271&lt;=DateRef),"",IF(Effectif&lt;SeuilEffectif,"Non concerné (&lt; "&amp;SeuilEffectif&amp;" salariés)",IF($AH271="Oui","Pas de risque",IF(AND(OR($AI271="Non",$S271="En retard"),$AH271="Non"),"Risque abondement",IF(OR($AI271="Non",$S271="En retard"),"À vérifier (formation ?)",IF($AI271="Oui","Pas de risque","À compléter")))))))</f>
        <v/>
      </c>
      <c r="AK271" s="39"/>
    </row>
    <row r="272" customFormat="false" ht="15" hidden="false" customHeight="false" outlineLevel="0" collapsed="false">
      <c r="A272" s="39"/>
      <c r="B272" s="39"/>
      <c r="C272" s="39"/>
      <c r="D272" s="39"/>
      <c r="E272" s="39"/>
      <c r="F272" s="39"/>
      <c r="G272" s="40"/>
      <c r="H272" s="40"/>
      <c r="I272" s="40"/>
      <c r="J272" s="41" t="str">
        <f aca="false">IF(OR($B272="",$H272=""),"",IF($H272&gt;DateRef,0,YEARFRAC($H272,DateRef,1)))</f>
        <v/>
      </c>
      <c r="K272" s="42" t="str">
        <f aca="false">IF(OR($B272="",$H272=""),"",IF(EDATE($H272,12)&lt;=DateRef,"Plus d'un an","Moins d'un an"))</f>
        <v/>
      </c>
      <c r="L272" s="40"/>
      <c r="M272" s="43" t="str">
        <f aca="false">IF(OR($B272="",$A272=""),"",IF(SUMPRODUCT(MAX((Journal!$A$6:$A$1005=$A272)*Journal!$C$6:$C$1005))=0,"",SUMPRODUCT(MAX((Journal!$A$6:$A$1005=$A272)*Journal!$C$6:$C$1005))))</f>
        <v/>
      </c>
      <c r="N272" s="43" t="str">
        <f aca="false">IF($B272="","",IF(MAX($L272,$M272)=0,"",MAX($L272,$M272)))</f>
        <v/>
      </c>
      <c r="O272" s="44" t="str">
        <f aca="false">IF(OR($B272="",$H272=""),"",IF($N272="",IF(EDATE($H272,DelaiPremierEPP)&gt;DateRef,"1er EPP (1re année)","Aucun entretien renseigné"),IF(AND(ReglesTransitoires="Oui",EDATE($N272,AnciennePeriodiciteEP*12)&lt;DateVigueur),"Retard antérieur à la réforme","Périodicité "&amp;PeriodiciteEPP&amp;" ans")))</f>
        <v/>
      </c>
      <c r="P272" s="43" t="str">
        <f aca="false">IF(OR($B272="",$H272=""),"",IF($N272="",EDATE($H272,DelaiPremierEPP),IF(AND(ReglesTransitoires="Oui",EDATE($N272,AnciennePeriodiciteEP*12)&lt;DateVigueur),EDATE($N272,AnciennePeriodiciteEP*12),EDATE($N272,PeriodiciteEPP*12))))</f>
        <v/>
      </c>
      <c r="Q272" s="40"/>
      <c r="R272" s="45" t="str">
        <f aca="false">IF(OR($P272="",AND($I272&lt;&gt;"",$I272&lt;=DateRef)),"",$P272-DateRef)</f>
        <v/>
      </c>
      <c r="S272" s="42" t="str">
        <f aca="false">IF($B272="","",IF(AND($I272&lt;&gt;"",$I272&lt;=DateRef),"Sorti",IF($H272="","À compléter",IF(AND($Q272&lt;&gt;"",$Q272&gt;=DateRef,$Q272&lt;=$P272),"Planifié",IF($R272&lt;0,"En retard",IF($R272&lt;=SeuilAlerteEPP,"À planifier","À jour"))))))</f>
        <v/>
      </c>
      <c r="T272" s="46" t="str">
        <f aca="false">IF(OR($B272="",$S272="Sorti"),"",MID(IF($H272=""," | Date d'embauche manquante","")&amp;IF(AND($K272="Plus d'un an",$N272="")," | Précédent entretien à renseigner (ancienneté &gt; 1 an)","")&amp;IF($O272="Retard antérieur à la réforme"," | Ancien délai de 2 ans expiré avant la réforme","")&amp;IF(AND($N272&lt;&gt;"",$H272&lt;&gt;"",$N272&lt;$H272)," | Entretien antérieur à l'embauche ?","")&amp;IF(AND($N272&lt;&gt;"",$N272&gt;DateRef)," | Entretien daté dans le futur ?","")&amp;IF(AND($Q272&lt;&gt;"",$P272&lt;&gt;"",$Q272&gt;$P272)," | Date prévue après l'échéance","")&amp;IF(AND($Q272&lt;&gt;"",$Q272&lt;DateRef,OR($N272="",$N272&lt;$Q272))," | Entretien prévu passé : le consigner au Journal","")&amp;IF(AND($G272&lt;&gt;"",$X272="",YEAR(DateRef)-YEAR($G272)&gt;=AgeMiCarriere-1,YEAR(DateRef)-YEAR($G272)&lt;=AgeMiCarriere+1)," | Visite de mi-carrière à vérifier",""),4,1000))</f>
        <v/>
      </c>
      <c r="U272" s="39"/>
      <c r="V272" s="40"/>
      <c r="W272" s="42" t="str">
        <f aca="false">IF(OR($B272="",$V272=""),"",IF(AND($I272&lt;&gt;"",$I272&lt;=DateRef),"",IF(AND($N272&lt;&gt;"",$N272&gt;=$V272),"Réalisé",IF(AND($N272&lt;&gt;"",$N272&gt;=EDATE($V272,-FenetreRetour)),"Dispensé (EPP récent)",IF($V272&gt;DateRef,"À prévoir à la reprise","À proposer (reprise passée)")))))</f>
        <v/>
      </c>
      <c r="X272" s="40"/>
      <c r="Y272" s="43" t="str">
        <f aca="false">IF(OR($B272="",$X272=""),"",EDATE($X272,DelaiMiCarriere))</f>
        <v/>
      </c>
      <c r="Z272" s="42" t="str">
        <f aca="false">IF(OR($B272="",$X272=""),"",IF(AND($I272&lt;&gt;"",$I272&lt;=DateRef),"",IF(AND($N272&lt;&gt;"",$N272&gt;=$X272),"Réalisé",IF($Y272&lt;DateRef,"En retard","À planifier"))))</f>
        <v/>
      </c>
      <c r="AA272" s="47" t="str">
        <f aca="false">IF(OR($B272="",$G272=""),"",IF($G272&gt;DateRef,"",DATEDIF($G272,DateRef,"y")))</f>
        <v/>
      </c>
      <c r="AB272" s="43" t="str">
        <f aca="false">IF(OR($B272="",$G272=""),"",EDATE($G272,AgeFinCarriere*12))</f>
        <v/>
      </c>
      <c r="AC272" s="42" t="str">
        <f aca="false">IF(OR($B272="",$G272="",$H272=""),"",IF(AND($I272&lt;&gt;"",$I272&lt;=DateRef),"",IF($AB272&lt;DateVigueur,"Non concerné",IF(AND($N272&lt;&gt;"",$N272&gt;=MAX(EDATE($AB272,-FenetreFinCarriere*12),DateVigueur),$N272&lt;=$AB272),"Réalisé",IF(DateRef&gt;$AB272,"Non réalisé",IF(AND($Q272&lt;&gt;"",$Q272&gt;=EDATE($AB272,-FenetreFinCarriere*12),$Q272&lt;=$AB272),"Planifié dans la fenêtre",IF(AND(MAX($P272,DateRef)&gt;=EDATE($AB272,-FenetreFinCarriere*12),MAX($P272,DateRef)&lt;=$AB272),"Prochain EPP dans la fenêtre",IF(MAX($P272,DateRef)&gt;$AB272,"À programmer avant 60 ans",""))))))))</f>
        <v/>
      </c>
      <c r="AD272" s="40"/>
      <c r="AE272" s="43" t="str">
        <f aca="false">IF(OR($B272="",$H272="",AND($I272&lt;&gt;"",$I272&lt;=DateRef)),"",MAX($H272,$AD272,IF($A272="",0,SUMPRODUCT(MAX((Journal!$A$6:$A$1005=$A272)*((Journal!$D$6:$D$1005=TypeEDL)+(Journal!$D$6:$D$1005=TypeBilan6))*Journal!$C$6:$C$1005)))))</f>
        <v/>
      </c>
      <c r="AF272" s="43" t="str">
        <f aca="false">IF($AE272="","",IF(AND(ReglesTransitoires="Oui",EDATE($AE272,AnciennePeriodiciteEDL*12)&lt;DateVigueur),EDATE($AE272,AnciennePeriodiciteEDL*12),EDATE($AE272,PeriodiciteEDL*12)))</f>
        <v/>
      </c>
      <c r="AG272" s="42" t="str">
        <f aca="false">IF($AF272="","",IF(AND($I272&lt;&gt;"",$I272&lt;=DateRef),"",IF($AF272&lt;DateRef,"En retard",IF($AF272-DateRef&lt;=SeuilAlerteEDL,"À prévoir","À jour"))))</f>
        <v/>
      </c>
      <c r="AH272" s="39"/>
      <c r="AI272" s="39"/>
      <c r="AJ272" s="42" t="str">
        <f aca="false">IF(OR($B272="",$H272=""),"",IF(AND($I272&lt;&gt;"",$I272&lt;=DateRef),"",IF(Effectif&lt;SeuilEffectif,"Non concerné (&lt; "&amp;SeuilEffectif&amp;" salariés)",IF($AH272="Oui","Pas de risque",IF(AND(OR($AI272="Non",$S272="En retard"),$AH272="Non"),"Risque abondement",IF(OR($AI272="Non",$S272="En retard"),"À vérifier (formation ?)",IF($AI272="Oui","Pas de risque","À compléter")))))))</f>
        <v/>
      </c>
      <c r="AK272" s="39"/>
    </row>
    <row r="273" customFormat="false" ht="15" hidden="false" customHeight="false" outlineLevel="0" collapsed="false">
      <c r="A273" s="39"/>
      <c r="B273" s="39"/>
      <c r="C273" s="39"/>
      <c r="D273" s="39"/>
      <c r="E273" s="39"/>
      <c r="F273" s="39"/>
      <c r="G273" s="40"/>
      <c r="H273" s="40"/>
      <c r="I273" s="40"/>
      <c r="J273" s="41" t="str">
        <f aca="false">IF(OR($B273="",$H273=""),"",IF($H273&gt;DateRef,0,YEARFRAC($H273,DateRef,1)))</f>
        <v/>
      </c>
      <c r="K273" s="42" t="str">
        <f aca="false">IF(OR($B273="",$H273=""),"",IF(EDATE($H273,12)&lt;=DateRef,"Plus d'un an","Moins d'un an"))</f>
        <v/>
      </c>
      <c r="L273" s="40"/>
      <c r="M273" s="43" t="str">
        <f aca="false">IF(OR($B273="",$A273=""),"",IF(SUMPRODUCT(MAX((Journal!$A$6:$A$1005=$A273)*Journal!$C$6:$C$1005))=0,"",SUMPRODUCT(MAX((Journal!$A$6:$A$1005=$A273)*Journal!$C$6:$C$1005))))</f>
        <v/>
      </c>
      <c r="N273" s="43" t="str">
        <f aca="false">IF($B273="","",IF(MAX($L273,$M273)=0,"",MAX($L273,$M273)))</f>
        <v/>
      </c>
      <c r="O273" s="44" t="str">
        <f aca="false">IF(OR($B273="",$H273=""),"",IF($N273="",IF(EDATE($H273,DelaiPremierEPP)&gt;DateRef,"1er EPP (1re année)","Aucun entretien renseigné"),IF(AND(ReglesTransitoires="Oui",EDATE($N273,AnciennePeriodiciteEP*12)&lt;DateVigueur),"Retard antérieur à la réforme","Périodicité "&amp;PeriodiciteEPP&amp;" ans")))</f>
        <v/>
      </c>
      <c r="P273" s="43" t="str">
        <f aca="false">IF(OR($B273="",$H273=""),"",IF($N273="",EDATE($H273,DelaiPremierEPP),IF(AND(ReglesTransitoires="Oui",EDATE($N273,AnciennePeriodiciteEP*12)&lt;DateVigueur),EDATE($N273,AnciennePeriodiciteEP*12),EDATE($N273,PeriodiciteEPP*12))))</f>
        <v/>
      </c>
      <c r="Q273" s="40"/>
      <c r="R273" s="45" t="str">
        <f aca="false">IF(OR($P273="",AND($I273&lt;&gt;"",$I273&lt;=DateRef)),"",$P273-DateRef)</f>
        <v/>
      </c>
      <c r="S273" s="42" t="str">
        <f aca="false">IF($B273="","",IF(AND($I273&lt;&gt;"",$I273&lt;=DateRef),"Sorti",IF($H273="","À compléter",IF(AND($Q273&lt;&gt;"",$Q273&gt;=DateRef,$Q273&lt;=$P273),"Planifié",IF($R273&lt;0,"En retard",IF($R273&lt;=SeuilAlerteEPP,"À planifier","À jour"))))))</f>
        <v/>
      </c>
      <c r="T273" s="46" t="str">
        <f aca="false">IF(OR($B273="",$S273="Sorti"),"",MID(IF($H273=""," | Date d'embauche manquante","")&amp;IF(AND($K273="Plus d'un an",$N273="")," | Précédent entretien à renseigner (ancienneté &gt; 1 an)","")&amp;IF($O273="Retard antérieur à la réforme"," | Ancien délai de 2 ans expiré avant la réforme","")&amp;IF(AND($N273&lt;&gt;"",$H273&lt;&gt;"",$N273&lt;$H273)," | Entretien antérieur à l'embauche ?","")&amp;IF(AND($N273&lt;&gt;"",$N273&gt;DateRef)," | Entretien daté dans le futur ?","")&amp;IF(AND($Q273&lt;&gt;"",$P273&lt;&gt;"",$Q273&gt;$P273)," | Date prévue après l'échéance","")&amp;IF(AND($Q273&lt;&gt;"",$Q273&lt;DateRef,OR($N273="",$N273&lt;$Q273))," | Entretien prévu passé : le consigner au Journal","")&amp;IF(AND($G273&lt;&gt;"",$X273="",YEAR(DateRef)-YEAR($G273)&gt;=AgeMiCarriere-1,YEAR(DateRef)-YEAR($G273)&lt;=AgeMiCarriere+1)," | Visite de mi-carrière à vérifier",""),4,1000))</f>
        <v/>
      </c>
      <c r="U273" s="39"/>
      <c r="V273" s="40"/>
      <c r="W273" s="42" t="str">
        <f aca="false">IF(OR($B273="",$V273=""),"",IF(AND($I273&lt;&gt;"",$I273&lt;=DateRef),"",IF(AND($N273&lt;&gt;"",$N273&gt;=$V273),"Réalisé",IF(AND($N273&lt;&gt;"",$N273&gt;=EDATE($V273,-FenetreRetour)),"Dispensé (EPP récent)",IF($V273&gt;DateRef,"À prévoir à la reprise","À proposer (reprise passée)")))))</f>
        <v/>
      </c>
      <c r="X273" s="40"/>
      <c r="Y273" s="43" t="str">
        <f aca="false">IF(OR($B273="",$X273=""),"",EDATE($X273,DelaiMiCarriere))</f>
        <v/>
      </c>
      <c r="Z273" s="42" t="str">
        <f aca="false">IF(OR($B273="",$X273=""),"",IF(AND($I273&lt;&gt;"",$I273&lt;=DateRef),"",IF(AND($N273&lt;&gt;"",$N273&gt;=$X273),"Réalisé",IF($Y273&lt;DateRef,"En retard","À planifier"))))</f>
        <v/>
      </c>
      <c r="AA273" s="47" t="str">
        <f aca="false">IF(OR($B273="",$G273=""),"",IF($G273&gt;DateRef,"",DATEDIF($G273,DateRef,"y")))</f>
        <v/>
      </c>
      <c r="AB273" s="43" t="str">
        <f aca="false">IF(OR($B273="",$G273=""),"",EDATE($G273,AgeFinCarriere*12))</f>
        <v/>
      </c>
      <c r="AC273" s="42" t="str">
        <f aca="false">IF(OR($B273="",$G273="",$H273=""),"",IF(AND($I273&lt;&gt;"",$I273&lt;=DateRef),"",IF($AB273&lt;DateVigueur,"Non concerné",IF(AND($N273&lt;&gt;"",$N273&gt;=MAX(EDATE($AB273,-FenetreFinCarriere*12),DateVigueur),$N273&lt;=$AB273),"Réalisé",IF(DateRef&gt;$AB273,"Non réalisé",IF(AND($Q273&lt;&gt;"",$Q273&gt;=EDATE($AB273,-FenetreFinCarriere*12),$Q273&lt;=$AB273),"Planifié dans la fenêtre",IF(AND(MAX($P273,DateRef)&gt;=EDATE($AB273,-FenetreFinCarriere*12),MAX($P273,DateRef)&lt;=$AB273),"Prochain EPP dans la fenêtre",IF(MAX($P273,DateRef)&gt;$AB273,"À programmer avant 60 ans",""))))))))</f>
        <v/>
      </c>
      <c r="AD273" s="40"/>
      <c r="AE273" s="43" t="str">
        <f aca="false">IF(OR($B273="",$H273="",AND($I273&lt;&gt;"",$I273&lt;=DateRef)),"",MAX($H273,$AD273,IF($A273="",0,SUMPRODUCT(MAX((Journal!$A$6:$A$1005=$A273)*((Journal!$D$6:$D$1005=TypeEDL)+(Journal!$D$6:$D$1005=TypeBilan6))*Journal!$C$6:$C$1005)))))</f>
        <v/>
      </c>
      <c r="AF273" s="43" t="str">
        <f aca="false">IF($AE273="","",IF(AND(ReglesTransitoires="Oui",EDATE($AE273,AnciennePeriodiciteEDL*12)&lt;DateVigueur),EDATE($AE273,AnciennePeriodiciteEDL*12),EDATE($AE273,PeriodiciteEDL*12)))</f>
        <v/>
      </c>
      <c r="AG273" s="42" t="str">
        <f aca="false">IF($AF273="","",IF(AND($I273&lt;&gt;"",$I273&lt;=DateRef),"",IF($AF273&lt;DateRef,"En retard",IF($AF273-DateRef&lt;=SeuilAlerteEDL,"À prévoir","À jour"))))</f>
        <v/>
      </c>
      <c r="AH273" s="39"/>
      <c r="AI273" s="39"/>
      <c r="AJ273" s="42" t="str">
        <f aca="false">IF(OR($B273="",$H273=""),"",IF(AND($I273&lt;&gt;"",$I273&lt;=DateRef),"",IF(Effectif&lt;SeuilEffectif,"Non concerné (&lt; "&amp;SeuilEffectif&amp;" salariés)",IF($AH273="Oui","Pas de risque",IF(AND(OR($AI273="Non",$S273="En retard"),$AH273="Non"),"Risque abondement",IF(OR($AI273="Non",$S273="En retard"),"À vérifier (formation ?)",IF($AI273="Oui","Pas de risque","À compléter")))))))</f>
        <v/>
      </c>
      <c r="AK273" s="39"/>
    </row>
    <row r="274" customFormat="false" ht="15" hidden="false" customHeight="false" outlineLevel="0" collapsed="false">
      <c r="A274" s="39"/>
      <c r="B274" s="39"/>
      <c r="C274" s="39"/>
      <c r="D274" s="39"/>
      <c r="E274" s="39"/>
      <c r="F274" s="39"/>
      <c r="G274" s="40"/>
      <c r="H274" s="40"/>
      <c r="I274" s="40"/>
      <c r="J274" s="41" t="str">
        <f aca="false">IF(OR($B274="",$H274=""),"",IF($H274&gt;DateRef,0,YEARFRAC($H274,DateRef,1)))</f>
        <v/>
      </c>
      <c r="K274" s="42" t="str">
        <f aca="false">IF(OR($B274="",$H274=""),"",IF(EDATE($H274,12)&lt;=DateRef,"Plus d'un an","Moins d'un an"))</f>
        <v/>
      </c>
      <c r="L274" s="40"/>
      <c r="M274" s="43" t="str">
        <f aca="false">IF(OR($B274="",$A274=""),"",IF(SUMPRODUCT(MAX((Journal!$A$6:$A$1005=$A274)*Journal!$C$6:$C$1005))=0,"",SUMPRODUCT(MAX((Journal!$A$6:$A$1005=$A274)*Journal!$C$6:$C$1005))))</f>
        <v/>
      </c>
      <c r="N274" s="43" t="str">
        <f aca="false">IF($B274="","",IF(MAX($L274,$M274)=0,"",MAX($L274,$M274)))</f>
        <v/>
      </c>
      <c r="O274" s="44" t="str">
        <f aca="false">IF(OR($B274="",$H274=""),"",IF($N274="",IF(EDATE($H274,DelaiPremierEPP)&gt;DateRef,"1er EPP (1re année)","Aucun entretien renseigné"),IF(AND(ReglesTransitoires="Oui",EDATE($N274,AnciennePeriodiciteEP*12)&lt;DateVigueur),"Retard antérieur à la réforme","Périodicité "&amp;PeriodiciteEPP&amp;" ans")))</f>
        <v/>
      </c>
      <c r="P274" s="43" t="str">
        <f aca="false">IF(OR($B274="",$H274=""),"",IF($N274="",EDATE($H274,DelaiPremierEPP),IF(AND(ReglesTransitoires="Oui",EDATE($N274,AnciennePeriodiciteEP*12)&lt;DateVigueur),EDATE($N274,AnciennePeriodiciteEP*12),EDATE($N274,PeriodiciteEPP*12))))</f>
        <v/>
      </c>
      <c r="Q274" s="40"/>
      <c r="R274" s="45" t="str">
        <f aca="false">IF(OR($P274="",AND($I274&lt;&gt;"",$I274&lt;=DateRef)),"",$P274-DateRef)</f>
        <v/>
      </c>
      <c r="S274" s="42" t="str">
        <f aca="false">IF($B274="","",IF(AND($I274&lt;&gt;"",$I274&lt;=DateRef),"Sorti",IF($H274="","À compléter",IF(AND($Q274&lt;&gt;"",$Q274&gt;=DateRef,$Q274&lt;=$P274),"Planifié",IF($R274&lt;0,"En retard",IF($R274&lt;=SeuilAlerteEPP,"À planifier","À jour"))))))</f>
        <v/>
      </c>
      <c r="T274" s="46" t="str">
        <f aca="false">IF(OR($B274="",$S274="Sorti"),"",MID(IF($H274=""," | Date d'embauche manquante","")&amp;IF(AND($K274="Plus d'un an",$N274="")," | Précédent entretien à renseigner (ancienneté &gt; 1 an)","")&amp;IF($O274="Retard antérieur à la réforme"," | Ancien délai de 2 ans expiré avant la réforme","")&amp;IF(AND($N274&lt;&gt;"",$H274&lt;&gt;"",$N274&lt;$H274)," | Entretien antérieur à l'embauche ?","")&amp;IF(AND($N274&lt;&gt;"",$N274&gt;DateRef)," | Entretien daté dans le futur ?","")&amp;IF(AND($Q274&lt;&gt;"",$P274&lt;&gt;"",$Q274&gt;$P274)," | Date prévue après l'échéance","")&amp;IF(AND($Q274&lt;&gt;"",$Q274&lt;DateRef,OR($N274="",$N274&lt;$Q274))," | Entretien prévu passé : le consigner au Journal","")&amp;IF(AND($G274&lt;&gt;"",$X274="",YEAR(DateRef)-YEAR($G274)&gt;=AgeMiCarriere-1,YEAR(DateRef)-YEAR($G274)&lt;=AgeMiCarriere+1)," | Visite de mi-carrière à vérifier",""),4,1000))</f>
        <v/>
      </c>
      <c r="U274" s="39"/>
      <c r="V274" s="40"/>
      <c r="W274" s="42" t="str">
        <f aca="false">IF(OR($B274="",$V274=""),"",IF(AND($I274&lt;&gt;"",$I274&lt;=DateRef),"",IF(AND($N274&lt;&gt;"",$N274&gt;=$V274),"Réalisé",IF(AND($N274&lt;&gt;"",$N274&gt;=EDATE($V274,-FenetreRetour)),"Dispensé (EPP récent)",IF($V274&gt;DateRef,"À prévoir à la reprise","À proposer (reprise passée)")))))</f>
        <v/>
      </c>
      <c r="X274" s="40"/>
      <c r="Y274" s="43" t="str">
        <f aca="false">IF(OR($B274="",$X274=""),"",EDATE($X274,DelaiMiCarriere))</f>
        <v/>
      </c>
      <c r="Z274" s="42" t="str">
        <f aca="false">IF(OR($B274="",$X274=""),"",IF(AND($I274&lt;&gt;"",$I274&lt;=DateRef),"",IF(AND($N274&lt;&gt;"",$N274&gt;=$X274),"Réalisé",IF($Y274&lt;DateRef,"En retard","À planifier"))))</f>
        <v/>
      </c>
      <c r="AA274" s="47" t="str">
        <f aca="false">IF(OR($B274="",$G274=""),"",IF($G274&gt;DateRef,"",DATEDIF($G274,DateRef,"y")))</f>
        <v/>
      </c>
      <c r="AB274" s="43" t="str">
        <f aca="false">IF(OR($B274="",$G274=""),"",EDATE($G274,AgeFinCarriere*12))</f>
        <v/>
      </c>
      <c r="AC274" s="42" t="str">
        <f aca="false">IF(OR($B274="",$G274="",$H274=""),"",IF(AND($I274&lt;&gt;"",$I274&lt;=DateRef),"",IF($AB274&lt;DateVigueur,"Non concerné",IF(AND($N274&lt;&gt;"",$N274&gt;=MAX(EDATE($AB274,-FenetreFinCarriere*12),DateVigueur),$N274&lt;=$AB274),"Réalisé",IF(DateRef&gt;$AB274,"Non réalisé",IF(AND($Q274&lt;&gt;"",$Q274&gt;=EDATE($AB274,-FenetreFinCarriere*12),$Q274&lt;=$AB274),"Planifié dans la fenêtre",IF(AND(MAX($P274,DateRef)&gt;=EDATE($AB274,-FenetreFinCarriere*12),MAX($P274,DateRef)&lt;=$AB274),"Prochain EPP dans la fenêtre",IF(MAX($P274,DateRef)&gt;$AB274,"À programmer avant 60 ans",""))))))))</f>
        <v/>
      </c>
      <c r="AD274" s="40"/>
      <c r="AE274" s="43" t="str">
        <f aca="false">IF(OR($B274="",$H274="",AND($I274&lt;&gt;"",$I274&lt;=DateRef)),"",MAX($H274,$AD274,IF($A274="",0,SUMPRODUCT(MAX((Journal!$A$6:$A$1005=$A274)*((Journal!$D$6:$D$1005=TypeEDL)+(Journal!$D$6:$D$1005=TypeBilan6))*Journal!$C$6:$C$1005)))))</f>
        <v/>
      </c>
      <c r="AF274" s="43" t="str">
        <f aca="false">IF($AE274="","",IF(AND(ReglesTransitoires="Oui",EDATE($AE274,AnciennePeriodiciteEDL*12)&lt;DateVigueur),EDATE($AE274,AnciennePeriodiciteEDL*12),EDATE($AE274,PeriodiciteEDL*12)))</f>
        <v/>
      </c>
      <c r="AG274" s="42" t="str">
        <f aca="false">IF($AF274="","",IF(AND($I274&lt;&gt;"",$I274&lt;=DateRef),"",IF($AF274&lt;DateRef,"En retard",IF($AF274-DateRef&lt;=SeuilAlerteEDL,"À prévoir","À jour"))))</f>
        <v/>
      </c>
      <c r="AH274" s="39"/>
      <c r="AI274" s="39"/>
      <c r="AJ274" s="42" t="str">
        <f aca="false">IF(OR($B274="",$H274=""),"",IF(AND($I274&lt;&gt;"",$I274&lt;=DateRef),"",IF(Effectif&lt;SeuilEffectif,"Non concerné (&lt; "&amp;SeuilEffectif&amp;" salariés)",IF($AH274="Oui","Pas de risque",IF(AND(OR($AI274="Non",$S274="En retard"),$AH274="Non"),"Risque abondement",IF(OR($AI274="Non",$S274="En retard"),"À vérifier (formation ?)",IF($AI274="Oui","Pas de risque","À compléter")))))))</f>
        <v/>
      </c>
      <c r="AK274" s="39"/>
    </row>
    <row r="275" customFormat="false" ht="15" hidden="false" customHeight="false" outlineLevel="0" collapsed="false">
      <c r="A275" s="39"/>
      <c r="B275" s="39"/>
      <c r="C275" s="39"/>
      <c r="D275" s="39"/>
      <c r="E275" s="39"/>
      <c r="F275" s="39"/>
      <c r="G275" s="40"/>
      <c r="H275" s="40"/>
      <c r="I275" s="40"/>
      <c r="J275" s="41" t="str">
        <f aca="false">IF(OR($B275="",$H275=""),"",IF($H275&gt;DateRef,0,YEARFRAC($H275,DateRef,1)))</f>
        <v/>
      </c>
      <c r="K275" s="42" t="str">
        <f aca="false">IF(OR($B275="",$H275=""),"",IF(EDATE($H275,12)&lt;=DateRef,"Plus d'un an","Moins d'un an"))</f>
        <v/>
      </c>
      <c r="L275" s="40"/>
      <c r="M275" s="43" t="str">
        <f aca="false">IF(OR($B275="",$A275=""),"",IF(SUMPRODUCT(MAX((Journal!$A$6:$A$1005=$A275)*Journal!$C$6:$C$1005))=0,"",SUMPRODUCT(MAX((Journal!$A$6:$A$1005=$A275)*Journal!$C$6:$C$1005))))</f>
        <v/>
      </c>
      <c r="N275" s="43" t="str">
        <f aca="false">IF($B275="","",IF(MAX($L275,$M275)=0,"",MAX($L275,$M275)))</f>
        <v/>
      </c>
      <c r="O275" s="44" t="str">
        <f aca="false">IF(OR($B275="",$H275=""),"",IF($N275="",IF(EDATE($H275,DelaiPremierEPP)&gt;DateRef,"1er EPP (1re année)","Aucun entretien renseigné"),IF(AND(ReglesTransitoires="Oui",EDATE($N275,AnciennePeriodiciteEP*12)&lt;DateVigueur),"Retard antérieur à la réforme","Périodicité "&amp;PeriodiciteEPP&amp;" ans")))</f>
        <v/>
      </c>
      <c r="P275" s="43" t="str">
        <f aca="false">IF(OR($B275="",$H275=""),"",IF($N275="",EDATE($H275,DelaiPremierEPP),IF(AND(ReglesTransitoires="Oui",EDATE($N275,AnciennePeriodiciteEP*12)&lt;DateVigueur),EDATE($N275,AnciennePeriodiciteEP*12),EDATE($N275,PeriodiciteEPP*12))))</f>
        <v/>
      </c>
      <c r="Q275" s="40"/>
      <c r="R275" s="45" t="str">
        <f aca="false">IF(OR($P275="",AND($I275&lt;&gt;"",$I275&lt;=DateRef)),"",$P275-DateRef)</f>
        <v/>
      </c>
      <c r="S275" s="42" t="str">
        <f aca="false">IF($B275="","",IF(AND($I275&lt;&gt;"",$I275&lt;=DateRef),"Sorti",IF($H275="","À compléter",IF(AND($Q275&lt;&gt;"",$Q275&gt;=DateRef,$Q275&lt;=$P275),"Planifié",IF($R275&lt;0,"En retard",IF($R275&lt;=SeuilAlerteEPP,"À planifier","À jour"))))))</f>
        <v/>
      </c>
      <c r="T275" s="46" t="str">
        <f aca="false">IF(OR($B275="",$S275="Sorti"),"",MID(IF($H275=""," | Date d'embauche manquante","")&amp;IF(AND($K275="Plus d'un an",$N275="")," | Précédent entretien à renseigner (ancienneté &gt; 1 an)","")&amp;IF($O275="Retard antérieur à la réforme"," | Ancien délai de 2 ans expiré avant la réforme","")&amp;IF(AND($N275&lt;&gt;"",$H275&lt;&gt;"",$N275&lt;$H275)," | Entretien antérieur à l'embauche ?","")&amp;IF(AND($N275&lt;&gt;"",$N275&gt;DateRef)," | Entretien daté dans le futur ?","")&amp;IF(AND($Q275&lt;&gt;"",$P275&lt;&gt;"",$Q275&gt;$P275)," | Date prévue après l'échéance","")&amp;IF(AND($Q275&lt;&gt;"",$Q275&lt;DateRef,OR($N275="",$N275&lt;$Q275))," | Entretien prévu passé : le consigner au Journal","")&amp;IF(AND($G275&lt;&gt;"",$X275="",YEAR(DateRef)-YEAR($G275)&gt;=AgeMiCarriere-1,YEAR(DateRef)-YEAR($G275)&lt;=AgeMiCarriere+1)," | Visite de mi-carrière à vérifier",""),4,1000))</f>
        <v/>
      </c>
      <c r="U275" s="39"/>
      <c r="V275" s="40"/>
      <c r="W275" s="42" t="str">
        <f aca="false">IF(OR($B275="",$V275=""),"",IF(AND($I275&lt;&gt;"",$I275&lt;=DateRef),"",IF(AND($N275&lt;&gt;"",$N275&gt;=$V275),"Réalisé",IF(AND($N275&lt;&gt;"",$N275&gt;=EDATE($V275,-FenetreRetour)),"Dispensé (EPP récent)",IF($V275&gt;DateRef,"À prévoir à la reprise","À proposer (reprise passée)")))))</f>
        <v/>
      </c>
      <c r="X275" s="40"/>
      <c r="Y275" s="43" t="str">
        <f aca="false">IF(OR($B275="",$X275=""),"",EDATE($X275,DelaiMiCarriere))</f>
        <v/>
      </c>
      <c r="Z275" s="42" t="str">
        <f aca="false">IF(OR($B275="",$X275=""),"",IF(AND($I275&lt;&gt;"",$I275&lt;=DateRef),"",IF(AND($N275&lt;&gt;"",$N275&gt;=$X275),"Réalisé",IF($Y275&lt;DateRef,"En retard","À planifier"))))</f>
        <v/>
      </c>
      <c r="AA275" s="47" t="str">
        <f aca="false">IF(OR($B275="",$G275=""),"",IF($G275&gt;DateRef,"",DATEDIF($G275,DateRef,"y")))</f>
        <v/>
      </c>
      <c r="AB275" s="43" t="str">
        <f aca="false">IF(OR($B275="",$G275=""),"",EDATE($G275,AgeFinCarriere*12))</f>
        <v/>
      </c>
      <c r="AC275" s="42" t="str">
        <f aca="false">IF(OR($B275="",$G275="",$H275=""),"",IF(AND($I275&lt;&gt;"",$I275&lt;=DateRef),"",IF($AB275&lt;DateVigueur,"Non concerné",IF(AND($N275&lt;&gt;"",$N275&gt;=MAX(EDATE($AB275,-FenetreFinCarriere*12),DateVigueur),$N275&lt;=$AB275),"Réalisé",IF(DateRef&gt;$AB275,"Non réalisé",IF(AND($Q275&lt;&gt;"",$Q275&gt;=EDATE($AB275,-FenetreFinCarriere*12),$Q275&lt;=$AB275),"Planifié dans la fenêtre",IF(AND(MAX($P275,DateRef)&gt;=EDATE($AB275,-FenetreFinCarriere*12),MAX($P275,DateRef)&lt;=$AB275),"Prochain EPP dans la fenêtre",IF(MAX($P275,DateRef)&gt;$AB275,"À programmer avant 60 ans",""))))))))</f>
        <v/>
      </c>
      <c r="AD275" s="40"/>
      <c r="AE275" s="43" t="str">
        <f aca="false">IF(OR($B275="",$H275="",AND($I275&lt;&gt;"",$I275&lt;=DateRef)),"",MAX($H275,$AD275,IF($A275="",0,SUMPRODUCT(MAX((Journal!$A$6:$A$1005=$A275)*((Journal!$D$6:$D$1005=TypeEDL)+(Journal!$D$6:$D$1005=TypeBilan6))*Journal!$C$6:$C$1005)))))</f>
        <v/>
      </c>
      <c r="AF275" s="43" t="str">
        <f aca="false">IF($AE275="","",IF(AND(ReglesTransitoires="Oui",EDATE($AE275,AnciennePeriodiciteEDL*12)&lt;DateVigueur),EDATE($AE275,AnciennePeriodiciteEDL*12),EDATE($AE275,PeriodiciteEDL*12)))</f>
        <v/>
      </c>
      <c r="AG275" s="42" t="str">
        <f aca="false">IF($AF275="","",IF(AND($I275&lt;&gt;"",$I275&lt;=DateRef),"",IF($AF275&lt;DateRef,"En retard",IF($AF275-DateRef&lt;=SeuilAlerteEDL,"À prévoir","À jour"))))</f>
        <v/>
      </c>
      <c r="AH275" s="39"/>
      <c r="AI275" s="39"/>
      <c r="AJ275" s="42" t="str">
        <f aca="false">IF(OR($B275="",$H275=""),"",IF(AND($I275&lt;&gt;"",$I275&lt;=DateRef),"",IF(Effectif&lt;SeuilEffectif,"Non concerné (&lt; "&amp;SeuilEffectif&amp;" salariés)",IF($AH275="Oui","Pas de risque",IF(AND(OR($AI275="Non",$S275="En retard"),$AH275="Non"),"Risque abondement",IF(OR($AI275="Non",$S275="En retard"),"À vérifier (formation ?)",IF($AI275="Oui","Pas de risque","À compléter")))))))</f>
        <v/>
      </c>
      <c r="AK275" s="39"/>
    </row>
    <row r="276" customFormat="false" ht="15" hidden="false" customHeight="false" outlineLevel="0" collapsed="false">
      <c r="A276" s="39"/>
      <c r="B276" s="39"/>
      <c r="C276" s="39"/>
      <c r="D276" s="39"/>
      <c r="E276" s="39"/>
      <c r="F276" s="39"/>
      <c r="G276" s="40"/>
      <c r="H276" s="40"/>
      <c r="I276" s="40"/>
      <c r="J276" s="41" t="str">
        <f aca="false">IF(OR($B276="",$H276=""),"",IF($H276&gt;DateRef,0,YEARFRAC($H276,DateRef,1)))</f>
        <v/>
      </c>
      <c r="K276" s="42" t="str">
        <f aca="false">IF(OR($B276="",$H276=""),"",IF(EDATE($H276,12)&lt;=DateRef,"Plus d'un an","Moins d'un an"))</f>
        <v/>
      </c>
      <c r="L276" s="40"/>
      <c r="M276" s="43" t="str">
        <f aca="false">IF(OR($B276="",$A276=""),"",IF(SUMPRODUCT(MAX((Journal!$A$6:$A$1005=$A276)*Journal!$C$6:$C$1005))=0,"",SUMPRODUCT(MAX((Journal!$A$6:$A$1005=$A276)*Journal!$C$6:$C$1005))))</f>
        <v/>
      </c>
      <c r="N276" s="43" t="str">
        <f aca="false">IF($B276="","",IF(MAX($L276,$M276)=0,"",MAX($L276,$M276)))</f>
        <v/>
      </c>
      <c r="O276" s="44" t="str">
        <f aca="false">IF(OR($B276="",$H276=""),"",IF($N276="",IF(EDATE($H276,DelaiPremierEPP)&gt;DateRef,"1er EPP (1re année)","Aucun entretien renseigné"),IF(AND(ReglesTransitoires="Oui",EDATE($N276,AnciennePeriodiciteEP*12)&lt;DateVigueur),"Retard antérieur à la réforme","Périodicité "&amp;PeriodiciteEPP&amp;" ans")))</f>
        <v/>
      </c>
      <c r="P276" s="43" t="str">
        <f aca="false">IF(OR($B276="",$H276=""),"",IF($N276="",EDATE($H276,DelaiPremierEPP),IF(AND(ReglesTransitoires="Oui",EDATE($N276,AnciennePeriodiciteEP*12)&lt;DateVigueur),EDATE($N276,AnciennePeriodiciteEP*12),EDATE($N276,PeriodiciteEPP*12))))</f>
        <v/>
      </c>
      <c r="Q276" s="40"/>
      <c r="R276" s="45" t="str">
        <f aca="false">IF(OR($P276="",AND($I276&lt;&gt;"",$I276&lt;=DateRef)),"",$P276-DateRef)</f>
        <v/>
      </c>
      <c r="S276" s="42" t="str">
        <f aca="false">IF($B276="","",IF(AND($I276&lt;&gt;"",$I276&lt;=DateRef),"Sorti",IF($H276="","À compléter",IF(AND($Q276&lt;&gt;"",$Q276&gt;=DateRef,$Q276&lt;=$P276),"Planifié",IF($R276&lt;0,"En retard",IF($R276&lt;=SeuilAlerteEPP,"À planifier","À jour"))))))</f>
        <v/>
      </c>
      <c r="T276" s="46" t="str">
        <f aca="false">IF(OR($B276="",$S276="Sorti"),"",MID(IF($H276=""," | Date d'embauche manquante","")&amp;IF(AND($K276="Plus d'un an",$N276="")," | Précédent entretien à renseigner (ancienneté &gt; 1 an)","")&amp;IF($O276="Retard antérieur à la réforme"," | Ancien délai de 2 ans expiré avant la réforme","")&amp;IF(AND($N276&lt;&gt;"",$H276&lt;&gt;"",$N276&lt;$H276)," | Entretien antérieur à l'embauche ?","")&amp;IF(AND($N276&lt;&gt;"",$N276&gt;DateRef)," | Entretien daté dans le futur ?","")&amp;IF(AND($Q276&lt;&gt;"",$P276&lt;&gt;"",$Q276&gt;$P276)," | Date prévue après l'échéance","")&amp;IF(AND($Q276&lt;&gt;"",$Q276&lt;DateRef,OR($N276="",$N276&lt;$Q276))," | Entretien prévu passé : le consigner au Journal","")&amp;IF(AND($G276&lt;&gt;"",$X276="",YEAR(DateRef)-YEAR($G276)&gt;=AgeMiCarriere-1,YEAR(DateRef)-YEAR($G276)&lt;=AgeMiCarriere+1)," | Visite de mi-carrière à vérifier",""),4,1000))</f>
        <v/>
      </c>
      <c r="U276" s="39"/>
      <c r="V276" s="40"/>
      <c r="W276" s="42" t="str">
        <f aca="false">IF(OR($B276="",$V276=""),"",IF(AND($I276&lt;&gt;"",$I276&lt;=DateRef),"",IF(AND($N276&lt;&gt;"",$N276&gt;=$V276),"Réalisé",IF(AND($N276&lt;&gt;"",$N276&gt;=EDATE($V276,-FenetreRetour)),"Dispensé (EPP récent)",IF($V276&gt;DateRef,"À prévoir à la reprise","À proposer (reprise passée)")))))</f>
        <v/>
      </c>
      <c r="X276" s="40"/>
      <c r="Y276" s="43" t="str">
        <f aca="false">IF(OR($B276="",$X276=""),"",EDATE($X276,DelaiMiCarriere))</f>
        <v/>
      </c>
      <c r="Z276" s="42" t="str">
        <f aca="false">IF(OR($B276="",$X276=""),"",IF(AND($I276&lt;&gt;"",$I276&lt;=DateRef),"",IF(AND($N276&lt;&gt;"",$N276&gt;=$X276),"Réalisé",IF($Y276&lt;DateRef,"En retard","À planifier"))))</f>
        <v/>
      </c>
      <c r="AA276" s="47" t="str">
        <f aca="false">IF(OR($B276="",$G276=""),"",IF($G276&gt;DateRef,"",DATEDIF($G276,DateRef,"y")))</f>
        <v/>
      </c>
      <c r="AB276" s="43" t="str">
        <f aca="false">IF(OR($B276="",$G276=""),"",EDATE($G276,AgeFinCarriere*12))</f>
        <v/>
      </c>
      <c r="AC276" s="42" t="str">
        <f aca="false">IF(OR($B276="",$G276="",$H276=""),"",IF(AND($I276&lt;&gt;"",$I276&lt;=DateRef),"",IF($AB276&lt;DateVigueur,"Non concerné",IF(AND($N276&lt;&gt;"",$N276&gt;=MAX(EDATE($AB276,-FenetreFinCarriere*12),DateVigueur),$N276&lt;=$AB276),"Réalisé",IF(DateRef&gt;$AB276,"Non réalisé",IF(AND($Q276&lt;&gt;"",$Q276&gt;=EDATE($AB276,-FenetreFinCarriere*12),$Q276&lt;=$AB276),"Planifié dans la fenêtre",IF(AND(MAX($P276,DateRef)&gt;=EDATE($AB276,-FenetreFinCarriere*12),MAX($P276,DateRef)&lt;=$AB276),"Prochain EPP dans la fenêtre",IF(MAX($P276,DateRef)&gt;$AB276,"À programmer avant 60 ans",""))))))))</f>
        <v/>
      </c>
      <c r="AD276" s="40"/>
      <c r="AE276" s="43" t="str">
        <f aca="false">IF(OR($B276="",$H276="",AND($I276&lt;&gt;"",$I276&lt;=DateRef)),"",MAX($H276,$AD276,IF($A276="",0,SUMPRODUCT(MAX((Journal!$A$6:$A$1005=$A276)*((Journal!$D$6:$D$1005=TypeEDL)+(Journal!$D$6:$D$1005=TypeBilan6))*Journal!$C$6:$C$1005)))))</f>
        <v/>
      </c>
      <c r="AF276" s="43" t="str">
        <f aca="false">IF($AE276="","",IF(AND(ReglesTransitoires="Oui",EDATE($AE276,AnciennePeriodiciteEDL*12)&lt;DateVigueur),EDATE($AE276,AnciennePeriodiciteEDL*12),EDATE($AE276,PeriodiciteEDL*12)))</f>
        <v/>
      </c>
      <c r="AG276" s="42" t="str">
        <f aca="false">IF($AF276="","",IF(AND($I276&lt;&gt;"",$I276&lt;=DateRef),"",IF($AF276&lt;DateRef,"En retard",IF($AF276-DateRef&lt;=SeuilAlerteEDL,"À prévoir","À jour"))))</f>
        <v/>
      </c>
      <c r="AH276" s="39"/>
      <c r="AI276" s="39"/>
      <c r="AJ276" s="42" t="str">
        <f aca="false">IF(OR($B276="",$H276=""),"",IF(AND($I276&lt;&gt;"",$I276&lt;=DateRef),"",IF(Effectif&lt;SeuilEffectif,"Non concerné (&lt; "&amp;SeuilEffectif&amp;" salariés)",IF($AH276="Oui","Pas de risque",IF(AND(OR($AI276="Non",$S276="En retard"),$AH276="Non"),"Risque abondement",IF(OR($AI276="Non",$S276="En retard"),"À vérifier (formation ?)",IF($AI276="Oui","Pas de risque","À compléter")))))))</f>
        <v/>
      </c>
      <c r="AK276" s="39"/>
    </row>
    <row r="277" customFormat="false" ht="15" hidden="false" customHeight="false" outlineLevel="0" collapsed="false">
      <c r="A277" s="39"/>
      <c r="B277" s="39"/>
      <c r="C277" s="39"/>
      <c r="D277" s="39"/>
      <c r="E277" s="39"/>
      <c r="F277" s="39"/>
      <c r="G277" s="40"/>
      <c r="H277" s="40"/>
      <c r="I277" s="40"/>
      <c r="J277" s="41" t="str">
        <f aca="false">IF(OR($B277="",$H277=""),"",IF($H277&gt;DateRef,0,YEARFRAC($H277,DateRef,1)))</f>
        <v/>
      </c>
      <c r="K277" s="42" t="str">
        <f aca="false">IF(OR($B277="",$H277=""),"",IF(EDATE($H277,12)&lt;=DateRef,"Plus d'un an","Moins d'un an"))</f>
        <v/>
      </c>
      <c r="L277" s="40"/>
      <c r="M277" s="43" t="str">
        <f aca="false">IF(OR($B277="",$A277=""),"",IF(SUMPRODUCT(MAX((Journal!$A$6:$A$1005=$A277)*Journal!$C$6:$C$1005))=0,"",SUMPRODUCT(MAX((Journal!$A$6:$A$1005=$A277)*Journal!$C$6:$C$1005))))</f>
        <v/>
      </c>
      <c r="N277" s="43" t="str">
        <f aca="false">IF($B277="","",IF(MAX($L277,$M277)=0,"",MAX($L277,$M277)))</f>
        <v/>
      </c>
      <c r="O277" s="44" t="str">
        <f aca="false">IF(OR($B277="",$H277=""),"",IF($N277="",IF(EDATE($H277,DelaiPremierEPP)&gt;DateRef,"1er EPP (1re année)","Aucun entretien renseigné"),IF(AND(ReglesTransitoires="Oui",EDATE($N277,AnciennePeriodiciteEP*12)&lt;DateVigueur),"Retard antérieur à la réforme","Périodicité "&amp;PeriodiciteEPP&amp;" ans")))</f>
        <v/>
      </c>
      <c r="P277" s="43" t="str">
        <f aca="false">IF(OR($B277="",$H277=""),"",IF($N277="",EDATE($H277,DelaiPremierEPP),IF(AND(ReglesTransitoires="Oui",EDATE($N277,AnciennePeriodiciteEP*12)&lt;DateVigueur),EDATE($N277,AnciennePeriodiciteEP*12),EDATE($N277,PeriodiciteEPP*12))))</f>
        <v/>
      </c>
      <c r="Q277" s="40"/>
      <c r="R277" s="45" t="str">
        <f aca="false">IF(OR($P277="",AND($I277&lt;&gt;"",$I277&lt;=DateRef)),"",$P277-DateRef)</f>
        <v/>
      </c>
      <c r="S277" s="42" t="str">
        <f aca="false">IF($B277="","",IF(AND($I277&lt;&gt;"",$I277&lt;=DateRef),"Sorti",IF($H277="","À compléter",IF(AND($Q277&lt;&gt;"",$Q277&gt;=DateRef,$Q277&lt;=$P277),"Planifié",IF($R277&lt;0,"En retard",IF($R277&lt;=SeuilAlerteEPP,"À planifier","À jour"))))))</f>
        <v/>
      </c>
      <c r="T277" s="46" t="str">
        <f aca="false">IF(OR($B277="",$S277="Sorti"),"",MID(IF($H277=""," | Date d'embauche manquante","")&amp;IF(AND($K277="Plus d'un an",$N277="")," | Précédent entretien à renseigner (ancienneté &gt; 1 an)","")&amp;IF($O277="Retard antérieur à la réforme"," | Ancien délai de 2 ans expiré avant la réforme","")&amp;IF(AND($N277&lt;&gt;"",$H277&lt;&gt;"",$N277&lt;$H277)," | Entretien antérieur à l'embauche ?","")&amp;IF(AND($N277&lt;&gt;"",$N277&gt;DateRef)," | Entretien daté dans le futur ?","")&amp;IF(AND($Q277&lt;&gt;"",$P277&lt;&gt;"",$Q277&gt;$P277)," | Date prévue après l'échéance","")&amp;IF(AND($Q277&lt;&gt;"",$Q277&lt;DateRef,OR($N277="",$N277&lt;$Q277))," | Entretien prévu passé : le consigner au Journal","")&amp;IF(AND($G277&lt;&gt;"",$X277="",YEAR(DateRef)-YEAR($G277)&gt;=AgeMiCarriere-1,YEAR(DateRef)-YEAR($G277)&lt;=AgeMiCarriere+1)," | Visite de mi-carrière à vérifier",""),4,1000))</f>
        <v/>
      </c>
      <c r="U277" s="39"/>
      <c r="V277" s="40"/>
      <c r="W277" s="42" t="str">
        <f aca="false">IF(OR($B277="",$V277=""),"",IF(AND($I277&lt;&gt;"",$I277&lt;=DateRef),"",IF(AND($N277&lt;&gt;"",$N277&gt;=$V277),"Réalisé",IF(AND($N277&lt;&gt;"",$N277&gt;=EDATE($V277,-FenetreRetour)),"Dispensé (EPP récent)",IF($V277&gt;DateRef,"À prévoir à la reprise","À proposer (reprise passée)")))))</f>
        <v/>
      </c>
      <c r="X277" s="40"/>
      <c r="Y277" s="43" t="str">
        <f aca="false">IF(OR($B277="",$X277=""),"",EDATE($X277,DelaiMiCarriere))</f>
        <v/>
      </c>
      <c r="Z277" s="42" t="str">
        <f aca="false">IF(OR($B277="",$X277=""),"",IF(AND($I277&lt;&gt;"",$I277&lt;=DateRef),"",IF(AND($N277&lt;&gt;"",$N277&gt;=$X277),"Réalisé",IF($Y277&lt;DateRef,"En retard","À planifier"))))</f>
        <v/>
      </c>
      <c r="AA277" s="47" t="str">
        <f aca="false">IF(OR($B277="",$G277=""),"",IF($G277&gt;DateRef,"",DATEDIF($G277,DateRef,"y")))</f>
        <v/>
      </c>
      <c r="AB277" s="43" t="str">
        <f aca="false">IF(OR($B277="",$G277=""),"",EDATE($G277,AgeFinCarriere*12))</f>
        <v/>
      </c>
      <c r="AC277" s="42" t="str">
        <f aca="false">IF(OR($B277="",$G277="",$H277=""),"",IF(AND($I277&lt;&gt;"",$I277&lt;=DateRef),"",IF($AB277&lt;DateVigueur,"Non concerné",IF(AND($N277&lt;&gt;"",$N277&gt;=MAX(EDATE($AB277,-FenetreFinCarriere*12),DateVigueur),$N277&lt;=$AB277),"Réalisé",IF(DateRef&gt;$AB277,"Non réalisé",IF(AND($Q277&lt;&gt;"",$Q277&gt;=EDATE($AB277,-FenetreFinCarriere*12),$Q277&lt;=$AB277),"Planifié dans la fenêtre",IF(AND(MAX($P277,DateRef)&gt;=EDATE($AB277,-FenetreFinCarriere*12),MAX($P277,DateRef)&lt;=$AB277),"Prochain EPP dans la fenêtre",IF(MAX($P277,DateRef)&gt;$AB277,"À programmer avant 60 ans",""))))))))</f>
        <v/>
      </c>
      <c r="AD277" s="40"/>
      <c r="AE277" s="43" t="str">
        <f aca="false">IF(OR($B277="",$H277="",AND($I277&lt;&gt;"",$I277&lt;=DateRef)),"",MAX($H277,$AD277,IF($A277="",0,SUMPRODUCT(MAX((Journal!$A$6:$A$1005=$A277)*((Journal!$D$6:$D$1005=TypeEDL)+(Journal!$D$6:$D$1005=TypeBilan6))*Journal!$C$6:$C$1005)))))</f>
        <v/>
      </c>
      <c r="AF277" s="43" t="str">
        <f aca="false">IF($AE277="","",IF(AND(ReglesTransitoires="Oui",EDATE($AE277,AnciennePeriodiciteEDL*12)&lt;DateVigueur),EDATE($AE277,AnciennePeriodiciteEDL*12),EDATE($AE277,PeriodiciteEDL*12)))</f>
        <v/>
      </c>
      <c r="AG277" s="42" t="str">
        <f aca="false">IF($AF277="","",IF(AND($I277&lt;&gt;"",$I277&lt;=DateRef),"",IF($AF277&lt;DateRef,"En retard",IF($AF277-DateRef&lt;=SeuilAlerteEDL,"À prévoir","À jour"))))</f>
        <v/>
      </c>
      <c r="AH277" s="39"/>
      <c r="AI277" s="39"/>
      <c r="AJ277" s="42" t="str">
        <f aca="false">IF(OR($B277="",$H277=""),"",IF(AND($I277&lt;&gt;"",$I277&lt;=DateRef),"",IF(Effectif&lt;SeuilEffectif,"Non concerné (&lt; "&amp;SeuilEffectif&amp;" salariés)",IF($AH277="Oui","Pas de risque",IF(AND(OR($AI277="Non",$S277="En retard"),$AH277="Non"),"Risque abondement",IF(OR($AI277="Non",$S277="En retard"),"À vérifier (formation ?)",IF($AI277="Oui","Pas de risque","À compléter")))))))</f>
        <v/>
      </c>
      <c r="AK277" s="39"/>
    </row>
    <row r="278" customFormat="false" ht="15" hidden="false" customHeight="false" outlineLevel="0" collapsed="false">
      <c r="A278" s="39"/>
      <c r="B278" s="39"/>
      <c r="C278" s="39"/>
      <c r="D278" s="39"/>
      <c r="E278" s="39"/>
      <c r="F278" s="39"/>
      <c r="G278" s="40"/>
      <c r="H278" s="40"/>
      <c r="I278" s="40"/>
      <c r="J278" s="41" t="str">
        <f aca="false">IF(OR($B278="",$H278=""),"",IF($H278&gt;DateRef,0,YEARFRAC($H278,DateRef,1)))</f>
        <v/>
      </c>
      <c r="K278" s="42" t="str">
        <f aca="false">IF(OR($B278="",$H278=""),"",IF(EDATE($H278,12)&lt;=DateRef,"Plus d'un an","Moins d'un an"))</f>
        <v/>
      </c>
      <c r="L278" s="40"/>
      <c r="M278" s="43" t="str">
        <f aca="false">IF(OR($B278="",$A278=""),"",IF(SUMPRODUCT(MAX((Journal!$A$6:$A$1005=$A278)*Journal!$C$6:$C$1005))=0,"",SUMPRODUCT(MAX((Journal!$A$6:$A$1005=$A278)*Journal!$C$6:$C$1005))))</f>
        <v/>
      </c>
      <c r="N278" s="43" t="str">
        <f aca="false">IF($B278="","",IF(MAX($L278,$M278)=0,"",MAX($L278,$M278)))</f>
        <v/>
      </c>
      <c r="O278" s="44" t="str">
        <f aca="false">IF(OR($B278="",$H278=""),"",IF($N278="",IF(EDATE($H278,DelaiPremierEPP)&gt;DateRef,"1er EPP (1re année)","Aucun entretien renseigné"),IF(AND(ReglesTransitoires="Oui",EDATE($N278,AnciennePeriodiciteEP*12)&lt;DateVigueur),"Retard antérieur à la réforme","Périodicité "&amp;PeriodiciteEPP&amp;" ans")))</f>
        <v/>
      </c>
      <c r="P278" s="43" t="str">
        <f aca="false">IF(OR($B278="",$H278=""),"",IF($N278="",EDATE($H278,DelaiPremierEPP),IF(AND(ReglesTransitoires="Oui",EDATE($N278,AnciennePeriodiciteEP*12)&lt;DateVigueur),EDATE($N278,AnciennePeriodiciteEP*12),EDATE($N278,PeriodiciteEPP*12))))</f>
        <v/>
      </c>
      <c r="Q278" s="40"/>
      <c r="R278" s="45" t="str">
        <f aca="false">IF(OR($P278="",AND($I278&lt;&gt;"",$I278&lt;=DateRef)),"",$P278-DateRef)</f>
        <v/>
      </c>
      <c r="S278" s="42" t="str">
        <f aca="false">IF($B278="","",IF(AND($I278&lt;&gt;"",$I278&lt;=DateRef),"Sorti",IF($H278="","À compléter",IF(AND($Q278&lt;&gt;"",$Q278&gt;=DateRef,$Q278&lt;=$P278),"Planifié",IF($R278&lt;0,"En retard",IF($R278&lt;=SeuilAlerteEPP,"À planifier","À jour"))))))</f>
        <v/>
      </c>
      <c r="T278" s="46" t="str">
        <f aca="false">IF(OR($B278="",$S278="Sorti"),"",MID(IF($H278=""," | Date d'embauche manquante","")&amp;IF(AND($K278="Plus d'un an",$N278="")," | Précédent entretien à renseigner (ancienneté &gt; 1 an)","")&amp;IF($O278="Retard antérieur à la réforme"," | Ancien délai de 2 ans expiré avant la réforme","")&amp;IF(AND($N278&lt;&gt;"",$H278&lt;&gt;"",$N278&lt;$H278)," | Entretien antérieur à l'embauche ?","")&amp;IF(AND($N278&lt;&gt;"",$N278&gt;DateRef)," | Entretien daté dans le futur ?","")&amp;IF(AND($Q278&lt;&gt;"",$P278&lt;&gt;"",$Q278&gt;$P278)," | Date prévue après l'échéance","")&amp;IF(AND($Q278&lt;&gt;"",$Q278&lt;DateRef,OR($N278="",$N278&lt;$Q278))," | Entretien prévu passé : le consigner au Journal","")&amp;IF(AND($G278&lt;&gt;"",$X278="",YEAR(DateRef)-YEAR($G278)&gt;=AgeMiCarriere-1,YEAR(DateRef)-YEAR($G278)&lt;=AgeMiCarriere+1)," | Visite de mi-carrière à vérifier",""),4,1000))</f>
        <v/>
      </c>
      <c r="U278" s="39"/>
      <c r="V278" s="40"/>
      <c r="W278" s="42" t="str">
        <f aca="false">IF(OR($B278="",$V278=""),"",IF(AND($I278&lt;&gt;"",$I278&lt;=DateRef),"",IF(AND($N278&lt;&gt;"",$N278&gt;=$V278),"Réalisé",IF(AND($N278&lt;&gt;"",$N278&gt;=EDATE($V278,-FenetreRetour)),"Dispensé (EPP récent)",IF($V278&gt;DateRef,"À prévoir à la reprise","À proposer (reprise passée)")))))</f>
        <v/>
      </c>
      <c r="X278" s="40"/>
      <c r="Y278" s="43" t="str">
        <f aca="false">IF(OR($B278="",$X278=""),"",EDATE($X278,DelaiMiCarriere))</f>
        <v/>
      </c>
      <c r="Z278" s="42" t="str">
        <f aca="false">IF(OR($B278="",$X278=""),"",IF(AND($I278&lt;&gt;"",$I278&lt;=DateRef),"",IF(AND($N278&lt;&gt;"",$N278&gt;=$X278),"Réalisé",IF($Y278&lt;DateRef,"En retard","À planifier"))))</f>
        <v/>
      </c>
      <c r="AA278" s="47" t="str">
        <f aca="false">IF(OR($B278="",$G278=""),"",IF($G278&gt;DateRef,"",DATEDIF($G278,DateRef,"y")))</f>
        <v/>
      </c>
      <c r="AB278" s="43" t="str">
        <f aca="false">IF(OR($B278="",$G278=""),"",EDATE($G278,AgeFinCarriere*12))</f>
        <v/>
      </c>
      <c r="AC278" s="42" t="str">
        <f aca="false">IF(OR($B278="",$G278="",$H278=""),"",IF(AND($I278&lt;&gt;"",$I278&lt;=DateRef),"",IF($AB278&lt;DateVigueur,"Non concerné",IF(AND($N278&lt;&gt;"",$N278&gt;=MAX(EDATE($AB278,-FenetreFinCarriere*12),DateVigueur),$N278&lt;=$AB278),"Réalisé",IF(DateRef&gt;$AB278,"Non réalisé",IF(AND($Q278&lt;&gt;"",$Q278&gt;=EDATE($AB278,-FenetreFinCarriere*12),$Q278&lt;=$AB278),"Planifié dans la fenêtre",IF(AND(MAX($P278,DateRef)&gt;=EDATE($AB278,-FenetreFinCarriere*12),MAX($P278,DateRef)&lt;=$AB278),"Prochain EPP dans la fenêtre",IF(MAX($P278,DateRef)&gt;$AB278,"À programmer avant 60 ans",""))))))))</f>
        <v/>
      </c>
      <c r="AD278" s="40"/>
      <c r="AE278" s="43" t="str">
        <f aca="false">IF(OR($B278="",$H278="",AND($I278&lt;&gt;"",$I278&lt;=DateRef)),"",MAX($H278,$AD278,IF($A278="",0,SUMPRODUCT(MAX((Journal!$A$6:$A$1005=$A278)*((Journal!$D$6:$D$1005=TypeEDL)+(Journal!$D$6:$D$1005=TypeBilan6))*Journal!$C$6:$C$1005)))))</f>
        <v/>
      </c>
      <c r="AF278" s="43" t="str">
        <f aca="false">IF($AE278="","",IF(AND(ReglesTransitoires="Oui",EDATE($AE278,AnciennePeriodiciteEDL*12)&lt;DateVigueur),EDATE($AE278,AnciennePeriodiciteEDL*12),EDATE($AE278,PeriodiciteEDL*12)))</f>
        <v/>
      </c>
      <c r="AG278" s="42" t="str">
        <f aca="false">IF($AF278="","",IF(AND($I278&lt;&gt;"",$I278&lt;=DateRef),"",IF($AF278&lt;DateRef,"En retard",IF($AF278-DateRef&lt;=SeuilAlerteEDL,"À prévoir","À jour"))))</f>
        <v/>
      </c>
      <c r="AH278" s="39"/>
      <c r="AI278" s="39"/>
      <c r="AJ278" s="42" t="str">
        <f aca="false">IF(OR($B278="",$H278=""),"",IF(AND($I278&lt;&gt;"",$I278&lt;=DateRef),"",IF(Effectif&lt;SeuilEffectif,"Non concerné (&lt; "&amp;SeuilEffectif&amp;" salariés)",IF($AH278="Oui","Pas de risque",IF(AND(OR($AI278="Non",$S278="En retard"),$AH278="Non"),"Risque abondement",IF(OR($AI278="Non",$S278="En retard"),"À vérifier (formation ?)",IF($AI278="Oui","Pas de risque","À compléter")))))))</f>
        <v/>
      </c>
      <c r="AK278" s="39"/>
    </row>
    <row r="279" customFormat="false" ht="15" hidden="false" customHeight="false" outlineLevel="0" collapsed="false">
      <c r="A279" s="39"/>
      <c r="B279" s="39"/>
      <c r="C279" s="39"/>
      <c r="D279" s="39"/>
      <c r="E279" s="39"/>
      <c r="F279" s="39"/>
      <c r="G279" s="40"/>
      <c r="H279" s="40"/>
      <c r="I279" s="40"/>
      <c r="J279" s="41" t="str">
        <f aca="false">IF(OR($B279="",$H279=""),"",IF($H279&gt;DateRef,0,YEARFRAC($H279,DateRef,1)))</f>
        <v/>
      </c>
      <c r="K279" s="42" t="str">
        <f aca="false">IF(OR($B279="",$H279=""),"",IF(EDATE($H279,12)&lt;=DateRef,"Plus d'un an","Moins d'un an"))</f>
        <v/>
      </c>
      <c r="L279" s="40"/>
      <c r="M279" s="43" t="str">
        <f aca="false">IF(OR($B279="",$A279=""),"",IF(SUMPRODUCT(MAX((Journal!$A$6:$A$1005=$A279)*Journal!$C$6:$C$1005))=0,"",SUMPRODUCT(MAX((Journal!$A$6:$A$1005=$A279)*Journal!$C$6:$C$1005))))</f>
        <v/>
      </c>
      <c r="N279" s="43" t="str">
        <f aca="false">IF($B279="","",IF(MAX($L279,$M279)=0,"",MAX($L279,$M279)))</f>
        <v/>
      </c>
      <c r="O279" s="44" t="str">
        <f aca="false">IF(OR($B279="",$H279=""),"",IF($N279="",IF(EDATE($H279,DelaiPremierEPP)&gt;DateRef,"1er EPP (1re année)","Aucun entretien renseigné"),IF(AND(ReglesTransitoires="Oui",EDATE($N279,AnciennePeriodiciteEP*12)&lt;DateVigueur),"Retard antérieur à la réforme","Périodicité "&amp;PeriodiciteEPP&amp;" ans")))</f>
        <v/>
      </c>
      <c r="P279" s="43" t="str">
        <f aca="false">IF(OR($B279="",$H279=""),"",IF($N279="",EDATE($H279,DelaiPremierEPP),IF(AND(ReglesTransitoires="Oui",EDATE($N279,AnciennePeriodiciteEP*12)&lt;DateVigueur),EDATE($N279,AnciennePeriodiciteEP*12),EDATE($N279,PeriodiciteEPP*12))))</f>
        <v/>
      </c>
      <c r="Q279" s="40"/>
      <c r="R279" s="45" t="str">
        <f aca="false">IF(OR($P279="",AND($I279&lt;&gt;"",$I279&lt;=DateRef)),"",$P279-DateRef)</f>
        <v/>
      </c>
      <c r="S279" s="42" t="str">
        <f aca="false">IF($B279="","",IF(AND($I279&lt;&gt;"",$I279&lt;=DateRef),"Sorti",IF($H279="","À compléter",IF(AND($Q279&lt;&gt;"",$Q279&gt;=DateRef,$Q279&lt;=$P279),"Planifié",IF($R279&lt;0,"En retard",IF($R279&lt;=SeuilAlerteEPP,"À planifier","À jour"))))))</f>
        <v/>
      </c>
      <c r="T279" s="46" t="str">
        <f aca="false">IF(OR($B279="",$S279="Sorti"),"",MID(IF($H279=""," | Date d'embauche manquante","")&amp;IF(AND($K279="Plus d'un an",$N279="")," | Précédent entretien à renseigner (ancienneté &gt; 1 an)","")&amp;IF($O279="Retard antérieur à la réforme"," | Ancien délai de 2 ans expiré avant la réforme","")&amp;IF(AND($N279&lt;&gt;"",$H279&lt;&gt;"",$N279&lt;$H279)," | Entretien antérieur à l'embauche ?","")&amp;IF(AND($N279&lt;&gt;"",$N279&gt;DateRef)," | Entretien daté dans le futur ?","")&amp;IF(AND($Q279&lt;&gt;"",$P279&lt;&gt;"",$Q279&gt;$P279)," | Date prévue après l'échéance","")&amp;IF(AND($Q279&lt;&gt;"",$Q279&lt;DateRef,OR($N279="",$N279&lt;$Q279))," | Entretien prévu passé : le consigner au Journal","")&amp;IF(AND($G279&lt;&gt;"",$X279="",YEAR(DateRef)-YEAR($G279)&gt;=AgeMiCarriere-1,YEAR(DateRef)-YEAR($G279)&lt;=AgeMiCarriere+1)," | Visite de mi-carrière à vérifier",""),4,1000))</f>
        <v/>
      </c>
      <c r="U279" s="39"/>
      <c r="V279" s="40"/>
      <c r="W279" s="42" t="str">
        <f aca="false">IF(OR($B279="",$V279=""),"",IF(AND($I279&lt;&gt;"",$I279&lt;=DateRef),"",IF(AND($N279&lt;&gt;"",$N279&gt;=$V279),"Réalisé",IF(AND($N279&lt;&gt;"",$N279&gt;=EDATE($V279,-FenetreRetour)),"Dispensé (EPP récent)",IF($V279&gt;DateRef,"À prévoir à la reprise","À proposer (reprise passée)")))))</f>
        <v/>
      </c>
      <c r="X279" s="40"/>
      <c r="Y279" s="43" t="str">
        <f aca="false">IF(OR($B279="",$X279=""),"",EDATE($X279,DelaiMiCarriere))</f>
        <v/>
      </c>
      <c r="Z279" s="42" t="str">
        <f aca="false">IF(OR($B279="",$X279=""),"",IF(AND($I279&lt;&gt;"",$I279&lt;=DateRef),"",IF(AND($N279&lt;&gt;"",$N279&gt;=$X279),"Réalisé",IF($Y279&lt;DateRef,"En retard","À planifier"))))</f>
        <v/>
      </c>
      <c r="AA279" s="47" t="str">
        <f aca="false">IF(OR($B279="",$G279=""),"",IF($G279&gt;DateRef,"",DATEDIF($G279,DateRef,"y")))</f>
        <v/>
      </c>
      <c r="AB279" s="43" t="str">
        <f aca="false">IF(OR($B279="",$G279=""),"",EDATE($G279,AgeFinCarriere*12))</f>
        <v/>
      </c>
      <c r="AC279" s="42" t="str">
        <f aca="false">IF(OR($B279="",$G279="",$H279=""),"",IF(AND($I279&lt;&gt;"",$I279&lt;=DateRef),"",IF($AB279&lt;DateVigueur,"Non concerné",IF(AND($N279&lt;&gt;"",$N279&gt;=MAX(EDATE($AB279,-FenetreFinCarriere*12),DateVigueur),$N279&lt;=$AB279),"Réalisé",IF(DateRef&gt;$AB279,"Non réalisé",IF(AND($Q279&lt;&gt;"",$Q279&gt;=EDATE($AB279,-FenetreFinCarriere*12),$Q279&lt;=$AB279),"Planifié dans la fenêtre",IF(AND(MAX($P279,DateRef)&gt;=EDATE($AB279,-FenetreFinCarriere*12),MAX($P279,DateRef)&lt;=$AB279),"Prochain EPP dans la fenêtre",IF(MAX($P279,DateRef)&gt;$AB279,"À programmer avant 60 ans",""))))))))</f>
        <v/>
      </c>
      <c r="AD279" s="40"/>
      <c r="AE279" s="43" t="str">
        <f aca="false">IF(OR($B279="",$H279="",AND($I279&lt;&gt;"",$I279&lt;=DateRef)),"",MAX($H279,$AD279,IF($A279="",0,SUMPRODUCT(MAX((Journal!$A$6:$A$1005=$A279)*((Journal!$D$6:$D$1005=TypeEDL)+(Journal!$D$6:$D$1005=TypeBilan6))*Journal!$C$6:$C$1005)))))</f>
        <v/>
      </c>
      <c r="AF279" s="43" t="str">
        <f aca="false">IF($AE279="","",IF(AND(ReglesTransitoires="Oui",EDATE($AE279,AnciennePeriodiciteEDL*12)&lt;DateVigueur),EDATE($AE279,AnciennePeriodiciteEDL*12),EDATE($AE279,PeriodiciteEDL*12)))</f>
        <v/>
      </c>
      <c r="AG279" s="42" t="str">
        <f aca="false">IF($AF279="","",IF(AND($I279&lt;&gt;"",$I279&lt;=DateRef),"",IF($AF279&lt;DateRef,"En retard",IF($AF279-DateRef&lt;=SeuilAlerteEDL,"À prévoir","À jour"))))</f>
        <v/>
      </c>
      <c r="AH279" s="39"/>
      <c r="AI279" s="39"/>
      <c r="AJ279" s="42" t="str">
        <f aca="false">IF(OR($B279="",$H279=""),"",IF(AND($I279&lt;&gt;"",$I279&lt;=DateRef),"",IF(Effectif&lt;SeuilEffectif,"Non concerné (&lt; "&amp;SeuilEffectif&amp;" salariés)",IF($AH279="Oui","Pas de risque",IF(AND(OR($AI279="Non",$S279="En retard"),$AH279="Non"),"Risque abondement",IF(OR($AI279="Non",$S279="En retard"),"À vérifier (formation ?)",IF($AI279="Oui","Pas de risque","À compléter")))))))</f>
        <v/>
      </c>
      <c r="AK279" s="39"/>
    </row>
    <row r="280" customFormat="false" ht="15" hidden="false" customHeight="false" outlineLevel="0" collapsed="false">
      <c r="A280" s="39"/>
      <c r="B280" s="39"/>
      <c r="C280" s="39"/>
      <c r="D280" s="39"/>
      <c r="E280" s="39"/>
      <c r="F280" s="39"/>
      <c r="G280" s="40"/>
      <c r="H280" s="40"/>
      <c r="I280" s="40"/>
      <c r="J280" s="41" t="str">
        <f aca="false">IF(OR($B280="",$H280=""),"",IF($H280&gt;DateRef,0,YEARFRAC($H280,DateRef,1)))</f>
        <v/>
      </c>
      <c r="K280" s="42" t="str">
        <f aca="false">IF(OR($B280="",$H280=""),"",IF(EDATE($H280,12)&lt;=DateRef,"Plus d'un an","Moins d'un an"))</f>
        <v/>
      </c>
      <c r="L280" s="40"/>
      <c r="M280" s="43" t="str">
        <f aca="false">IF(OR($B280="",$A280=""),"",IF(SUMPRODUCT(MAX((Journal!$A$6:$A$1005=$A280)*Journal!$C$6:$C$1005))=0,"",SUMPRODUCT(MAX((Journal!$A$6:$A$1005=$A280)*Journal!$C$6:$C$1005))))</f>
        <v/>
      </c>
      <c r="N280" s="43" t="str">
        <f aca="false">IF($B280="","",IF(MAX($L280,$M280)=0,"",MAX($L280,$M280)))</f>
        <v/>
      </c>
      <c r="O280" s="44" t="str">
        <f aca="false">IF(OR($B280="",$H280=""),"",IF($N280="",IF(EDATE($H280,DelaiPremierEPP)&gt;DateRef,"1er EPP (1re année)","Aucun entretien renseigné"),IF(AND(ReglesTransitoires="Oui",EDATE($N280,AnciennePeriodiciteEP*12)&lt;DateVigueur),"Retard antérieur à la réforme","Périodicité "&amp;PeriodiciteEPP&amp;" ans")))</f>
        <v/>
      </c>
      <c r="P280" s="43" t="str">
        <f aca="false">IF(OR($B280="",$H280=""),"",IF($N280="",EDATE($H280,DelaiPremierEPP),IF(AND(ReglesTransitoires="Oui",EDATE($N280,AnciennePeriodiciteEP*12)&lt;DateVigueur),EDATE($N280,AnciennePeriodiciteEP*12),EDATE($N280,PeriodiciteEPP*12))))</f>
        <v/>
      </c>
      <c r="Q280" s="40"/>
      <c r="R280" s="45" t="str">
        <f aca="false">IF(OR($P280="",AND($I280&lt;&gt;"",$I280&lt;=DateRef)),"",$P280-DateRef)</f>
        <v/>
      </c>
      <c r="S280" s="42" t="str">
        <f aca="false">IF($B280="","",IF(AND($I280&lt;&gt;"",$I280&lt;=DateRef),"Sorti",IF($H280="","À compléter",IF(AND($Q280&lt;&gt;"",$Q280&gt;=DateRef,$Q280&lt;=$P280),"Planifié",IF($R280&lt;0,"En retard",IF($R280&lt;=SeuilAlerteEPP,"À planifier","À jour"))))))</f>
        <v/>
      </c>
      <c r="T280" s="46" t="str">
        <f aca="false">IF(OR($B280="",$S280="Sorti"),"",MID(IF($H280=""," | Date d'embauche manquante","")&amp;IF(AND($K280="Plus d'un an",$N280="")," | Précédent entretien à renseigner (ancienneté &gt; 1 an)","")&amp;IF($O280="Retard antérieur à la réforme"," | Ancien délai de 2 ans expiré avant la réforme","")&amp;IF(AND($N280&lt;&gt;"",$H280&lt;&gt;"",$N280&lt;$H280)," | Entretien antérieur à l'embauche ?","")&amp;IF(AND($N280&lt;&gt;"",$N280&gt;DateRef)," | Entretien daté dans le futur ?","")&amp;IF(AND($Q280&lt;&gt;"",$P280&lt;&gt;"",$Q280&gt;$P280)," | Date prévue après l'échéance","")&amp;IF(AND($Q280&lt;&gt;"",$Q280&lt;DateRef,OR($N280="",$N280&lt;$Q280))," | Entretien prévu passé : le consigner au Journal","")&amp;IF(AND($G280&lt;&gt;"",$X280="",YEAR(DateRef)-YEAR($G280)&gt;=AgeMiCarriere-1,YEAR(DateRef)-YEAR($G280)&lt;=AgeMiCarriere+1)," | Visite de mi-carrière à vérifier",""),4,1000))</f>
        <v/>
      </c>
      <c r="U280" s="39"/>
      <c r="V280" s="40"/>
      <c r="W280" s="42" t="str">
        <f aca="false">IF(OR($B280="",$V280=""),"",IF(AND($I280&lt;&gt;"",$I280&lt;=DateRef),"",IF(AND($N280&lt;&gt;"",$N280&gt;=$V280),"Réalisé",IF(AND($N280&lt;&gt;"",$N280&gt;=EDATE($V280,-FenetreRetour)),"Dispensé (EPP récent)",IF($V280&gt;DateRef,"À prévoir à la reprise","À proposer (reprise passée)")))))</f>
        <v/>
      </c>
      <c r="X280" s="40"/>
      <c r="Y280" s="43" t="str">
        <f aca="false">IF(OR($B280="",$X280=""),"",EDATE($X280,DelaiMiCarriere))</f>
        <v/>
      </c>
      <c r="Z280" s="42" t="str">
        <f aca="false">IF(OR($B280="",$X280=""),"",IF(AND($I280&lt;&gt;"",$I280&lt;=DateRef),"",IF(AND($N280&lt;&gt;"",$N280&gt;=$X280),"Réalisé",IF($Y280&lt;DateRef,"En retard","À planifier"))))</f>
        <v/>
      </c>
      <c r="AA280" s="47" t="str">
        <f aca="false">IF(OR($B280="",$G280=""),"",IF($G280&gt;DateRef,"",DATEDIF($G280,DateRef,"y")))</f>
        <v/>
      </c>
      <c r="AB280" s="43" t="str">
        <f aca="false">IF(OR($B280="",$G280=""),"",EDATE($G280,AgeFinCarriere*12))</f>
        <v/>
      </c>
      <c r="AC280" s="42" t="str">
        <f aca="false">IF(OR($B280="",$G280="",$H280=""),"",IF(AND($I280&lt;&gt;"",$I280&lt;=DateRef),"",IF($AB280&lt;DateVigueur,"Non concerné",IF(AND($N280&lt;&gt;"",$N280&gt;=MAX(EDATE($AB280,-FenetreFinCarriere*12),DateVigueur),$N280&lt;=$AB280),"Réalisé",IF(DateRef&gt;$AB280,"Non réalisé",IF(AND($Q280&lt;&gt;"",$Q280&gt;=EDATE($AB280,-FenetreFinCarriere*12),$Q280&lt;=$AB280),"Planifié dans la fenêtre",IF(AND(MAX($P280,DateRef)&gt;=EDATE($AB280,-FenetreFinCarriere*12),MAX($P280,DateRef)&lt;=$AB280),"Prochain EPP dans la fenêtre",IF(MAX($P280,DateRef)&gt;$AB280,"À programmer avant 60 ans",""))))))))</f>
        <v/>
      </c>
      <c r="AD280" s="40"/>
      <c r="AE280" s="43" t="str">
        <f aca="false">IF(OR($B280="",$H280="",AND($I280&lt;&gt;"",$I280&lt;=DateRef)),"",MAX($H280,$AD280,IF($A280="",0,SUMPRODUCT(MAX((Journal!$A$6:$A$1005=$A280)*((Journal!$D$6:$D$1005=TypeEDL)+(Journal!$D$6:$D$1005=TypeBilan6))*Journal!$C$6:$C$1005)))))</f>
        <v/>
      </c>
      <c r="AF280" s="43" t="str">
        <f aca="false">IF($AE280="","",IF(AND(ReglesTransitoires="Oui",EDATE($AE280,AnciennePeriodiciteEDL*12)&lt;DateVigueur),EDATE($AE280,AnciennePeriodiciteEDL*12),EDATE($AE280,PeriodiciteEDL*12)))</f>
        <v/>
      </c>
      <c r="AG280" s="42" t="str">
        <f aca="false">IF($AF280="","",IF(AND($I280&lt;&gt;"",$I280&lt;=DateRef),"",IF($AF280&lt;DateRef,"En retard",IF($AF280-DateRef&lt;=SeuilAlerteEDL,"À prévoir","À jour"))))</f>
        <v/>
      </c>
      <c r="AH280" s="39"/>
      <c r="AI280" s="39"/>
      <c r="AJ280" s="42" t="str">
        <f aca="false">IF(OR($B280="",$H280=""),"",IF(AND($I280&lt;&gt;"",$I280&lt;=DateRef),"",IF(Effectif&lt;SeuilEffectif,"Non concerné (&lt; "&amp;SeuilEffectif&amp;" salariés)",IF($AH280="Oui","Pas de risque",IF(AND(OR($AI280="Non",$S280="En retard"),$AH280="Non"),"Risque abondement",IF(OR($AI280="Non",$S280="En retard"),"À vérifier (formation ?)",IF($AI280="Oui","Pas de risque","À compléter")))))))</f>
        <v/>
      </c>
      <c r="AK280" s="39"/>
    </row>
    <row r="281" customFormat="false" ht="15" hidden="false" customHeight="false" outlineLevel="0" collapsed="false">
      <c r="A281" s="39"/>
      <c r="B281" s="39"/>
      <c r="C281" s="39"/>
      <c r="D281" s="39"/>
      <c r="E281" s="39"/>
      <c r="F281" s="39"/>
      <c r="G281" s="40"/>
      <c r="H281" s="40"/>
      <c r="I281" s="40"/>
      <c r="J281" s="41" t="str">
        <f aca="false">IF(OR($B281="",$H281=""),"",IF($H281&gt;DateRef,0,YEARFRAC($H281,DateRef,1)))</f>
        <v/>
      </c>
      <c r="K281" s="42" t="str">
        <f aca="false">IF(OR($B281="",$H281=""),"",IF(EDATE($H281,12)&lt;=DateRef,"Plus d'un an","Moins d'un an"))</f>
        <v/>
      </c>
      <c r="L281" s="40"/>
      <c r="M281" s="43" t="str">
        <f aca="false">IF(OR($B281="",$A281=""),"",IF(SUMPRODUCT(MAX((Journal!$A$6:$A$1005=$A281)*Journal!$C$6:$C$1005))=0,"",SUMPRODUCT(MAX((Journal!$A$6:$A$1005=$A281)*Journal!$C$6:$C$1005))))</f>
        <v/>
      </c>
      <c r="N281" s="43" t="str">
        <f aca="false">IF($B281="","",IF(MAX($L281,$M281)=0,"",MAX($L281,$M281)))</f>
        <v/>
      </c>
      <c r="O281" s="44" t="str">
        <f aca="false">IF(OR($B281="",$H281=""),"",IF($N281="",IF(EDATE($H281,DelaiPremierEPP)&gt;DateRef,"1er EPP (1re année)","Aucun entretien renseigné"),IF(AND(ReglesTransitoires="Oui",EDATE($N281,AnciennePeriodiciteEP*12)&lt;DateVigueur),"Retard antérieur à la réforme","Périodicité "&amp;PeriodiciteEPP&amp;" ans")))</f>
        <v/>
      </c>
      <c r="P281" s="43" t="str">
        <f aca="false">IF(OR($B281="",$H281=""),"",IF($N281="",EDATE($H281,DelaiPremierEPP),IF(AND(ReglesTransitoires="Oui",EDATE($N281,AnciennePeriodiciteEP*12)&lt;DateVigueur),EDATE($N281,AnciennePeriodiciteEP*12),EDATE($N281,PeriodiciteEPP*12))))</f>
        <v/>
      </c>
      <c r="Q281" s="40"/>
      <c r="R281" s="45" t="str">
        <f aca="false">IF(OR($P281="",AND($I281&lt;&gt;"",$I281&lt;=DateRef)),"",$P281-DateRef)</f>
        <v/>
      </c>
      <c r="S281" s="42" t="str">
        <f aca="false">IF($B281="","",IF(AND($I281&lt;&gt;"",$I281&lt;=DateRef),"Sorti",IF($H281="","À compléter",IF(AND($Q281&lt;&gt;"",$Q281&gt;=DateRef,$Q281&lt;=$P281),"Planifié",IF($R281&lt;0,"En retard",IF($R281&lt;=SeuilAlerteEPP,"À planifier","À jour"))))))</f>
        <v/>
      </c>
      <c r="T281" s="46" t="str">
        <f aca="false">IF(OR($B281="",$S281="Sorti"),"",MID(IF($H281=""," | Date d'embauche manquante","")&amp;IF(AND($K281="Plus d'un an",$N281="")," | Précédent entretien à renseigner (ancienneté &gt; 1 an)","")&amp;IF($O281="Retard antérieur à la réforme"," | Ancien délai de 2 ans expiré avant la réforme","")&amp;IF(AND($N281&lt;&gt;"",$H281&lt;&gt;"",$N281&lt;$H281)," | Entretien antérieur à l'embauche ?","")&amp;IF(AND($N281&lt;&gt;"",$N281&gt;DateRef)," | Entretien daté dans le futur ?","")&amp;IF(AND($Q281&lt;&gt;"",$P281&lt;&gt;"",$Q281&gt;$P281)," | Date prévue après l'échéance","")&amp;IF(AND($Q281&lt;&gt;"",$Q281&lt;DateRef,OR($N281="",$N281&lt;$Q281))," | Entretien prévu passé : le consigner au Journal","")&amp;IF(AND($G281&lt;&gt;"",$X281="",YEAR(DateRef)-YEAR($G281)&gt;=AgeMiCarriere-1,YEAR(DateRef)-YEAR($G281)&lt;=AgeMiCarriere+1)," | Visite de mi-carrière à vérifier",""),4,1000))</f>
        <v/>
      </c>
      <c r="U281" s="39"/>
      <c r="V281" s="40"/>
      <c r="W281" s="42" t="str">
        <f aca="false">IF(OR($B281="",$V281=""),"",IF(AND($I281&lt;&gt;"",$I281&lt;=DateRef),"",IF(AND($N281&lt;&gt;"",$N281&gt;=$V281),"Réalisé",IF(AND($N281&lt;&gt;"",$N281&gt;=EDATE($V281,-FenetreRetour)),"Dispensé (EPP récent)",IF($V281&gt;DateRef,"À prévoir à la reprise","À proposer (reprise passée)")))))</f>
        <v/>
      </c>
      <c r="X281" s="40"/>
      <c r="Y281" s="43" t="str">
        <f aca="false">IF(OR($B281="",$X281=""),"",EDATE($X281,DelaiMiCarriere))</f>
        <v/>
      </c>
      <c r="Z281" s="42" t="str">
        <f aca="false">IF(OR($B281="",$X281=""),"",IF(AND($I281&lt;&gt;"",$I281&lt;=DateRef),"",IF(AND($N281&lt;&gt;"",$N281&gt;=$X281),"Réalisé",IF($Y281&lt;DateRef,"En retard","À planifier"))))</f>
        <v/>
      </c>
      <c r="AA281" s="47" t="str">
        <f aca="false">IF(OR($B281="",$G281=""),"",IF($G281&gt;DateRef,"",DATEDIF($G281,DateRef,"y")))</f>
        <v/>
      </c>
      <c r="AB281" s="43" t="str">
        <f aca="false">IF(OR($B281="",$G281=""),"",EDATE($G281,AgeFinCarriere*12))</f>
        <v/>
      </c>
      <c r="AC281" s="42" t="str">
        <f aca="false">IF(OR($B281="",$G281="",$H281=""),"",IF(AND($I281&lt;&gt;"",$I281&lt;=DateRef),"",IF($AB281&lt;DateVigueur,"Non concerné",IF(AND($N281&lt;&gt;"",$N281&gt;=MAX(EDATE($AB281,-FenetreFinCarriere*12),DateVigueur),$N281&lt;=$AB281),"Réalisé",IF(DateRef&gt;$AB281,"Non réalisé",IF(AND($Q281&lt;&gt;"",$Q281&gt;=EDATE($AB281,-FenetreFinCarriere*12),$Q281&lt;=$AB281),"Planifié dans la fenêtre",IF(AND(MAX($P281,DateRef)&gt;=EDATE($AB281,-FenetreFinCarriere*12),MAX($P281,DateRef)&lt;=$AB281),"Prochain EPP dans la fenêtre",IF(MAX($P281,DateRef)&gt;$AB281,"À programmer avant 60 ans",""))))))))</f>
        <v/>
      </c>
      <c r="AD281" s="40"/>
      <c r="AE281" s="43" t="str">
        <f aca="false">IF(OR($B281="",$H281="",AND($I281&lt;&gt;"",$I281&lt;=DateRef)),"",MAX($H281,$AD281,IF($A281="",0,SUMPRODUCT(MAX((Journal!$A$6:$A$1005=$A281)*((Journal!$D$6:$D$1005=TypeEDL)+(Journal!$D$6:$D$1005=TypeBilan6))*Journal!$C$6:$C$1005)))))</f>
        <v/>
      </c>
      <c r="AF281" s="43" t="str">
        <f aca="false">IF($AE281="","",IF(AND(ReglesTransitoires="Oui",EDATE($AE281,AnciennePeriodiciteEDL*12)&lt;DateVigueur),EDATE($AE281,AnciennePeriodiciteEDL*12),EDATE($AE281,PeriodiciteEDL*12)))</f>
        <v/>
      </c>
      <c r="AG281" s="42" t="str">
        <f aca="false">IF($AF281="","",IF(AND($I281&lt;&gt;"",$I281&lt;=DateRef),"",IF($AF281&lt;DateRef,"En retard",IF($AF281-DateRef&lt;=SeuilAlerteEDL,"À prévoir","À jour"))))</f>
        <v/>
      </c>
      <c r="AH281" s="39"/>
      <c r="AI281" s="39"/>
      <c r="AJ281" s="42" t="str">
        <f aca="false">IF(OR($B281="",$H281=""),"",IF(AND($I281&lt;&gt;"",$I281&lt;=DateRef),"",IF(Effectif&lt;SeuilEffectif,"Non concerné (&lt; "&amp;SeuilEffectif&amp;" salariés)",IF($AH281="Oui","Pas de risque",IF(AND(OR($AI281="Non",$S281="En retard"),$AH281="Non"),"Risque abondement",IF(OR($AI281="Non",$S281="En retard"),"À vérifier (formation ?)",IF($AI281="Oui","Pas de risque","À compléter")))))))</f>
        <v/>
      </c>
      <c r="AK281" s="39"/>
    </row>
    <row r="282" customFormat="false" ht="15" hidden="false" customHeight="false" outlineLevel="0" collapsed="false">
      <c r="A282" s="39"/>
      <c r="B282" s="39"/>
      <c r="C282" s="39"/>
      <c r="D282" s="39"/>
      <c r="E282" s="39"/>
      <c r="F282" s="39"/>
      <c r="G282" s="40"/>
      <c r="H282" s="40"/>
      <c r="I282" s="40"/>
      <c r="J282" s="41" t="str">
        <f aca="false">IF(OR($B282="",$H282=""),"",IF($H282&gt;DateRef,0,YEARFRAC($H282,DateRef,1)))</f>
        <v/>
      </c>
      <c r="K282" s="42" t="str">
        <f aca="false">IF(OR($B282="",$H282=""),"",IF(EDATE($H282,12)&lt;=DateRef,"Plus d'un an","Moins d'un an"))</f>
        <v/>
      </c>
      <c r="L282" s="40"/>
      <c r="M282" s="43" t="str">
        <f aca="false">IF(OR($B282="",$A282=""),"",IF(SUMPRODUCT(MAX((Journal!$A$6:$A$1005=$A282)*Journal!$C$6:$C$1005))=0,"",SUMPRODUCT(MAX((Journal!$A$6:$A$1005=$A282)*Journal!$C$6:$C$1005))))</f>
        <v/>
      </c>
      <c r="N282" s="43" t="str">
        <f aca="false">IF($B282="","",IF(MAX($L282,$M282)=0,"",MAX($L282,$M282)))</f>
        <v/>
      </c>
      <c r="O282" s="44" t="str">
        <f aca="false">IF(OR($B282="",$H282=""),"",IF($N282="",IF(EDATE($H282,DelaiPremierEPP)&gt;DateRef,"1er EPP (1re année)","Aucun entretien renseigné"),IF(AND(ReglesTransitoires="Oui",EDATE($N282,AnciennePeriodiciteEP*12)&lt;DateVigueur),"Retard antérieur à la réforme","Périodicité "&amp;PeriodiciteEPP&amp;" ans")))</f>
        <v/>
      </c>
      <c r="P282" s="43" t="str">
        <f aca="false">IF(OR($B282="",$H282=""),"",IF($N282="",EDATE($H282,DelaiPremierEPP),IF(AND(ReglesTransitoires="Oui",EDATE($N282,AnciennePeriodiciteEP*12)&lt;DateVigueur),EDATE($N282,AnciennePeriodiciteEP*12),EDATE($N282,PeriodiciteEPP*12))))</f>
        <v/>
      </c>
      <c r="Q282" s="40"/>
      <c r="R282" s="45" t="str">
        <f aca="false">IF(OR($P282="",AND($I282&lt;&gt;"",$I282&lt;=DateRef)),"",$P282-DateRef)</f>
        <v/>
      </c>
      <c r="S282" s="42" t="str">
        <f aca="false">IF($B282="","",IF(AND($I282&lt;&gt;"",$I282&lt;=DateRef),"Sorti",IF($H282="","À compléter",IF(AND($Q282&lt;&gt;"",$Q282&gt;=DateRef,$Q282&lt;=$P282),"Planifié",IF($R282&lt;0,"En retard",IF($R282&lt;=SeuilAlerteEPP,"À planifier","À jour"))))))</f>
        <v/>
      </c>
      <c r="T282" s="46" t="str">
        <f aca="false">IF(OR($B282="",$S282="Sorti"),"",MID(IF($H282=""," | Date d'embauche manquante","")&amp;IF(AND($K282="Plus d'un an",$N282="")," | Précédent entretien à renseigner (ancienneté &gt; 1 an)","")&amp;IF($O282="Retard antérieur à la réforme"," | Ancien délai de 2 ans expiré avant la réforme","")&amp;IF(AND($N282&lt;&gt;"",$H282&lt;&gt;"",$N282&lt;$H282)," | Entretien antérieur à l'embauche ?","")&amp;IF(AND($N282&lt;&gt;"",$N282&gt;DateRef)," | Entretien daté dans le futur ?","")&amp;IF(AND($Q282&lt;&gt;"",$P282&lt;&gt;"",$Q282&gt;$P282)," | Date prévue après l'échéance","")&amp;IF(AND($Q282&lt;&gt;"",$Q282&lt;DateRef,OR($N282="",$N282&lt;$Q282))," | Entretien prévu passé : le consigner au Journal","")&amp;IF(AND($G282&lt;&gt;"",$X282="",YEAR(DateRef)-YEAR($G282)&gt;=AgeMiCarriere-1,YEAR(DateRef)-YEAR($G282)&lt;=AgeMiCarriere+1)," | Visite de mi-carrière à vérifier",""),4,1000))</f>
        <v/>
      </c>
      <c r="U282" s="39"/>
      <c r="V282" s="40"/>
      <c r="W282" s="42" t="str">
        <f aca="false">IF(OR($B282="",$V282=""),"",IF(AND($I282&lt;&gt;"",$I282&lt;=DateRef),"",IF(AND($N282&lt;&gt;"",$N282&gt;=$V282),"Réalisé",IF(AND($N282&lt;&gt;"",$N282&gt;=EDATE($V282,-FenetreRetour)),"Dispensé (EPP récent)",IF($V282&gt;DateRef,"À prévoir à la reprise","À proposer (reprise passée)")))))</f>
        <v/>
      </c>
      <c r="X282" s="40"/>
      <c r="Y282" s="43" t="str">
        <f aca="false">IF(OR($B282="",$X282=""),"",EDATE($X282,DelaiMiCarriere))</f>
        <v/>
      </c>
      <c r="Z282" s="42" t="str">
        <f aca="false">IF(OR($B282="",$X282=""),"",IF(AND($I282&lt;&gt;"",$I282&lt;=DateRef),"",IF(AND($N282&lt;&gt;"",$N282&gt;=$X282),"Réalisé",IF($Y282&lt;DateRef,"En retard","À planifier"))))</f>
        <v/>
      </c>
      <c r="AA282" s="47" t="str">
        <f aca="false">IF(OR($B282="",$G282=""),"",IF($G282&gt;DateRef,"",DATEDIF($G282,DateRef,"y")))</f>
        <v/>
      </c>
      <c r="AB282" s="43" t="str">
        <f aca="false">IF(OR($B282="",$G282=""),"",EDATE($G282,AgeFinCarriere*12))</f>
        <v/>
      </c>
      <c r="AC282" s="42" t="str">
        <f aca="false">IF(OR($B282="",$G282="",$H282=""),"",IF(AND($I282&lt;&gt;"",$I282&lt;=DateRef),"",IF($AB282&lt;DateVigueur,"Non concerné",IF(AND($N282&lt;&gt;"",$N282&gt;=MAX(EDATE($AB282,-FenetreFinCarriere*12),DateVigueur),$N282&lt;=$AB282),"Réalisé",IF(DateRef&gt;$AB282,"Non réalisé",IF(AND($Q282&lt;&gt;"",$Q282&gt;=EDATE($AB282,-FenetreFinCarriere*12),$Q282&lt;=$AB282),"Planifié dans la fenêtre",IF(AND(MAX($P282,DateRef)&gt;=EDATE($AB282,-FenetreFinCarriere*12),MAX($P282,DateRef)&lt;=$AB282),"Prochain EPP dans la fenêtre",IF(MAX($P282,DateRef)&gt;$AB282,"À programmer avant 60 ans",""))))))))</f>
        <v/>
      </c>
      <c r="AD282" s="40"/>
      <c r="AE282" s="43" t="str">
        <f aca="false">IF(OR($B282="",$H282="",AND($I282&lt;&gt;"",$I282&lt;=DateRef)),"",MAX($H282,$AD282,IF($A282="",0,SUMPRODUCT(MAX((Journal!$A$6:$A$1005=$A282)*((Journal!$D$6:$D$1005=TypeEDL)+(Journal!$D$6:$D$1005=TypeBilan6))*Journal!$C$6:$C$1005)))))</f>
        <v/>
      </c>
      <c r="AF282" s="43" t="str">
        <f aca="false">IF($AE282="","",IF(AND(ReglesTransitoires="Oui",EDATE($AE282,AnciennePeriodiciteEDL*12)&lt;DateVigueur),EDATE($AE282,AnciennePeriodiciteEDL*12),EDATE($AE282,PeriodiciteEDL*12)))</f>
        <v/>
      </c>
      <c r="AG282" s="42" t="str">
        <f aca="false">IF($AF282="","",IF(AND($I282&lt;&gt;"",$I282&lt;=DateRef),"",IF($AF282&lt;DateRef,"En retard",IF($AF282-DateRef&lt;=SeuilAlerteEDL,"À prévoir","À jour"))))</f>
        <v/>
      </c>
      <c r="AH282" s="39"/>
      <c r="AI282" s="39"/>
      <c r="AJ282" s="42" t="str">
        <f aca="false">IF(OR($B282="",$H282=""),"",IF(AND($I282&lt;&gt;"",$I282&lt;=DateRef),"",IF(Effectif&lt;SeuilEffectif,"Non concerné (&lt; "&amp;SeuilEffectif&amp;" salariés)",IF($AH282="Oui","Pas de risque",IF(AND(OR($AI282="Non",$S282="En retard"),$AH282="Non"),"Risque abondement",IF(OR($AI282="Non",$S282="En retard"),"À vérifier (formation ?)",IF($AI282="Oui","Pas de risque","À compléter")))))))</f>
        <v/>
      </c>
      <c r="AK282" s="39"/>
    </row>
    <row r="283" customFormat="false" ht="15" hidden="false" customHeight="false" outlineLevel="0" collapsed="false">
      <c r="A283" s="39"/>
      <c r="B283" s="39"/>
      <c r="C283" s="39"/>
      <c r="D283" s="39"/>
      <c r="E283" s="39"/>
      <c r="F283" s="39"/>
      <c r="G283" s="40"/>
      <c r="H283" s="40"/>
      <c r="I283" s="40"/>
      <c r="J283" s="41" t="str">
        <f aca="false">IF(OR($B283="",$H283=""),"",IF($H283&gt;DateRef,0,YEARFRAC($H283,DateRef,1)))</f>
        <v/>
      </c>
      <c r="K283" s="42" t="str">
        <f aca="false">IF(OR($B283="",$H283=""),"",IF(EDATE($H283,12)&lt;=DateRef,"Plus d'un an","Moins d'un an"))</f>
        <v/>
      </c>
      <c r="L283" s="40"/>
      <c r="M283" s="43" t="str">
        <f aca="false">IF(OR($B283="",$A283=""),"",IF(SUMPRODUCT(MAX((Journal!$A$6:$A$1005=$A283)*Journal!$C$6:$C$1005))=0,"",SUMPRODUCT(MAX((Journal!$A$6:$A$1005=$A283)*Journal!$C$6:$C$1005))))</f>
        <v/>
      </c>
      <c r="N283" s="43" t="str">
        <f aca="false">IF($B283="","",IF(MAX($L283,$M283)=0,"",MAX($L283,$M283)))</f>
        <v/>
      </c>
      <c r="O283" s="44" t="str">
        <f aca="false">IF(OR($B283="",$H283=""),"",IF($N283="",IF(EDATE($H283,DelaiPremierEPP)&gt;DateRef,"1er EPP (1re année)","Aucun entretien renseigné"),IF(AND(ReglesTransitoires="Oui",EDATE($N283,AnciennePeriodiciteEP*12)&lt;DateVigueur),"Retard antérieur à la réforme","Périodicité "&amp;PeriodiciteEPP&amp;" ans")))</f>
        <v/>
      </c>
      <c r="P283" s="43" t="str">
        <f aca="false">IF(OR($B283="",$H283=""),"",IF($N283="",EDATE($H283,DelaiPremierEPP),IF(AND(ReglesTransitoires="Oui",EDATE($N283,AnciennePeriodiciteEP*12)&lt;DateVigueur),EDATE($N283,AnciennePeriodiciteEP*12),EDATE($N283,PeriodiciteEPP*12))))</f>
        <v/>
      </c>
      <c r="Q283" s="40"/>
      <c r="R283" s="45" t="str">
        <f aca="false">IF(OR($P283="",AND($I283&lt;&gt;"",$I283&lt;=DateRef)),"",$P283-DateRef)</f>
        <v/>
      </c>
      <c r="S283" s="42" t="str">
        <f aca="false">IF($B283="","",IF(AND($I283&lt;&gt;"",$I283&lt;=DateRef),"Sorti",IF($H283="","À compléter",IF(AND($Q283&lt;&gt;"",$Q283&gt;=DateRef,$Q283&lt;=$P283),"Planifié",IF($R283&lt;0,"En retard",IF($R283&lt;=SeuilAlerteEPP,"À planifier","À jour"))))))</f>
        <v/>
      </c>
      <c r="T283" s="46" t="str">
        <f aca="false">IF(OR($B283="",$S283="Sorti"),"",MID(IF($H283=""," | Date d'embauche manquante","")&amp;IF(AND($K283="Plus d'un an",$N283="")," | Précédent entretien à renseigner (ancienneté &gt; 1 an)","")&amp;IF($O283="Retard antérieur à la réforme"," | Ancien délai de 2 ans expiré avant la réforme","")&amp;IF(AND($N283&lt;&gt;"",$H283&lt;&gt;"",$N283&lt;$H283)," | Entretien antérieur à l'embauche ?","")&amp;IF(AND($N283&lt;&gt;"",$N283&gt;DateRef)," | Entretien daté dans le futur ?","")&amp;IF(AND($Q283&lt;&gt;"",$P283&lt;&gt;"",$Q283&gt;$P283)," | Date prévue après l'échéance","")&amp;IF(AND($Q283&lt;&gt;"",$Q283&lt;DateRef,OR($N283="",$N283&lt;$Q283))," | Entretien prévu passé : le consigner au Journal","")&amp;IF(AND($G283&lt;&gt;"",$X283="",YEAR(DateRef)-YEAR($G283)&gt;=AgeMiCarriere-1,YEAR(DateRef)-YEAR($G283)&lt;=AgeMiCarriere+1)," | Visite de mi-carrière à vérifier",""),4,1000))</f>
        <v/>
      </c>
      <c r="U283" s="39"/>
      <c r="V283" s="40"/>
      <c r="W283" s="42" t="str">
        <f aca="false">IF(OR($B283="",$V283=""),"",IF(AND($I283&lt;&gt;"",$I283&lt;=DateRef),"",IF(AND($N283&lt;&gt;"",$N283&gt;=$V283),"Réalisé",IF(AND($N283&lt;&gt;"",$N283&gt;=EDATE($V283,-FenetreRetour)),"Dispensé (EPP récent)",IF($V283&gt;DateRef,"À prévoir à la reprise","À proposer (reprise passée)")))))</f>
        <v/>
      </c>
      <c r="X283" s="40"/>
      <c r="Y283" s="43" t="str">
        <f aca="false">IF(OR($B283="",$X283=""),"",EDATE($X283,DelaiMiCarriere))</f>
        <v/>
      </c>
      <c r="Z283" s="42" t="str">
        <f aca="false">IF(OR($B283="",$X283=""),"",IF(AND($I283&lt;&gt;"",$I283&lt;=DateRef),"",IF(AND($N283&lt;&gt;"",$N283&gt;=$X283),"Réalisé",IF($Y283&lt;DateRef,"En retard","À planifier"))))</f>
        <v/>
      </c>
      <c r="AA283" s="47" t="str">
        <f aca="false">IF(OR($B283="",$G283=""),"",IF($G283&gt;DateRef,"",DATEDIF($G283,DateRef,"y")))</f>
        <v/>
      </c>
      <c r="AB283" s="43" t="str">
        <f aca="false">IF(OR($B283="",$G283=""),"",EDATE($G283,AgeFinCarriere*12))</f>
        <v/>
      </c>
      <c r="AC283" s="42" t="str">
        <f aca="false">IF(OR($B283="",$G283="",$H283=""),"",IF(AND($I283&lt;&gt;"",$I283&lt;=DateRef),"",IF($AB283&lt;DateVigueur,"Non concerné",IF(AND($N283&lt;&gt;"",$N283&gt;=MAX(EDATE($AB283,-FenetreFinCarriere*12),DateVigueur),$N283&lt;=$AB283),"Réalisé",IF(DateRef&gt;$AB283,"Non réalisé",IF(AND($Q283&lt;&gt;"",$Q283&gt;=EDATE($AB283,-FenetreFinCarriere*12),$Q283&lt;=$AB283),"Planifié dans la fenêtre",IF(AND(MAX($P283,DateRef)&gt;=EDATE($AB283,-FenetreFinCarriere*12),MAX($P283,DateRef)&lt;=$AB283),"Prochain EPP dans la fenêtre",IF(MAX($P283,DateRef)&gt;$AB283,"À programmer avant 60 ans",""))))))))</f>
        <v/>
      </c>
      <c r="AD283" s="40"/>
      <c r="AE283" s="43" t="str">
        <f aca="false">IF(OR($B283="",$H283="",AND($I283&lt;&gt;"",$I283&lt;=DateRef)),"",MAX($H283,$AD283,IF($A283="",0,SUMPRODUCT(MAX((Journal!$A$6:$A$1005=$A283)*((Journal!$D$6:$D$1005=TypeEDL)+(Journal!$D$6:$D$1005=TypeBilan6))*Journal!$C$6:$C$1005)))))</f>
        <v/>
      </c>
      <c r="AF283" s="43" t="str">
        <f aca="false">IF($AE283="","",IF(AND(ReglesTransitoires="Oui",EDATE($AE283,AnciennePeriodiciteEDL*12)&lt;DateVigueur),EDATE($AE283,AnciennePeriodiciteEDL*12),EDATE($AE283,PeriodiciteEDL*12)))</f>
        <v/>
      </c>
      <c r="AG283" s="42" t="str">
        <f aca="false">IF($AF283="","",IF(AND($I283&lt;&gt;"",$I283&lt;=DateRef),"",IF($AF283&lt;DateRef,"En retard",IF($AF283-DateRef&lt;=SeuilAlerteEDL,"À prévoir","À jour"))))</f>
        <v/>
      </c>
      <c r="AH283" s="39"/>
      <c r="AI283" s="39"/>
      <c r="AJ283" s="42" t="str">
        <f aca="false">IF(OR($B283="",$H283=""),"",IF(AND($I283&lt;&gt;"",$I283&lt;=DateRef),"",IF(Effectif&lt;SeuilEffectif,"Non concerné (&lt; "&amp;SeuilEffectif&amp;" salariés)",IF($AH283="Oui","Pas de risque",IF(AND(OR($AI283="Non",$S283="En retard"),$AH283="Non"),"Risque abondement",IF(OR($AI283="Non",$S283="En retard"),"À vérifier (formation ?)",IF($AI283="Oui","Pas de risque","À compléter")))))))</f>
        <v/>
      </c>
      <c r="AK283" s="39"/>
    </row>
    <row r="284" customFormat="false" ht="15" hidden="false" customHeight="false" outlineLevel="0" collapsed="false">
      <c r="A284" s="39"/>
      <c r="B284" s="39"/>
      <c r="C284" s="39"/>
      <c r="D284" s="39"/>
      <c r="E284" s="39"/>
      <c r="F284" s="39"/>
      <c r="G284" s="40"/>
      <c r="H284" s="40"/>
      <c r="I284" s="40"/>
      <c r="J284" s="41" t="str">
        <f aca="false">IF(OR($B284="",$H284=""),"",IF($H284&gt;DateRef,0,YEARFRAC($H284,DateRef,1)))</f>
        <v/>
      </c>
      <c r="K284" s="42" t="str">
        <f aca="false">IF(OR($B284="",$H284=""),"",IF(EDATE($H284,12)&lt;=DateRef,"Plus d'un an","Moins d'un an"))</f>
        <v/>
      </c>
      <c r="L284" s="40"/>
      <c r="M284" s="43" t="str">
        <f aca="false">IF(OR($B284="",$A284=""),"",IF(SUMPRODUCT(MAX((Journal!$A$6:$A$1005=$A284)*Journal!$C$6:$C$1005))=0,"",SUMPRODUCT(MAX((Journal!$A$6:$A$1005=$A284)*Journal!$C$6:$C$1005))))</f>
        <v/>
      </c>
      <c r="N284" s="43" t="str">
        <f aca="false">IF($B284="","",IF(MAX($L284,$M284)=0,"",MAX($L284,$M284)))</f>
        <v/>
      </c>
      <c r="O284" s="44" t="str">
        <f aca="false">IF(OR($B284="",$H284=""),"",IF($N284="",IF(EDATE($H284,DelaiPremierEPP)&gt;DateRef,"1er EPP (1re année)","Aucun entretien renseigné"),IF(AND(ReglesTransitoires="Oui",EDATE($N284,AnciennePeriodiciteEP*12)&lt;DateVigueur),"Retard antérieur à la réforme","Périodicité "&amp;PeriodiciteEPP&amp;" ans")))</f>
        <v/>
      </c>
      <c r="P284" s="43" t="str">
        <f aca="false">IF(OR($B284="",$H284=""),"",IF($N284="",EDATE($H284,DelaiPremierEPP),IF(AND(ReglesTransitoires="Oui",EDATE($N284,AnciennePeriodiciteEP*12)&lt;DateVigueur),EDATE($N284,AnciennePeriodiciteEP*12),EDATE($N284,PeriodiciteEPP*12))))</f>
        <v/>
      </c>
      <c r="Q284" s="40"/>
      <c r="R284" s="45" t="str">
        <f aca="false">IF(OR($P284="",AND($I284&lt;&gt;"",$I284&lt;=DateRef)),"",$P284-DateRef)</f>
        <v/>
      </c>
      <c r="S284" s="42" t="str">
        <f aca="false">IF($B284="","",IF(AND($I284&lt;&gt;"",$I284&lt;=DateRef),"Sorti",IF($H284="","À compléter",IF(AND($Q284&lt;&gt;"",$Q284&gt;=DateRef,$Q284&lt;=$P284),"Planifié",IF($R284&lt;0,"En retard",IF($R284&lt;=SeuilAlerteEPP,"À planifier","À jour"))))))</f>
        <v/>
      </c>
      <c r="T284" s="46" t="str">
        <f aca="false">IF(OR($B284="",$S284="Sorti"),"",MID(IF($H284=""," | Date d'embauche manquante","")&amp;IF(AND($K284="Plus d'un an",$N284="")," | Précédent entretien à renseigner (ancienneté &gt; 1 an)","")&amp;IF($O284="Retard antérieur à la réforme"," | Ancien délai de 2 ans expiré avant la réforme","")&amp;IF(AND($N284&lt;&gt;"",$H284&lt;&gt;"",$N284&lt;$H284)," | Entretien antérieur à l'embauche ?","")&amp;IF(AND($N284&lt;&gt;"",$N284&gt;DateRef)," | Entretien daté dans le futur ?","")&amp;IF(AND($Q284&lt;&gt;"",$P284&lt;&gt;"",$Q284&gt;$P284)," | Date prévue après l'échéance","")&amp;IF(AND($Q284&lt;&gt;"",$Q284&lt;DateRef,OR($N284="",$N284&lt;$Q284))," | Entretien prévu passé : le consigner au Journal","")&amp;IF(AND($G284&lt;&gt;"",$X284="",YEAR(DateRef)-YEAR($G284)&gt;=AgeMiCarriere-1,YEAR(DateRef)-YEAR($G284)&lt;=AgeMiCarriere+1)," | Visite de mi-carrière à vérifier",""),4,1000))</f>
        <v/>
      </c>
      <c r="U284" s="39"/>
      <c r="V284" s="40"/>
      <c r="W284" s="42" t="str">
        <f aca="false">IF(OR($B284="",$V284=""),"",IF(AND($I284&lt;&gt;"",$I284&lt;=DateRef),"",IF(AND($N284&lt;&gt;"",$N284&gt;=$V284),"Réalisé",IF(AND($N284&lt;&gt;"",$N284&gt;=EDATE($V284,-FenetreRetour)),"Dispensé (EPP récent)",IF($V284&gt;DateRef,"À prévoir à la reprise","À proposer (reprise passée)")))))</f>
        <v/>
      </c>
      <c r="X284" s="40"/>
      <c r="Y284" s="43" t="str">
        <f aca="false">IF(OR($B284="",$X284=""),"",EDATE($X284,DelaiMiCarriere))</f>
        <v/>
      </c>
      <c r="Z284" s="42" t="str">
        <f aca="false">IF(OR($B284="",$X284=""),"",IF(AND($I284&lt;&gt;"",$I284&lt;=DateRef),"",IF(AND($N284&lt;&gt;"",$N284&gt;=$X284),"Réalisé",IF($Y284&lt;DateRef,"En retard","À planifier"))))</f>
        <v/>
      </c>
      <c r="AA284" s="47" t="str">
        <f aca="false">IF(OR($B284="",$G284=""),"",IF($G284&gt;DateRef,"",DATEDIF($G284,DateRef,"y")))</f>
        <v/>
      </c>
      <c r="AB284" s="43" t="str">
        <f aca="false">IF(OR($B284="",$G284=""),"",EDATE($G284,AgeFinCarriere*12))</f>
        <v/>
      </c>
      <c r="AC284" s="42" t="str">
        <f aca="false">IF(OR($B284="",$G284="",$H284=""),"",IF(AND($I284&lt;&gt;"",$I284&lt;=DateRef),"",IF($AB284&lt;DateVigueur,"Non concerné",IF(AND($N284&lt;&gt;"",$N284&gt;=MAX(EDATE($AB284,-FenetreFinCarriere*12),DateVigueur),$N284&lt;=$AB284),"Réalisé",IF(DateRef&gt;$AB284,"Non réalisé",IF(AND($Q284&lt;&gt;"",$Q284&gt;=EDATE($AB284,-FenetreFinCarriere*12),$Q284&lt;=$AB284),"Planifié dans la fenêtre",IF(AND(MAX($P284,DateRef)&gt;=EDATE($AB284,-FenetreFinCarriere*12),MAX($P284,DateRef)&lt;=$AB284),"Prochain EPP dans la fenêtre",IF(MAX($P284,DateRef)&gt;$AB284,"À programmer avant 60 ans",""))))))))</f>
        <v/>
      </c>
      <c r="AD284" s="40"/>
      <c r="AE284" s="43" t="str">
        <f aca="false">IF(OR($B284="",$H284="",AND($I284&lt;&gt;"",$I284&lt;=DateRef)),"",MAX($H284,$AD284,IF($A284="",0,SUMPRODUCT(MAX((Journal!$A$6:$A$1005=$A284)*((Journal!$D$6:$D$1005=TypeEDL)+(Journal!$D$6:$D$1005=TypeBilan6))*Journal!$C$6:$C$1005)))))</f>
        <v/>
      </c>
      <c r="AF284" s="43" t="str">
        <f aca="false">IF($AE284="","",IF(AND(ReglesTransitoires="Oui",EDATE($AE284,AnciennePeriodiciteEDL*12)&lt;DateVigueur),EDATE($AE284,AnciennePeriodiciteEDL*12),EDATE($AE284,PeriodiciteEDL*12)))</f>
        <v/>
      </c>
      <c r="AG284" s="42" t="str">
        <f aca="false">IF($AF284="","",IF(AND($I284&lt;&gt;"",$I284&lt;=DateRef),"",IF($AF284&lt;DateRef,"En retard",IF($AF284-DateRef&lt;=SeuilAlerteEDL,"À prévoir","À jour"))))</f>
        <v/>
      </c>
      <c r="AH284" s="39"/>
      <c r="AI284" s="39"/>
      <c r="AJ284" s="42" t="str">
        <f aca="false">IF(OR($B284="",$H284=""),"",IF(AND($I284&lt;&gt;"",$I284&lt;=DateRef),"",IF(Effectif&lt;SeuilEffectif,"Non concerné (&lt; "&amp;SeuilEffectif&amp;" salariés)",IF($AH284="Oui","Pas de risque",IF(AND(OR($AI284="Non",$S284="En retard"),$AH284="Non"),"Risque abondement",IF(OR($AI284="Non",$S284="En retard"),"À vérifier (formation ?)",IF($AI284="Oui","Pas de risque","À compléter")))))))</f>
        <v/>
      </c>
      <c r="AK284" s="39"/>
    </row>
    <row r="285" customFormat="false" ht="15" hidden="false" customHeight="false" outlineLevel="0" collapsed="false">
      <c r="A285" s="39"/>
      <c r="B285" s="39"/>
      <c r="C285" s="39"/>
      <c r="D285" s="39"/>
      <c r="E285" s="39"/>
      <c r="F285" s="39"/>
      <c r="G285" s="40"/>
      <c r="H285" s="40"/>
      <c r="I285" s="40"/>
      <c r="J285" s="41" t="str">
        <f aca="false">IF(OR($B285="",$H285=""),"",IF($H285&gt;DateRef,0,YEARFRAC($H285,DateRef,1)))</f>
        <v/>
      </c>
      <c r="K285" s="42" t="str">
        <f aca="false">IF(OR($B285="",$H285=""),"",IF(EDATE($H285,12)&lt;=DateRef,"Plus d'un an","Moins d'un an"))</f>
        <v/>
      </c>
      <c r="L285" s="40"/>
      <c r="M285" s="43" t="str">
        <f aca="false">IF(OR($B285="",$A285=""),"",IF(SUMPRODUCT(MAX((Journal!$A$6:$A$1005=$A285)*Journal!$C$6:$C$1005))=0,"",SUMPRODUCT(MAX((Journal!$A$6:$A$1005=$A285)*Journal!$C$6:$C$1005))))</f>
        <v/>
      </c>
      <c r="N285" s="43" t="str">
        <f aca="false">IF($B285="","",IF(MAX($L285,$M285)=0,"",MAX($L285,$M285)))</f>
        <v/>
      </c>
      <c r="O285" s="44" t="str">
        <f aca="false">IF(OR($B285="",$H285=""),"",IF($N285="",IF(EDATE($H285,DelaiPremierEPP)&gt;DateRef,"1er EPP (1re année)","Aucun entretien renseigné"),IF(AND(ReglesTransitoires="Oui",EDATE($N285,AnciennePeriodiciteEP*12)&lt;DateVigueur),"Retard antérieur à la réforme","Périodicité "&amp;PeriodiciteEPP&amp;" ans")))</f>
        <v/>
      </c>
      <c r="P285" s="43" t="str">
        <f aca="false">IF(OR($B285="",$H285=""),"",IF($N285="",EDATE($H285,DelaiPremierEPP),IF(AND(ReglesTransitoires="Oui",EDATE($N285,AnciennePeriodiciteEP*12)&lt;DateVigueur),EDATE($N285,AnciennePeriodiciteEP*12),EDATE($N285,PeriodiciteEPP*12))))</f>
        <v/>
      </c>
      <c r="Q285" s="40"/>
      <c r="R285" s="45" t="str">
        <f aca="false">IF(OR($P285="",AND($I285&lt;&gt;"",$I285&lt;=DateRef)),"",$P285-DateRef)</f>
        <v/>
      </c>
      <c r="S285" s="42" t="str">
        <f aca="false">IF($B285="","",IF(AND($I285&lt;&gt;"",$I285&lt;=DateRef),"Sorti",IF($H285="","À compléter",IF(AND($Q285&lt;&gt;"",$Q285&gt;=DateRef,$Q285&lt;=$P285),"Planifié",IF($R285&lt;0,"En retard",IF($R285&lt;=SeuilAlerteEPP,"À planifier","À jour"))))))</f>
        <v/>
      </c>
      <c r="T285" s="46" t="str">
        <f aca="false">IF(OR($B285="",$S285="Sorti"),"",MID(IF($H285=""," | Date d'embauche manquante","")&amp;IF(AND($K285="Plus d'un an",$N285="")," | Précédent entretien à renseigner (ancienneté &gt; 1 an)","")&amp;IF($O285="Retard antérieur à la réforme"," | Ancien délai de 2 ans expiré avant la réforme","")&amp;IF(AND($N285&lt;&gt;"",$H285&lt;&gt;"",$N285&lt;$H285)," | Entretien antérieur à l'embauche ?","")&amp;IF(AND($N285&lt;&gt;"",$N285&gt;DateRef)," | Entretien daté dans le futur ?","")&amp;IF(AND($Q285&lt;&gt;"",$P285&lt;&gt;"",$Q285&gt;$P285)," | Date prévue après l'échéance","")&amp;IF(AND($Q285&lt;&gt;"",$Q285&lt;DateRef,OR($N285="",$N285&lt;$Q285))," | Entretien prévu passé : le consigner au Journal","")&amp;IF(AND($G285&lt;&gt;"",$X285="",YEAR(DateRef)-YEAR($G285)&gt;=AgeMiCarriere-1,YEAR(DateRef)-YEAR($G285)&lt;=AgeMiCarriere+1)," | Visite de mi-carrière à vérifier",""),4,1000))</f>
        <v/>
      </c>
      <c r="U285" s="39"/>
      <c r="V285" s="40"/>
      <c r="W285" s="42" t="str">
        <f aca="false">IF(OR($B285="",$V285=""),"",IF(AND($I285&lt;&gt;"",$I285&lt;=DateRef),"",IF(AND($N285&lt;&gt;"",$N285&gt;=$V285),"Réalisé",IF(AND($N285&lt;&gt;"",$N285&gt;=EDATE($V285,-FenetreRetour)),"Dispensé (EPP récent)",IF($V285&gt;DateRef,"À prévoir à la reprise","À proposer (reprise passée)")))))</f>
        <v/>
      </c>
      <c r="X285" s="40"/>
      <c r="Y285" s="43" t="str">
        <f aca="false">IF(OR($B285="",$X285=""),"",EDATE($X285,DelaiMiCarriere))</f>
        <v/>
      </c>
      <c r="Z285" s="42" t="str">
        <f aca="false">IF(OR($B285="",$X285=""),"",IF(AND($I285&lt;&gt;"",$I285&lt;=DateRef),"",IF(AND($N285&lt;&gt;"",$N285&gt;=$X285),"Réalisé",IF($Y285&lt;DateRef,"En retard","À planifier"))))</f>
        <v/>
      </c>
      <c r="AA285" s="47" t="str">
        <f aca="false">IF(OR($B285="",$G285=""),"",IF($G285&gt;DateRef,"",DATEDIF($G285,DateRef,"y")))</f>
        <v/>
      </c>
      <c r="AB285" s="43" t="str">
        <f aca="false">IF(OR($B285="",$G285=""),"",EDATE($G285,AgeFinCarriere*12))</f>
        <v/>
      </c>
      <c r="AC285" s="42" t="str">
        <f aca="false">IF(OR($B285="",$G285="",$H285=""),"",IF(AND($I285&lt;&gt;"",$I285&lt;=DateRef),"",IF($AB285&lt;DateVigueur,"Non concerné",IF(AND($N285&lt;&gt;"",$N285&gt;=MAX(EDATE($AB285,-FenetreFinCarriere*12),DateVigueur),$N285&lt;=$AB285),"Réalisé",IF(DateRef&gt;$AB285,"Non réalisé",IF(AND($Q285&lt;&gt;"",$Q285&gt;=EDATE($AB285,-FenetreFinCarriere*12),$Q285&lt;=$AB285),"Planifié dans la fenêtre",IF(AND(MAX($P285,DateRef)&gt;=EDATE($AB285,-FenetreFinCarriere*12),MAX($P285,DateRef)&lt;=$AB285),"Prochain EPP dans la fenêtre",IF(MAX($P285,DateRef)&gt;$AB285,"À programmer avant 60 ans",""))))))))</f>
        <v/>
      </c>
      <c r="AD285" s="40"/>
      <c r="AE285" s="43" t="str">
        <f aca="false">IF(OR($B285="",$H285="",AND($I285&lt;&gt;"",$I285&lt;=DateRef)),"",MAX($H285,$AD285,IF($A285="",0,SUMPRODUCT(MAX((Journal!$A$6:$A$1005=$A285)*((Journal!$D$6:$D$1005=TypeEDL)+(Journal!$D$6:$D$1005=TypeBilan6))*Journal!$C$6:$C$1005)))))</f>
        <v/>
      </c>
      <c r="AF285" s="43" t="str">
        <f aca="false">IF($AE285="","",IF(AND(ReglesTransitoires="Oui",EDATE($AE285,AnciennePeriodiciteEDL*12)&lt;DateVigueur),EDATE($AE285,AnciennePeriodiciteEDL*12),EDATE($AE285,PeriodiciteEDL*12)))</f>
        <v/>
      </c>
      <c r="AG285" s="42" t="str">
        <f aca="false">IF($AF285="","",IF(AND($I285&lt;&gt;"",$I285&lt;=DateRef),"",IF($AF285&lt;DateRef,"En retard",IF($AF285-DateRef&lt;=SeuilAlerteEDL,"À prévoir","À jour"))))</f>
        <v/>
      </c>
      <c r="AH285" s="39"/>
      <c r="AI285" s="39"/>
      <c r="AJ285" s="42" t="str">
        <f aca="false">IF(OR($B285="",$H285=""),"",IF(AND($I285&lt;&gt;"",$I285&lt;=DateRef),"",IF(Effectif&lt;SeuilEffectif,"Non concerné (&lt; "&amp;SeuilEffectif&amp;" salariés)",IF($AH285="Oui","Pas de risque",IF(AND(OR($AI285="Non",$S285="En retard"),$AH285="Non"),"Risque abondement",IF(OR($AI285="Non",$S285="En retard"),"À vérifier (formation ?)",IF($AI285="Oui","Pas de risque","À compléter")))))))</f>
        <v/>
      </c>
      <c r="AK285" s="39"/>
    </row>
    <row r="286" customFormat="false" ht="15" hidden="false" customHeight="false" outlineLevel="0" collapsed="false">
      <c r="A286" s="39"/>
      <c r="B286" s="39"/>
      <c r="C286" s="39"/>
      <c r="D286" s="39"/>
      <c r="E286" s="39"/>
      <c r="F286" s="39"/>
      <c r="G286" s="40"/>
      <c r="H286" s="40"/>
      <c r="I286" s="40"/>
      <c r="J286" s="41" t="str">
        <f aca="false">IF(OR($B286="",$H286=""),"",IF($H286&gt;DateRef,0,YEARFRAC($H286,DateRef,1)))</f>
        <v/>
      </c>
      <c r="K286" s="42" t="str">
        <f aca="false">IF(OR($B286="",$H286=""),"",IF(EDATE($H286,12)&lt;=DateRef,"Plus d'un an","Moins d'un an"))</f>
        <v/>
      </c>
      <c r="L286" s="40"/>
      <c r="M286" s="43" t="str">
        <f aca="false">IF(OR($B286="",$A286=""),"",IF(SUMPRODUCT(MAX((Journal!$A$6:$A$1005=$A286)*Journal!$C$6:$C$1005))=0,"",SUMPRODUCT(MAX((Journal!$A$6:$A$1005=$A286)*Journal!$C$6:$C$1005))))</f>
        <v/>
      </c>
      <c r="N286" s="43" t="str">
        <f aca="false">IF($B286="","",IF(MAX($L286,$M286)=0,"",MAX($L286,$M286)))</f>
        <v/>
      </c>
      <c r="O286" s="44" t="str">
        <f aca="false">IF(OR($B286="",$H286=""),"",IF($N286="",IF(EDATE($H286,DelaiPremierEPP)&gt;DateRef,"1er EPP (1re année)","Aucun entretien renseigné"),IF(AND(ReglesTransitoires="Oui",EDATE($N286,AnciennePeriodiciteEP*12)&lt;DateVigueur),"Retard antérieur à la réforme","Périodicité "&amp;PeriodiciteEPP&amp;" ans")))</f>
        <v/>
      </c>
      <c r="P286" s="43" t="str">
        <f aca="false">IF(OR($B286="",$H286=""),"",IF($N286="",EDATE($H286,DelaiPremierEPP),IF(AND(ReglesTransitoires="Oui",EDATE($N286,AnciennePeriodiciteEP*12)&lt;DateVigueur),EDATE($N286,AnciennePeriodiciteEP*12),EDATE($N286,PeriodiciteEPP*12))))</f>
        <v/>
      </c>
      <c r="Q286" s="40"/>
      <c r="R286" s="45" t="str">
        <f aca="false">IF(OR($P286="",AND($I286&lt;&gt;"",$I286&lt;=DateRef)),"",$P286-DateRef)</f>
        <v/>
      </c>
      <c r="S286" s="42" t="str">
        <f aca="false">IF($B286="","",IF(AND($I286&lt;&gt;"",$I286&lt;=DateRef),"Sorti",IF($H286="","À compléter",IF(AND($Q286&lt;&gt;"",$Q286&gt;=DateRef,$Q286&lt;=$P286),"Planifié",IF($R286&lt;0,"En retard",IF($R286&lt;=SeuilAlerteEPP,"À planifier","À jour"))))))</f>
        <v/>
      </c>
      <c r="T286" s="46" t="str">
        <f aca="false">IF(OR($B286="",$S286="Sorti"),"",MID(IF($H286=""," | Date d'embauche manquante","")&amp;IF(AND($K286="Plus d'un an",$N286="")," | Précédent entretien à renseigner (ancienneté &gt; 1 an)","")&amp;IF($O286="Retard antérieur à la réforme"," | Ancien délai de 2 ans expiré avant la réforme","")&amp;IF(AND($N286&lt;&gt;"",$H286&lt;&gt;"",$N286&lt;$H286)," | Entretien antérieur à l'embauche ?","")&amp;IF(AND($N286&lt;&gt;"",$N286&gt;DateRef)," | Entretien daté dans le futur ?","")&amp;IF(AND($Q286&lt;&gt;"",$P286&lt;&gt;"",$Q286&gt;$P286)," | Date prévue après l'échéance","")&amp;IF(AND($Q286&lt;&gt;"",$Q286&lt;DateRef,OR($N286="",$N286&lt;$Q286))," | Entretien prévu passé : le consigner au Journal","")&amp;IF(AND($G286&lt;&gt;"",$X286="",YEAR(DateRef)-YEAR($G286)&gt;=AgeMiCarriere-1,YEAR(DateRef)-YEAR($G286)&lt;=AgeMiCarriere+1)," | Visite de mi-carrière à vérifier",""),4,1000))</f>
        <v/>
      </c>
      <c r="U286" s="39"/>
      <c r="V286" s="40"/>
      <c r="W286" s="42" t="str">
        <f aca="false">IF(OR($B286="",$V286=""),"",IF(AND($I286&lt;&gt;"",$I286&lt;=DateRef),"",IF(AND($N286&lt;&gt;"",$N286&gt;=$V286),"Réalisé",IF(AND($N286&lt;&gt;"",$N286&gt;=EDATE($V286,-FenetreRetour)),"Dispensé (EPP récent)",IF($V286&gt;DateRef,"À prévoir à la reprise","À proposer (reprise passée)")))))</f>
        <v/>
      </c>
      <c r="X286" s="40"/>
      <c r="Y286" s="43" t="str">
        <f aca="false">IF(OR($B286="",$X286=""),"",EDATE($X286,DelaiMiCarriere))</f>
        <v/>
      </c>
      <c r="Z286" s="42" t="str">
        <f aca="false">IF(OR($B286="",$X286=""),"",IF(AND($I286&lt;&gt;"",$I286&lt;=DateRef),"",IF(AND($N286&lt;&gt;"",$N286&gt;=$X286),"Réalisé",IF($Y286&lt;DateRef,"En retard","À planifier"))))</f>
        <v/>
      </c>
      <c r="AA286" s="47" t="str">
        <f aca="false">IF(OR($B286="",$G286=""),"",IF($G286&gt;DateRef,"",DATEDIF($G286,DateRef,"y")))</f>
        <v/>
      </c>
      <c r="AB286" s="43" t="str">
        <f aca="false">IF(OR($B286="",$G286=""),"",EDATE($G286,AgeFinCarriere*12))</f>
        <v/>
      </c>
      <c r="AC286" s="42" t="str">
        <f aca="false">IF(OR($B286="",$G286="",$H286=""),"",IF(AND($I286&lt;&gt;"",$I286&lt;=DateRef),"",IF($AB286&lt;DateVigueur,"Non concerné",IF(AND($N286&lt;&gt;"",$N286&gt;=MAX(EDATE($AB286,-FenetreFinCarriere*12),DateVigueur),$N286&lt;=$AB286),"Réalisé",IF(DateRef&gt;$AB286,"Non réalisé",IF(AND($Q286&lt;&gt;"",$Q286&gt;=EDATE($AB286,-FenetreFinCarriere*12),$Q286&lt;=$AB286),"Planifié dans la fenêtre",IF(AND(MAX($P286,DateRef)&gt;=EDATE($AB286,-FenetreFinCarriere*12),MAX($P286,DateRef)&lt;=$AB286),"Prochain EPP dans la fenêtre",IF(MAX($P286,DateRef)&gt;$AB286,"À programmer avant 60 ans",""))))))))</f>
        <v/>
      </c>
      <c r="AD286" s="40"/>
      <c r="AE286" s="43" t="str">
        <f aca="false">IF(OR($B286="",$H286="",AND($I286&lt;&gt;"",$I286&lt;=DateRef)),"",MAX($H286,$AD286,IF($A286="",0,SUMPRODUCT(MAX((Journal!$A$6:$A$1005=$A286)*((Journal!$D$6:$D$1005=TypeEDL)+(Journal!$D$6:$D$1005=TypeBilan6))*Journal!$C$6:$C$1005)))))</f>
        <v/>
      </c>
      <c r="AF286" s="43" t="str">
        <f aca="false">IF($AE286="","",IF(AND(ReglesTransitoires="Oui",EDATE($AE286,AnciennePeriodiciteEDL*12)&lt;DateVigueur),EDATE($AE286,AnciennePeriodiciteEDL*12),EDATE($AE286,PeriodiciteEDL*12)))</f>
        <v/>
      </c>
      <c r="AG286" s="42" t="str">
        <f aca="false">IF($AF286="","",IF(AND($I286&lt;&gt;"",$I286&lt;=DateRef),"",IF($AF286&lt;DateRef,"En retard",IF($AF286-DateRef&lt;=SeuilAlerteEDL,"À prévoir","À jour"))))</f>
        <v/>
      </c>
      <c r="AH286" s="39"/>
      <c r="AI286" s="39"/>
      <c r="AJ286" s="42" t="str">
        <f aca="false">IF(OR($B286="",$H286=""),"",IF(AND($I286&lt;&gt;"",$I286&lt;=DateRef),"",IF(Effectif&lt;SeuilEffectif,"Non concerné (&lt; "&amp;SeuilEffectif&amp;" salariés)",IF($AH286="Oui","Pas de risque",IF(AND(OR($AI286="Non",$S286="En retard"),$AH286="Non"),"Risque abondement",IF(OR($AI286="Non",$S286="En retard"),"À vérifier (formation ?)",IF($AI286="Oui","Pas de risque","À compléter")))))))</f>
        <v/>
      </c>
      <c r="AK286" s="39"/>
    </row>
    <row r="287" customFormat="false" ht="15" hidden="false" customHeight="false" outlineLevel="0" collapsed="false">
      <c r="A287" s="39"/>
      <c r="B287" s="39"/>
      <c r="C287" s="39"/>
      <c r="D287" s="39"/>
      <c r="E287" s="39"/>
      <c r="F287" s="39"/>
      <c r="G287" s="40"/>
      <c r="H287" s="40"/>
      <c r="I287" s="40"/>
      <c r="J287" s="41" t="str">
        <f aca="false">IF(OR($B287="",$H287=""),"",IF($H287&gt;DateRef,0,YEARFRAC($H287,DateRef,1)))</f>
        <v/>
      </c>
      <c r="K287" s="42" t="str">
        <f aca="false">IF(OR($B287="",$H287=""),"",IF(EDATE($H287,12)&lt;=DateRef,"Plus d'un an","Moins d'un an"))</f>
        <v/>
      </c>
      <c r="L287" s="40"/>
      <c r="M287" s="43" t="str">
        <f aca="false">IF(OR($B287="",$A287=""),"",IF(SUMPRODUCT(MAX((Journal!$A$6:$A$1005=$A287)*Journal!$C$6:$C$1005))=0,"",SUMPRODUCT(MAX((Journal!$A$6:$A$1005=$A287)*Journal!$C$6:$C$1005))))</f>
        <v/>
      </c>
      <c r="N287" s="43" t="str">
        <f aca="false">IF($B287="","",IF(MAX($L287,$M287)=0,"",MAX($L287,$M287)))</f>
        <v/>
      </c>
      <c r="O287" s="44" t="str">
        <f aca="false">IF(OR($B287="",$H287=""),"",IF($N287="",IF(EDATE($H287,DelaiPremierEPP)&gt;DateRef,"1er EPP (1re année)","Aucun entretien renseigné"),IF(AND(ReglesTransitoires="Oui",EDATE($N287,AnciennePeriodiciteEP*12)&lt;DateVigueur),"Retard antérieur à la réforme","Périodicité "&amp;PeriodiciteEPP&amp;" ans")))</f>
        <v/>
      </c>
      <c r="P287" s="43" t="str">
        <f aca="false">IF(OR($B287="",$H287=""),"",IF($N287="",EDATE($H287,DelaiPremierEPP),IF(AND(ReglesTransitoires="Oui",EDATE($N287,AnciennePeriodiciteEP*12)&lt;DateVigueur),EDATE($N287,AnciennePeriodiciteEP*12),EDATE($N287,PeriodiciteEPP*12))))</f>
        <v/>
      </c>
      <c r="Q287" s="40"/>
      <c r="R287" s="45" t="str">
        <f aca="false">IF(OR($P287="",AND($I287&lt;&gt;"",$I287&lt;=DateRef)),"",$P287-DateRef)</f>
        <v/>
      </c>
      <c r="S287" s="42" t="str">
        <f aca="false">IF($B287="","",IF(AND($I287&lt;&gt;"",$I287&lt;=DateRef),"Sorti",IF($H287="","À compléter",IF(AND($Q287&lt;&gt;"",$Q287&gt;=DateRef,$Q287&lt;=$P287),"Planifié",IF($R287&lt;0,"En retard",IF($R287&lt;=SeuilAlerteEPP,"À planifier","À jour"))))))</f>
        <v/>
      </c>
      <c r="T287" s="46" t="str">
        <f aca="false">IF(OR($B287="",$S287="Sorti"),"",MID(IF($H287=""," | Date d'embauche manquante","")&amp;IF(AND($K287="Plus d'un an",$N287="")," | Précédent entretien à renseigner (ancienneté &gt; 1 an)","")&amp;IF($O287="Retard antérieur à la réforme"," | Ancien délai de 2 ans expiré avant la réforme","")&amp;IF(AND($N287&lt;&gt;"",$H287&lt;&gt;"",$N287&lt;$H287)," | Entretien antérieur à l'embauche ?","")&amp;IF(AND($N287&lt;&gt;"",$N287&gt;DateRef)," | Entretien daté dans le futur ?","")&amp;IF(AND($Q287&lt;&gt;"",$P287&lt;&gt;"",$Q287&gt;$P287)," | Date prévue après l'échéance","")&amp;IF(AND($Q287&lt;&gt;"",$Q287&lt;DateRef,OR($N287="",$N287&lt;$Q287))," | Entretien prévu passé : le consigner au Journal","")&amp;IF(AND($G287&lt;&gt;"",$X287="",YEAR(DateRef)-YEAR($G287)&gt;=AgeMiCarriere-1,YEAR(DateRef)-YEAR($G287)&lt;=AgeMiCarriere+1)," | Visite de mi-carrière à vérifier",""),4,1000))</f>
        <v/>
      </c>
      <c r="U287" s="39"/>
      <c r="V287" s="40"/>
      <c r="W287" s="42" t="str">
        <f aca="false">IF(OR($B287="",$V287=""),"",IF(AND($I287&lt;&gt;"",$I287&lt;=DateRef),"",IF(AND($N287&lt;&gt;"",$N287&gt;=$V287),"Réalisé",IF(AND($N287&lt;&gt;"",$N287&gt;=EDATE($V287,-FenetreRetour)),"Dispensé (EPP récent)",IF($V287&gt;DateRef,"À prévoir à la reprise","À proposer (reprise passée)")))))</f>
        <v/>
      </c>
      <c r="X287" s="40"/>
      <c r="Y287" s="43" t="str">
        <f aca="false">IF(OR($B287="",$X287=""),"",EDATE($X287,DelaiMiCarriere))</f>
        <v/>
      </c>
      <c r="Z287" s="42" t="str">
        <f aca="false">IF(OR($B287="",$X287=""),"",IF(AND($I287&lt;&gt;"",$I287&lt;=DateRef),"",IF(AND($N287&lt;&gt;"",$N287&gt;=$X287),"Réalisé",IF($Y287&lt;DateRef,"En retard","À planifier"))))</f>
        <v/>
      </c>
      <c r="AA287" s="47" t="str">
        <f aca="false">IF(OR($B287="",$G287=""),"",IF($G287&gt;DateRef,"",DATEDIF($G287,DateRef,"y")))</f>
        <v/>
      </c>
      <c r="AB287" s="43" t="str">
        <f aca="false">IF(OR($B287="",$G287=""),"",EDATE($G287,AgeFinCarriere*12))</f>
        <v/>
      </c>
      <c r="AC287" s="42" t="str">
        <f aca="false">IF(OR($B287="",$G287="",$H287=""),"",IF(AND($I287&lt;&gt;"",$I287&lt;=DateRef),"",IF($AB287&lt;DateVigueur,"Non concerné",IF(AND($N287&lt;&gt;"",$N287&gt;=MAX(EDATE($AB287,-FenetreFinCarriere*12),DateVigueur),$N287&lt;=$AB287),"Réalisé",IF(DateRef&gt;$AB287,"Non réalisé",IF(AND($Q287&lt;&gt;"",$Q287&gt;=EDATE($AB287,-FenetreFinCarriere*12),$Q287&lt;=$AB287),"Planifié dans la fenêtre",IF(AND(MAX($P287,DateRef)&gt;=EDATE($AB287,-FenetreFinCarriere*12),MAX($P287,DateRef)&lt;=$AB287),"Prochain EPP dans la fenêtre",IF(MAX($P287,DateRef)&gt;$AB287,"À programmer avant 60 ans",""))))))))</f>
        <v/>
      </c>
      <c r="AD287" s="40"/>
      <c r="AE287" s="43" t="str">
        <f aca="false">IF(OR($B287="",$H287="",AND($I287&lt;&gt;"",$I287&lt;=DateRef)),"",MAX($H287,$AD287,IF($A287="",0,SUMPRODUCT(MAX((Journal!$A$6:$A$1005=$A287)*((Journal!$D$6:$D$1005=TypeEDL)+(Journal!$D$6:$D$1005=TypeBilan6))*Journal!$C$6:$C$1005)))))</f>
        <v/>
      </c>
      <c r="AF287" s="43" t="str">
        <f aca="false">IF($AE287="","",IF(AND(ReglesTransitoires="Oui",EDATE($AE287,AnciennePeriodiciteEDL*12)&lt;DateVigueur),EDATE($AE287,AnciennePeriodiciteEDL*12),EDATE($AE287,PeriodiciteEDL*12)))</f>
        <v/>
      </c>
      <c r="AG287" s="42" t="str">
        <f aca="false">IF($AF287="","",IF(AND($I287&lt;&gt;"",$I287&lt;=DateRef),"",IF($AF287&lt;DateRef,"En retard",IF($AF287-DateRef&lt;=SeuilAlerteEDL,"À prévoir","À jour"))))</f>
        <v/>
      </c>
      <c r="AH287" s="39"/>
      <c r="AI287" s="39"/>
      <c r="AJ287" s="42" t="str">
        <f aca="false">IF(OR($B287="",$H287=""),"",IF(AND($I287&lt;&gt;"",$I287&lt;=DateRef),"",IF(Effectif&lt;SeuilEffectif,"Non concerné (&lt; "&amp;SeuilEffectif&amp;" salariés)",IF($AH287="Oui","Pas de risque",IF(AND(OR($AI287="Non",$S287="En retard"),$AH287="Non"),"Risque abondement",IF(OR($AI287="Non",$S287="En retard"),"À vérifier (formation ?)",IF($AI287="Oui","Pas de risque","À compléter")))))))</f>
        <v/>
      </c>
      <c r="AK287" s="39"/>
    </row>
    <row r="288" customFormat="false" ht="15" hidden="false" customHeight="false" outlineLevel="0" collapsed="false">
      <c r="A288" s="39"/>
      <c r="B288" s="39"/>
      <c r="C288" s="39"/>
      <c r="D288" s="39"/>
      <c r="E288" s="39"/>
      <c r="F288" s="39"/>
      <c r="G288" s="40"/>
      <c r="H288" s="40"/>
      <c r="I288" s="40"/>
      <c r="J288" s="41" t="str">
        <f aca="false">IF(OR($B288="",$H288=""),"",IF($H288&gt;DateRef,0,YEARFRAC($H288,DateRef,1)))</f>
        <v/>
      </c>
      <c r="K288" s="42" t="str">
        <f aca="false">IF(OR($B288="",$H288=""),"",IF(EDATE($H288,12)&lt;=DateRef,"Plus d'un an","Moins d'un an"))</f>
        <v/>
      </c>
      <c r="L288" s="40"/>
      <c r="M288" s="43" t="str">
        <f aca="false">IF(OR($B288="",$A288=""),"",IF(SUMPRODUCT(MAX((Journal!$A$6:$A$1005=$A288)*Journal!$C$6:$C$1005))=0,"",SUMPRODUCT(MAX((Journal!$A$6:$A$1005=$A288)*Journal!$C$6:$C$1005))))</f>
        <v/>
      </c>
      <c r="N288" s="43" t="str">
        <f aca="false">IF($B288="","",IF(MAX($L288,$M288)=0,"",MAX($L288,$M288)))</f>
        <v/>
      </c>
      <c r="O288" s="44" t="str">
        <f aca="false">IF(OR($B288="",$H288=""),"",IF($N288="",IF(EDATE($H288,DelaiPremierEPP)&gt;DateRef,"1er EPP (1re année)","Aucun entretien renseigné"),IF(AND(ReglesTransitoires="Oui",EDATE($N288,AnciennePeriodiciteEP*12)&lt;DateVigueur),"Retard antérieur à la réforme","Périodicité "&amp;PeriodiciteEPP&amp;" ans")))</f>
        <v/>
      </c>
      <c r="P288" s="43" t="str">
        <f aca="false">IF(OR($B288="",$H288=""),"",IF($N288="",EDATE($H288,DelaiPremierEPP),IF(AND(ReglesTransitoires="Oui",EDATE($N288,AnciennePeriodiciteEP*12)&lt;DateVigueur),EDATE($N288,AnciennePeriodiciteEP*12),EDATE($N288,PeriodiciteEPP*12))))</f>
        <v/>
      </c>
      <c r="Q288" s="40"/>
      <c r="R288" s="45" t="str">
        <f aca="false">IF(OR($P288="",AND($I288&lt;&gt;"",$I288&lt;=DateRef)),"",$P288-DateRef)</f>
        <v/>
      </c>
      <c r="S288" s="42" t="str">
        <f aca="false">IF($B288="","",IF(AND($I288&lt;&gt;"",$I288&lt;=DateRef),"Sorti",IF($H288="","À compléter",IF(AND($Q288&lt;&gt;"",$Q288&gt;=DateRef,$Q288&lt;=$P288),"Planifié",IF($R288&lt;0,"En retard",IF($R288&lt;=SeuilAlerteEPP,"À planifier","À jour"))))))</f>
        <v/>
      </c>
      <c r="T288" s="46" t="str">
        <f aca="false">IF(OR($B288="",$S288="Sorti"),"",MID(IF($H288=""," | Date d'embauche manquante","")&amp;IF(AND($K288="Plus d'un an",$N288="")," | Précédent entretien à renseigner (ancienneté &gt; 1 an)","")&amp;IF($O288="Retard antérieur à la réforme"," | Ancien délai de 2 ans expiré avant la réforme","")&amp;IF(AND($N288&lt;&gt;"",$H288&lt;&gt;"",$N288&lt;$H288)," | Entretien antérieur à l'embauche ?","")&amp;IF(AND($N288&lt;&gt;"",$N288&gt;DateRef)," | Entretien daté dans le futur ?","")&amp;IF(AND($Q288&lt;&gt;"",$P288&lt;&gt;"",$Q288&gt;$P288)," | Date prévue après l'échéance","")&amp;IF(AND($Q288&lt;&gt;"",$Q288&lt;DateRef,OR($N288="",$N288&lt;$Q288))," | Entretien prévu passé : le consigner au Journal","")&amp;IF(AND($G288&lt;&gt;"",$X288="",YEAR(DateRef)-YEAR($G288)&gt;=AgeMiCarriere-1,YEAR(DateRef)-YEAR($G288)&lt;=AgeMiCarriere+1)," | Visite de mi-carrière à vérifier",""),4,1000))</f>
        <v/>
      </c>
      <c r="U288" s="39"/>
      <c r="V288" s="40"/>
      <c r="W288" s="42" t="str">
        <f aca="false">IF(OR($B288="",$V288=""),"",IF(AND($I288&lt;&gt;"",$I288&lt;=DateRef),"",IF(AND($N288&lt;&gt;"",$N288&gt;=$V288),"Réalisé",IF(AND($N288&lt;&gt;"",$N288&gt;=EDATE($V288,-FenetreRetour)),"Dispensé (EPP récent)",IF($V288&gt;DateRef,"À prévoir à la reprise","À proposer (reprise passée)")))))</f>
        <v/>
      </c>
      <c r="X288" s="40"/>
      <c r="Y288" s="43" t="str">
        <f aca="false">IF(OR($B288="",$X288=""),"",EDATE($X288,DelaiMiCarriere))</f>
        <v/>
      </c>
      <c r="Z288" s="42" t="str">
        <f aca="false">IF(OR($B288="",$X288=""),"",IF(AND($I288&lt;&gt;"",$I288&lt;=DateRef),"",IF(AND($N288&lt;&gt;"",$N288&gt;=$X288),"Réalisé",IF($Y288&lt;DateRef,"En retard","À planifier"))))</f>
        <v/>
      </c>
      <c r="AA288" s="47" t="str">
        <f aca="false">IF(OR($B288="",$G288=""),"",IF($G288&gt;DateRef,"",DATEDIF($G288,DateRef,"y")))</f>
        <v/>
      </c>
      <c r="AB288" s="43" t="str">
        <f aca="false">IF(OR($B288="",$G288=""),"",EDATE($G288,AgeFinCarriere*12))</f>
        <v/>
      </c>
      <c r="AC288" s="42" t="str">
        <f aca="false">IF(OR($B288="",$G288="",$H288=""),"",IF(AND($I288&lt;&gt;"",$I288&lt;=DateRef),"",IF($AB288&lt;DateVigueur,"Non concerné",IF(AND($N288&lt;&gt;"",$N288&gt;=MAX(EDATE($AB288,-FenetreFinCarriere*12),DateVigueur),$N288&lt;=$AB288),"Réalisé",IF(DateRef&gt;$AB288,"Non réalisé",IF(AND($Q288&lt;&gt;"",$Q288&gt;=EDATE($AB288,-FenetreFinCarriere*12),$Q288&lt;=$AB288),"Planifié dans la fenêtre",IF(AND(MAX($P288,DateRef)&gt;=EDATE($AB288,-FenetreFinCarriere*12),MAX($P288,DateRef)&lt;=$AB288),"Prochain EPP dans la fenêtre",IF(MAX($P288,DateRef)&gt;$AB288,"À programmer avant 60 ans",""))))))))</f>
        <v/>
      </c>
      <c r="AD288" s="40"/>
      <c r="AE288" s="43" t="str">
        <f aca="false">IF(OR($B288="",$H288="",AND($I288&lt;&gt;"",$I288&lt;=DateRef)),"",MAX($H288,$AD288,IF($A288="",0,SUMPRODUCT(MAX((Journal!$A$6:$A$1005=$A288)*((Journal!$D$6:$D$1005=TypeEDL)+(Journal!$D$6:$D$1005=TypeBilan6))*Journal!$C$6:$C$1005)))))</f>
        <v/>
      </c>
      <c r="AF288" s="43" t="str">
        <f aca="false">IF($AE288="","",IF(AND(ReglesTransitoires="Oui",EDATE($AE288,AnciennePeriodiciteEDL*12)&lt;DateVigueur),EDATE($AE288,AnciennePeriodiciteEDL*12),EDATE($AE288,PeriodiciteEDL*12)))</f>
        <v/>
      </c>
      <c r="AG288" s="42" t="str">
        <f aca="false">IF($AF288="","",IF(AND($I288&lt;&gt;"",$I288&lt;=DateRef),"",IF($AF288&lt;DateRef,"En retard",IF($AF288-DateRef&lt;=SeuilAlerteEDL,"À prévoir","À jour"))))</f>
        <v/>
      </c>
      <c r="AH288" s="39"/>
      <c r="AI288" s="39"/>
      <c r="AJ288" s="42" t="str">
        <f aca="false">IF(OR($B288="",$H288=""),"",IF(AND($I288&lt;&gt;"",$I288&lt;=DateRef),"",IF(Effectif&lt;SeuilEffectif,"Non concerné (&lt; "&amp;SeuilEffectif&amp;" salariés)",IF($AH288="Oui","Pas de risque",IF(AND(OR($AI288="Non",$S288="En retard"),$AH288="Non"),"Risque abondement",IF(OR($AI288="Non",$S288="En retard"),"À vérifier (formation ?)",IF($AI288="Oui","Pas de risque","À compléter")))))))</f>
        <v/>
      </c>
      <c r="AK288" s="39"/>
    </row>
    <row r="289" customFormat="false" ht="15" hidden="false" customHeight="false" outlineLevel="0" collapsed="false">
      <c r="A289" s="39"/>
      <c r="B289" s="39"/>
      <c r="C289" s="39"/>
      <c r="D289" s="39"/>
      <c r="E289" s="39"/>
      <c r="F289" s="39"/>
      <c r="G289" s="40"/>
      <c r="H289" s="40"/>
      <c r="I289" s="40"/>
      <c r="J289" s="41" t="str">
        <f aca="false">IF(OR($B289="",$H289=""),"",IF($H289&gt;DateRef,0,YEARFRAC($H289,DateRef,1)))</f>
        <v/>
      </c>
      <c r="K289" s="42" t="str">
        <f aca="false">IF(OR($B289="",$H289=""),"",IF(EDATE($H289,12)&lt;=DateRef,"Plus d'un an","Moins d'un an"))</f>
        <v/>
      </c>
      <c r="L289" s="40"/>
      <c r="M289" s="43" t="str">
        <f aca="false">IF(OR($B289="",$A289=""),"",IF(SUMPRODUCT(MAX((Journal!$A$6:$A$1005=$A289)*Journal!$C$6:$C$1005))=0,"",SUMPRODUCT(MAX((Journal!$A$6:$A$1005=$A289)*Journal!$C$6:$C$1005))))</f>
        <v/>
      </c>
      <c r="N289" s="43" t="str">
        <f aca="false">IF($B289="","",IF(MAX($L289,$M289)=0,"",MAX($L289,$M289)))</f>
        <v/>
      </c>
      <c r="O289" s="44" t="str">
        <f aca="false">IF(OR($B289="",$H289=""),"",IF($N289="",IF(EDATE($H289,DelaiPremierEPP)&gt;DateRef,"1er EPP (1re année)","Aucun entretien renseigné"),IF(AND(ReglesTransitoires="Oui",EDATE($N289,AnciennePeriodiciteEP*12)&lt;DateVigueur),"Retard antérieur à la réforme","Périodicité "&amp;PeriodiciteEPP&amp;" ans")))</f>
        <v/>
      </c>
      <c r="P289" s="43" t="str">
        <f aca="false">IF(OR($B289="",$H289=""),"",IF($N289="",EDATE($H289,DelaiPremierEPP),IF(AND(ReglesTransitoires="Oui",EDATE($N289,AnciennePeriodiciteEP*12)&lt;DateVigueur),EDATE($N289,AnciennePeriodiciteEP*12),EDATE($N289,PeriodiciteEPP*12))))</f>
        <v/>
      </c>
      <c r="Q289" s="40"/>
      <c r="R289" s="45" t="str">
        <f aca="false">IF(OR($P289="",AND($I289&lt;&gt;"",$I289&lt;=DateRef)),"",$P289-DateRef)</f>
        <v/>
      </c>
      <c r="S289" s="42" t="str">
        <f aca="false">IF($B289="","",IF(AND($I289&lt;&gt;"",$I289&lt;=DateRef),"Sorti",IF($H289="","À compléter",IF(AND($Q289&lt;&gt;"",$Q289&gt;=DateRef,$Q289&lt;=$P289),"Planifié",IF($R289&lt;0,"En retard",IF($R289&lt;=SeuilAlerteEPP,"À planifier","À jour"))))))</f>
        <v/>
      </c>
      <c r="T289" s="46" t="str">
        <f aca="false">IF(OR($B289="",$S289="Sorti"),"",MID(IF($H289=""," | Date d'embauche manquante","")&amp;IF(AND($K289="Plus d'un an",$N289="")," | Précédent entretien à renseigner (ancienneté &gt; 1 an)","")&amp;IF($O289="Retard antérieur à la réforme"," | Ancien délai de 2 ans expiré avant la réforme","")&amp;IF(AND($N289&lt;&gt;"",$H289&lt;&gt;"",$N289&lt;$H289)," | Entretien antérieur à l'embauche ?","")&amp;IF(AND($N289&lt;&gt;"",$N289&gt;DateRef)," | Entretien daté dans le futur ?","")&amp;IF(AND($Q289&lt;&gt;"",$P289&lt;&gt;"",$Q289&gt;$P289)," | Date prévue après l'échéance","")&amp;IF(AND($Q289&lt;&gt;"",$Q289&lt;DateRef,OR($N289="",$N289&lt;$Q289))," | Entretien prévu passé : le consigner au Journal","")&amp;IF(AND($G289&lt;&gt;"",$X289="",YEAR(DateRef)-YEAR($G289)&gt;=AgeMiCarriere-1,YEAR(DateRef)-YEAR($G289)&lt;=AgeMiCarriere+1)," | Visite de mi-carrière à vérifier",""),4,1000))</f>
        <v/>
      </c>
      <c r="U289" s="39"/>
      <c r="V289" s="40"/>
      <c r="W289" s="42" t="str">
        <f aca="false">IF(OR($B289="",$V289=""),"",IF(AND($I289&lt;&gt;"",$I289&lt;=DateRef),"",IF(AND($N289&lt;&gt;"",$N289&gt;=$V289),"Réalisé",IF(AND($N289&lt;&gt;"",$N289&gt;=EDATE($V289,-FenetreRetour)),"Dispensé (EPP récent)",IF($V289&gt;DateRef,"À prévoir à la reprise","À proposer (reprise passée)")))))</f>
        <v/>
      </c>
      <c r="X289" s="40"/>
      <c r="Y289" s="43" t="str">
        <f aca="false">IF(OR($B289="",$X289=""),"",EDATE($X289,DelaiMiCarriere))</f>
        <v/>
      </c>
      <c r="Z289" s="42" t="str">
        <f aca="false">IF(OR($B289="",$X289=""),"",IF(AND($I289&lt;&gt;"",$I289&lt;=DateRef),"",IF(AND($N289&lt;&gt;"",$N289&gt;=$X289),"Réalisé",IF($Y289&lt;DateRef,"En retard","À planifier"))))</f>
        <v/>
      </c>
      <c r="AA289" s="47" t="str">
        <f aca="false">IF(OR($B289="",$G289=""),"",IF($G289&gt;DateRef,"",DATEDIF($G289,DateRef,"y")))</f>
        <v/>
      </c>
      <c r="AB289" s="43" t="str">
        <f aca="false">IF(OR($B289="",$G289=""),"",EDATE($G289,AgeFinCarriere*12))</f>
        <v/>
      </c>
      <c r="AC289" s="42" t="str">
        <f aca="false">IF(OR($B289="",$G289="",$H289=""),"",IF(AND($I289&lt;&gt;"",$I289&lt;=DateRef),"",IF($AB289&lt;DateVigueur,"Non concerné",IF(AND($N289&lt;&gt;"",$N289&gt;=MAX(EDATE($AB289,-FenetreFinCarriere*12),DateVigueur),$N289&lt;=$AB289),"Réalisé",IF(DateRef&gt;$AB289,"Non réalisé",IF(AND($Q289&lt;&gt;"",$Q289&gt;=EDATE($AB289,-FenetreFinCarriere*12),$Q289&lt;=$AB289),"Planifié dans la fenêtre",IF(AND(MAX($P289,DateRef)&gt;=EDATE($AB289,-FenetreFinCarriere*12),MAX($P289,DateRef)&lt;=$AB289),"Prochain EPP dans la fenêtre",IF(MAX($P289,DateRef)&gt;$AB289,"À programmer avant 60 ans",""))))))))</f>
        <v/>
      </c>
      <c r="AD289" s="40"/>
      <c r="AE289" s="43" t="str">
        <f aca="false">IF(OR($B289="",$H289="",AND($I289&lt;&gt;"",$I289&lt;=DateRef)),"",MAX($H289,$AD289,IF($A289="",0,SUMPRODUCT(MAX((Journal!$A$6:$A$1005=$A289)*((Journal!$D$6:$D$1005=TypeEDL)+(Journal!$D$6:$D$1005=TypeBilan6))*Journal!$C$6:$C$1005)))))</f>
        <v/>
      </c>
      <c r="AF289" s="43" t="str">
        <f aca="false">IF($AE289="","",IF(AND(ReglesTransitoires="Oui",EDATE($AE289,AnciennePeriodiciteEDL*12)&lt;DateVigueur),EDATE($AE289,AnciennePeriodiciteEDL*12),EDATE($AE289,PeriodiciteEDL*12)))</f>
        <v/>
      </c>
      <c r="AG289" s="42" t="str">
        <f aca="false">IF($AF289="","",IF(AND($I289&lt;&gt;"",$I289&lt;=DateRef),"",IF($AF289&lt;DateRef,"En retard",IF($AF289-DateRef&lt;=SeuilAlerteEDL,"À prévoir","À jour"))))</f>
        <v/>
      </c>
      <c r="AH289" s="39"/>
      <c r="AI289" s="39"/>
      <c r="AJ289" s="42" t="str">
        <f aca="false">IF(OR($B289="",$H289=""),"",IF(AND($I289&lt;&gt;"",$I289&lt;=DateRef),"",IF(Effectif&lt;SeuilEffectif,"Non concerné (&lt; "&amp;SeuilEffectif&amp;" salariés)",IF($AH289="Oui","Pas de risque",IF(AND(OR($AI289="Non",$S289="En retard"),$AH289="Non"),"Risque abondement",IF(OR($AI289="Non",$S289="En retard"),"À vérifier (formation ?)",IF($AI289="Oui","Pas de risque","À compléter")))))))</f>
        <v/>
      </c>
      <c r="AK289" s="39"/>
    </row>
    <row r="290" customFormat="false" ht="15" hidden="false" customHeight="false" outlineLevel="0" collapsed="false">
      <c r="A290" s="39"/>
      <c r="B290" s="39"/>
      <c r="C290" s="39"/>
      <c r="D290" s="39"/>
      <c r="E290" s="39"/>
      <c r="F290" s="39"/>
      <c r="G290" s="40"/>
      <c r="H290" s="40"/>
      <c r="I290" s="40"/>
      <c r="J290" s="41" t="str">
        <f aca="false">IF(OR($B290="",$H290=""),"",IF($H290&gt;DateRef,0,YEARFRAC($H290,DateRef,1)))</f>
        <v/>
      </c>
      <c r="K290" s="42" t="str">
        <f aca="false">IF(OR($B290="",$H290=""),"",IF(EDATE($H290,12)&lt;=DateRef,"Plus d'un an","Moins d'un an"))</f>
        <v/>
      </c>
      <c r="L290" s="40"/>
      <c r="M290" s="43" t="str">
        <f aca="false">IF(OR($B290="",$A290=""),"",IF(SUMPRODUCT(MAX((Journal!$A$6:$A$1005=$A290)*Journal!$C$6:$C$1005))=0,"",SUMPRODUCT(MAX((Journal!$A$6:$A$1005=$A290)*Journal!$C$6:$C$1005))))</f>
        <v/>
      </c>
      <c r="N290" s="43" t="str">
        <f aca="false">IF($B290="","",IF(MAX($L290,$M290)=0,"",MAX($L290,$M290)))</f>
        <v/>
      </c>
      <c r="O290" s="44" t="str">
        <f aca="false">IF(OR($B290="",$H290=""),"",IF($N290="",IF(EDATE($H290,DelaiPremierEPP)&gt;DateRef,"1er EPP (1re année)","Aucun entretien renseigné"),IF(AND(ReglesTransitoires="Oui",EDATE($N290,AnciennePeriodiciteEP*12)&lt;DateVigueur),"Retard antérieur à la réforme","Périodicité "&amp;PeriodiciteEPP&amp;" ans")))</f>
        <v/>
      </c>
      <c r="P290" s="43" t="str">
        <f aca="false">IF(OR($B290="",$H290=""),"",IF($N290="",EDATE($H290,DelaiPremierEPP),IF(AND(ReglesTransitoires="Oui",EDATE($N290,AnciennePeriodiciteEP*12)&lt;DateVigueur),EDATE($N290,AnciennePeriodiciteEP*12),EDATE($N290,PeriodiciteEPP*12))))</f>
        <v/>
      </c>
      <c r="Q290" s="40"/>
      <c r="R290" s="45" t="str">
        <f aca="false">IF(OR($P290="",AND($I290&lt;&gt;"",$I290&lt;=DateRef)),"",$P290-DateRef)</f>
        <v/>
      </c>
      <c r="S290" s="42" t="str">
        <f aca="false">IF($B290="","",IF(AND($I290&lt;&gt;"",$I290&lt;=DateRef),"Sorti",IF($H290="","À compléter",IF(AND($Q290&lt;&gt;"",$Q290&gt;=DateRef,$Q290&lt;=$P290),"Planifié",IF($R290&lt;0,"En retard",IF($R290&lt;=SeuilAlerteEPP,"À planifier","À jour"))))))</f>
        <v/>
      </c>
      <c r="T290" s="46" t="str">
        <f aca="false">IF(OR($B290="",$S290="Sorti"),"",MID(IF($H290=""," | Date d'embauche manquante","")&amp;IF(AND($K290="Plus d'un an",$N290="")," | Précédent entretien à renseigner (ancienneté &gt; 1 an)","")&amp;IF($O290="Retard antérieur à la réforme"," | Ancien délai de 2 ans expiré avant la réforme","")&amp;IF(AND($N290&lt;&gt;"",$H290&lt;&gt;"",$N290&lt;$H290)," | Entretien antérieur à l'embauche ?","")&amp;IF(AND($N290&lt;&gt;"",$N290&gt;DateRef)," | Entretien daté dans le futur ?","")&amp;IF(AND($Q290&lt;&gt;"",$P290&lt;&gt;"",$Q290&gt;$P290)," | Date prévue après l'échéance","")&amp;IF(AND($Q290&lt;&gt;"",$Q290&lt;DateRef,OR($N290="",$N290&lt;$Q290))," | Entretien prévu passé : le consigner au Journal","")&amp;IF(AND($G290&lt;&gt;"",$X290="",YEAR(DateRef)-YEAR($G290)&gt;=AgeMiCarriere-1,YEAR(DateRef)-YEAR($G290)&lt;=AgeMiCarriere+1)," | Visite de mi-carrière à vérifier",""),4,1000))</f>
        <v/>
      </c>
      <c r="U290" s="39"/>
      <c r="V290" s="40"/>
      <c r="W290" s="42" t="str">
        <f aca="false">IF(OR($B290="",$V290=""),"",IF(AND($I290&lt;&gt;"",$I290&lt;=DateRef),"",IF(AND($N290&lt;&gt;"",$N290&gt;=$V290),"Réalisé",IF(AND($N290&lt;&gt;"",$N290&gt;=EDATE($V290,-FenetreRetour)),"Dispensé (EPP récent)",IF($V290&gt;DateRef,"À prévoir à la reprise","À proposer (reprise passée)")))))</f>
        <v/>
      </c>
      <c r="X290" s="40"/>
      <c r="Y290" s="43" t="str">
        <f aca="false">IF(OR($B290="",$X290=""),"",EDATE($X290,DelaiMiCarriere))</f>
        <v/>
      </c>
      <c r="Z290" s="42" t="str">
        <f aca="false">IF(OR($B290="",$X290=""),"",IF(AND($I290&lt;&gt;"",$I290&lt;=DateRef),"",IF(AND($N290&lt;&gt;"",$N290&gt;=$X290),"Réalisé",IF($Y290&lt;DateRef,"En retard","À planifier"))))</f>
        <v/>
      </c>
      <c r="AA290" s="47" t="str">
        <f aca="false">IF(OR($B290="",$G290=""),"",IF($G290&gt;DateRef,"",DATEDIF($G290,DateRef,"y")))</f>
        <v/>
      </c>
      <c r="AB290" s="43" t="str">
        <f aca="false">IF(OR($B290="",$G290=""),"",EDATE($G290,AgeFinCarriere*12))</f>
        <v/>
      </c>
      <c r="AC290" s="42" t="str">
        <f aca="false">IF(OR($B290="",$G290="",$H290=""),"",IF(AND($I290&lt;&gt;"",$I290&lt;=DateRef),"",IF($AB290&lt;DateVigueur,"Non concerné",IF(AND($N290&lt;&gt;"",$N290&gt;=MAX(EDATE($AB290,-FenetreFinCarriere*12),DateVigueur),$N290&lt;=$AB290),"Réalisé",IF(DateRef&gt;$AB290,"Non réalisé",IF(AND($Q290&lt;&gt;"",$Q290&gt;=EDATE($AB290,-FenetreFinCarriere*12),$Q290&lt;=$AB290),"Planifié dans la fenêtre",IF(AND(MAX($P290,DateRef)&gt;=EDATE($AB290,-FenetreFinCarriere*12),MAX($P290,DateRef)&lt;=$AB290),"Prochain EPP dans la fenêtre",IF(MAX($P290,DateRef)&gt;$AB290,"À programmer avant 60 ans",""))))))))</f>
        <v/>
      </c>
      <c r="AD290" s="40"/>
      <c r="AE290" s="43" t="str">
        <f aca="false">IF(OR($B290="",$H290="",AND($I290&lt;&gt;"",$I290&lt;=DateRef)),"",MAX($H290,$AD290,IF($A290="",0,SUMPRODUCT(MAX((Journal!$A$6:$A$1005=$A290)*((Journal!$D$6:$D$1005=TypeEDL)+(Journal!$D$6:$D$1005=TypeBilan6))*Journal!$C$6:$C$1005)))))</f>
        <v/>
      </c>
      <c r="AF290" s="43" t="str">
        <f aca="false">IF($AE290="","",IF(AND(ReglesTransitoires="Oui",EDATE($AE290,AnciennePeriodiciteEDL*12)&lt;DateVigueur),EDATE($AE290,AnciennePeriodiciteEDL*12),EDATE($AE290,PeriodiciteEDL*12)))</f>
        <v/>
      </c>
      <c r="AG290" s="42" t="str">
        <f aca="false">IF($AF290="","",IF(AND($I290&lt;&gt;"",$I290&lt;=DateRef),"",IF($AF290&lt;DateRef,"En retard",IF($AF290-DateRef&lt;=SeuilAlerteEDL,"À prévoir","À jour"))))</f>
        <v/>
      </c>
      <c r="AH290" s="39"/>
      <c r="AI290" s="39"/>
      <c r="AJ290" s="42" t="str">
        <f aca="false">IF(OR($B290="",$H290=""),"",IF(AND($I290&lt;&gt;"",$I290&lt;=DateRef),"",IF(Effectif&lt;SeuilEffectif,"Non concerné (&lt; "&amp;SeuilEffectif&amp;" salariés)",IF($AH290="Oui","Pas de risque",IF(AND(OR($AI290="Non",$S290="En retard"),$AH290="Non"),"Risque abondement",IF(OR($AI290="Non",$S290="En retard"),"À vérifier (formation ?)",IF($AI290="Oui","Pas de risque","À compléter")))))))</f>
        <v/>
      </c>
      <c r="AK290" s="39"/>
    </row>
    <row r="291" customFormat="false" ht="15" hidden="false" customHeight="false" outlineLevel="0" collapsed="false">
      <c r="A291" s="39"/>
      <c r="B291" s="39"/>
      <c r="C291" s="39"/>
      <c r="D291" s="39"/>
      <c r="E291" s="39"/>
      <c r="F291" s="39"/>
      <c r="G291" s="40"/>
      <c r="H291" s="40"/>
      <c r="I291" s="40"/>
      <c r="J291" s="41" t="str">
        <f aca="false">IF(OR($B291="",$H291=""),"",IF($H291&gt;DateRef,0,YEARFRAC($H291,DateRef,1)))</f>
        <v/>
      </c>
      <c r="K291" s="42" t="str">
        <f aca="false">IF(OR($B291="",$H291=""),"",IF(EDATE($H291,12)&lt;=DateRef,"Plus d'un an","Moins d'un an"))</f>
        <v/>
      </c>
      <c r="L291" s="40"/>
      <c r="M291" s="43" t="str">
        <f aca="false">IF(OR($B291="",$A291=""),"",IF(SUMPRODUCT(MAX((Journal!$A$6:$A$1005=$A291)*Journal!$C$6:$C$1005))=0,"",SUMPRODUCT(MAX((Journal!$A$6:$A$1005=$A291)*Journal!$C$6:$C$1005))))</f>
        <v/>
      </c>
      <c r="N291" s="43" t="str">
        <f aca="false">IF($B291="","",IF(MAX($L291,$M291)=0,"",MAX($L291,$M291)))</f>
        <v/>
      </c>
      <c r="O291" s="44" t="str">
        <f aca="false">IF(OR($B291="",$H291=""),"",IF($N291="",IF(EDATE($H291,DelaiPremierEPP)&gt;DateRef,"1er EPP (1re année)","Aucun entretien renseigné"),IF(AND(ReglesTransitoires="Oui",EDATE($N291,AnciennePeriodiciteEP*12)&lt;DateVigueur),"Retard antérieur à la réforme","Périodicité "&amp;PeriodiciteEPP&amp;" ans")))</f>
        <v/>
      </c>
      <c r="P291" s="43" t="str">
        <f aca="false">IF(OR($B291="",$H291=""),"",IF($N291="",EDATE($H291,DelaiPremierEPP),IF(AND(ReglesTransitoires="Oui",EDATE($N291,AnciennePeriodiciteEP*12)&lt;DateVigueur),EDATE($N291,AnciennePeriodiciteEP*12),EDATE($N291,PeriodiciteEPP*12))))</f>
        <v/>
      </c>
      <c r="Q291" s="40"/>
      <c r="R291" s="45" t="str">
        <f aca="false">IF(OR($P291="",AND($I291&lt;&gt;"",$I291&lt;=DateRef)),"",$P291-DateRef)</f>
        <v/>
      </c>
      <c r="S291" s="42" t="str">
        <f aca="false">IF($B291="","",IF(AND($I291&lt;&gt;"",$I291&lt;=DateRef),"Sorti",IF($H291="","À compléter",IF(AND($Q291&lt;&gt;"",$Q291&gt;=DateRef,$Q291&lt;=$P291),"Planifié",IF($R291&lt;0,"En retard",IF($R291&lt;=SeuilAlerteEPP,"À planifier","À jour"))))))</f>
        <v/>
      </c>
      <c r="T291" s="46" t="str">
        <f aca="false">IF(OR($B291="",$S291="Sorti"),"",MID(IF($H291=""," | Date d'embauche manquante","")&amp;IF(AND($K291="Plus d'un an",$N291="")," | Précédent entretien à renseigner (ancienneté &gt; 1 an)","")&amp;IF($O291="Retard antérieur à la réforme"," | Ancien délai de 2 ans expiré avant la réforme","")&amp;IF(AND($N291&lt;&gt;"",$H291&lt;&gt;"",$N291&lt;$H291)," | Entretien antérieur à l'embauche ?","")&amp;IF(AND($N291&lt;&gt;"",$N291&gt;DateRef)," | Entretien daté dans le futur ?","")&amp;IF(AND($Q291&lt;&gt;"",$P291&lt;&gt;"",$Q291&gt;$P291)," | Date prévue après l'échéance","")&amp;IF(AND($Q291&lt;&gt;"",$Q291&lt;DateRef,OR($N291="",$N291&lt;$Q291))," | Entretien prévu passé : le consigner au Journal","")&amp;IF(AND($G291&lt;&gt;"",$X291="",YEAR(DateRef)-YEAR($G291)&gt;=AgeMiCarriere-1,YEAR(DateRef)-YEAR($G291)&lt;=AgeMiCarriere+1)," | Visite de mi-carrière à vérifier",""),4,1000))</f>
        <v/>
      </c>
      <c r="U291" s="39"/>
      <c r="V291" s="40"/>
      <c r="W291" s="42" t="str">
        <f aca="false">IF(OR($B291="",$V291=""),"",IF(AND($I291&lt;&gt;"",$I291&lt;=DateRef),"",IF(AND($N291&lt;&gt;"",$N291&gt;=$V291),"Réalisé",IF(AND($N291&lt;&gt;"",$N291&gt;=EDATE($V291,-FenetreRetour)),"Dispensé (EPP récent)",IF($V291&gt;DateRef,"À prévoir à la reprise","À proposer (reprise passée)")))))</f>
        <v/>
      </c>
      <c r="X291" s="40"/>
      <c r="Y291" s="43" t="str">
        <f aca="false">IF(OR($B291="",$X291=""),"",EDATE($X291,DelaiMiCarriere))</f>
        <v/>
      </c>
      <c r="Z291" s="42" t="str">
        <f aca="false">IF(OR($B291="",$X291=""),"",IF(AND($I291&lt;&gt;"",$I291&lt;=DateRef),"",IF(AND($N291&lt;&gt;"",$N291&gt;=$X291),"Réalisé",IF($Y291&lt;DateRef,"En retard","À planifier"))))</f>
        <v/>
      </c>
      <c r="AA291" s="47" t="str">
        <f aca="false">IF(OR($B291="",$G291=""),"",IF($G291&gt;DateRef,"",DATEDIF($G291,DateRef,"y")))</f>
        <v/>
      </c>
      <c r="AB291" s="43" t="str">
        <f aca="false">IF(OR($B291="",$G291=""),"",EDATE($G291,AgeFinCarriere*12))</f>
        <v/>
      </c>
      <c r="AC291" s="42" t="str">
        <f aca="false">IF(OR($B291="",$G291="",$H291=""),"",IF(AND($I291&lt;&gt;"",$I291&lt;=DateRef),"",IF($AB291&lt;DateVigueur,"Non concerné",IF(AND($N291&lt;&gt;"",$N291&gt;=MAX(EDATE($AB291,-FenetreFinCarriere*12),DateVigueur),$N291&lt;=$AB291),"Réalisé",IF(DateRef&gt;$AB291,"Non réalisé",IF(AND($Q291&lt;&gt;"",$Q291&gt;=EDATE($AB291,-FenetreFinCarriere*12),$Q291&lt;=$AB291),"Planifié dans la fenêtre",IF(AND(MAX($P291,DateRef)&gt;=EDATE($AB291,-FenetreFinCarriere*12),MAX($P291,DateRef)&lt;=$AB291),"Prochain EPP dans la fenêtre",IF(MAX($P291,DateRef)&gt;$AB291,"À programmer avant 60 ans",""))))))))</f>
        <v/>
      </c>
      <c r="AD291" s="40"/>
      <c r="AE291" s="43" t="str">
        <f aca="false">IF(OR($B291="",$H291="",AND($I291&lt;&gt;"",$I291&lt;=DateRef)),"",MAX($H291,$AD291,IF($A291="",0,SUMPRODUCT(MAX((Journal!$A$6:$A$1005=$A291)*((Journal!$D$6:$D$1005=TypeEDL)+(Journal!$D$6:$D$1005=TypeBilan6))*Journal!$C$6:$C$1005)))))</f>
        <v/>
      </c>
      <c r="AF291" s="43" t="str">
        <f aca="false">IF($AE291="","",IF(AND(ReglesTransitoires="Oui",EDATE($AE291,AnciennePeriodiciteEDL*12)&lt;DateVigueur),EDATE($AE291,AnciennePeriodiciteEDL*12),EDATE($AE291,PeriodiciteEDL*12)))</f>
        <v/>
      </c>
      <c r="AG291" s="42" t="str">
        <f aca="false">IF($AF291="","",IF(AND($I291&lt;&gt;"",$I291&lt;=DateRef),"",IF($AF291&lt;DateRef,"En retard",IF($AF291-DateRef&lt;=SeuilAlerteEDL,"À prévoir","À jour"))))</f>
        <v/>
      </c>
      <c r="AH291" s="39"/>
      <c r="AI291" s="39"/>
      <c r="AJ291" s="42" t="str">
        <f aca="false">IF(OR($B291="",$H291=""),"",IF(AND($I291&lt;&gt;"",$I291&lt;=DateRef),"",IF(Effectif&lt;SeuilEffectif,"Non concerné (&lt; "&amp;SeuilEffectif&amp;" salariés)",IF($AH291="Oui","Pas de risque",IF(AND(OR($AI291="Non",$S291="En retard"),$AH291="Non"),"Risque abondement",IF(OR($AI291="Non",$S291="En retard"),"À vérifier (formation ?)",IF($AI291="Oui","Pas de risque","À compléter")))))))</f>
        <v/>
      </c>
      <c r="AK291" s="39"/>
    </row>
    <row r="292" customFormat="false" ht="15" hidden="false" customHeight="false" outlineLevel="0" collapsed="false">
      <c r="A292" s="39"/>
      <c r="B292" s="39"/>
      <c r="C292" s="39"/>
      <c r="D292" s="39"/>
      <c r="E292" s="39"/>
      <c r="F292" s="39"/>
      <c r="G292" s="40"/>
      <c r="H292" s="40"/>
      <c r="I292" s="40"/>
      <c r="J292" s="41" t="str">
        <f aca="false">IF(OR($B292="",$H292=""),"",IF($H292&gt;DateRef,0,YEARFRAC($H292,DateRef,1)))</f>
        <v/>
      </c>
      <c r="K292" s="42" t="str">
        <f aca="false">IF(OR($B292="",$H292=""),"",IF(EDATE($H292,12)&lt;=DateRef,"Plus d'un an","Moins d'un an"))</f>
        <v/>
      </c>
      <c r="L292" s="40"/>
      <c r="M292" s="43" t="str">
        <f aca="false">IF(OR($B292="",$A292=""),"",IF(SUMPRODUCT(MAX((Journal!$A$6:$A$1005=$A292)*Journal!$C$6:$C$1005))=0,"",SUMPRODUCT(MAX((Journal!$A$6:$A$1005=$A292)*Journal!$C$6:$C$1005))))</f>
        <v/>
      </c>
      <c r="N292" s="43" t="str">
        <f aca="false">IF($B292="","",IF(MAX($L292,$M292)=0,"",MAX($L292,$M292)))</f>
        <v/>
      </c>
      <c r="O292" s="44" t="str">
        <f aca="false">IF(OR($B292="",$H292=""),"",IF($N292="",IF(EDATE($H292,DelaiPremierEPP)&gt;DateRef,"1er EPP (1re année)","Aucun entretien renseigné"),IF(AND(ReglesTransitoires="Oui",EDATE($N292,AnciennePeriodiciteEP*12)&lt;DateVigueur),"Retard antérieur à la réforme","Périodicité "&amp;PeriodiciteEPP&amp;" ans")))</f>
        <v/>
      </c>
      <c r="P292" s="43" t="str">
        <f aca="false">IF(OR($B292="",$H292=""),"",IF($N292="",EDATE($H292,DelaiPremierEPP),IF(AND(ReglesTransitoires="Oui",EDATE($N292,AnciennePeriodiciteEP*12)&lt;DateVigueur),EDATE($N292,AnciennePeriodiciteEP*12),EDATE($N292,PeriodiciteEPP*12))))</f>
        <v/>
      </c>
      <c r="Q292" s="40"/>
      <c r="R292" s="45" t="str">
        <f aca="false">IF(OR($P292="",AND($I292&lt;&gt;"",$I292&lt;=DateRef)),"",$P292-DateRef)</f>
        <v/>
      </c>
      <c r="S292" s="42" t="str">
        <f aca="false">IF($B292="","",IF(AND($I292&lt;&gt;"",$I292&lt;=DateRef),"Sorti",IF($H292="","À compléter",IF(AND($Q292&lt;&gt;"",$Q292&gt;=DateRef,$Q292&lt;=$P292),"Planifié",IF($R292&lt;0,"En retard",IF($R292&lt;=SeuilAlerteEPP,"À planifier","À jour"))))))</f>
        <v/>
      </c>
      <c r="T292" s="46" t="str">
        <f aca="false">IF(OR($B292="",$S292="Sorti"),"",MID(IF($H292=""," | Date d'embauche manquante","")&amp;IF(AND($K292="Plus d'un an",$N292="")," | Précédent entretien à renseigner (ancienneté &gt; 1 an)","")&amp;IF($O292="Retard antérieur à la réforme"," | Ancien délai de 2 ans expiré avant la réforme","")&amp;IF(AND($N292&lt;&gt;"",$H292&lt;&gt;"",$N292&lt;$H292)," | Entretien antérieur à l'embauche ?","")&amp;IF(AND($N292&lt;&gt;"",$N292&gt;DateRef)," | Entretien daté dans le futur ?","")&amp;IF(AND($Q292&lt;&gt;"",$P292&lt;&gt;"",$Q292&gt;$P292)," | Date prévue après l'échéance","")&amp;IF(AND($Q292&lt;&gt;"",$Q292&lt;DateRef,OR($N292="",$N292&lt;$Q292))," | Entretien prévu passé : le consigner au Journal","")&amp;IF(AND($G292&lt;&gt;"",$X292="",YEAR(DateRef)-YEAR($G292)&gt;=AgeMiCarriere-1,YEAR(DateRef)-YEAR($G292)&lt;=AgeMiCarriere+1)," | Visite de mi-carrière à vérifier",""),4,1000))</f>
        <v/>
      </c>
      <c r="U292" s="39"/>
      <c r="V292" s="40"/>
      <c r="W292" s="42" t="str">
        <f aca="false">IF(OR($B292="",$V292=""),"",IF(AND($I292&lt;&gt;"",$I292&lt;=DateRef),"",IF(AND($N292&lt;&gt;"",$N292&gt;=$V292),"Réalisé",IF(AND($N292&lt;&gt;"",$N292&gt;=EDATE($V292,-FenetreRetour)),"Dispensé (EPP récent)",IF($V292&gt;DateRef,"À prévoir à la reprise","À proposer (reprise passée)")))))</f>
        <v/>
      </c>
      <c r="X292" s="40"/>
      <c r="Y292" s="43" t="str">
        <f aca="false">IF(OR($B292="",$X292=""),"",EDATE($X292,DelaiMiCarriere))</f>
        <v/>
      </c>
      <c r="Z292" s="42" t="str">
        <f aca="false">IF(OR($B292="",$X292=""),"",IF(AND($I292&lt;&gt;"",$I292&lt;=DateRef),"",IF(AND($N292&lt;&gt;"",$N292&gt;=$X292),"Réalisé",IF($Y292&lt;DateRef,"En retard","À planifier"))))</f>
        <v/>
      </c>
      <c r="AA292" s="47" t="str">
        <f aca="false">IF(OR($B292="",$G292=""),"",IF($G292&gt;DateRef,"",DATEDIF($G292,DateRef,"y")))</f>
        <v/>
      </c>
      <c r="AB292" s="43" t="str">
        <f aca="false">IF(OR($B292="",$G292=""),"",EDATE($G292,AgeFinCarriere*12))</f>
        <v/>
      </c>
      <c r="AC292" s="42" t="str">
        <f aca="false">IF(OR($B292="",$G292="",$H292=""),"",IF(AND($I292&lt;&gt;"",$I292&lt;=DateRef),"",IF($AB292&lt;DateVigueur,"Non concerné",IF(AND($N292&lt;&gt;"",$N292&gt;=MAX(EDATE($AB292,-FenetreFinCarriere*12),DateVigueur),$N292&lt;=$AB292),"Réalisé",IF(DateRef&gt;$AB292,"Non réalisé",IF(AND($Q292&lt;&gt;"",$Q292&gt;=EDATE($AB292,-FenetreFinCarriere*12),$Q292&lt;=$AB292),"Planifié dans la fenêtre",IF(AND(MAX($P292,DateRef)&gt;=EDATE($AB292,-FenetreFinCarriere*12),MAX($P292,DateRef)&lt;=$AB292),"Prochain EPP dans la fenêtre",IF(MAX($P292,DateRef)&gt;$AB292,"À programmer avant 60 ans",""))))))))</f>
        <v/>
      </c>
      <c r="AD292" s="40"/>
      <c r="AE292" s="43" t="str">
        <f aca="false">IF(OR($B292="",$H292="",AND($I292&lt;&gt;"",$I292&lt;=DateRef)),"",MAX($H292,$AD292,IF($A292="",0,SUMPRODUCT(MAX((Journal!$A$6:$A$1005=$A292)*((Journal!$D$6:$D$1005=TypeEDL)+(Journal!$D$6:$D$1005=TypeBilan6))*Journal!$C$6:$C$1005)))))</f>
        <v/>
      </c>
      <c r="AF292" s="43" t="str">
        <f aca="false">IF($AE292="","",IF(AND(ReglesTransitoires="Oui",EDATE($AE292,AnciennePeriodiciteEDL*12)&lt;DateVigueur),EDATE($AE292,AnciennePeriodiciteEDL*12),EDATE($AE292,PeriodiciteEDL*12)))</f>
        <v/>
      </c>
      <c r="AG292" s="42" t="str">
        <f aca="false">IF($AF292="","",IF(AND($I292&lt;&gt;"",$I292&lt;=DateRef),"",IF($AF292&lt;DateRef,"En retard",IF($AF292-DateRef&lt;=SeuilAlerteEDL,"À prévoir","À jour"))))</f>
        <v/>
      </c>
      <c r="AH292" s="39"/>
      <c r="AI292" s="39"/>
      <c r="AJ292" s="42" t="str">
        <f aca="false">IF(OR($B292="",$H292=""),"",IF(AND($I292&lt;&gt;"",$I292&lt;=DateRef),"",IF(Effectif&lt;SeuilEffectif,"Non concerné (&lt; "&amp;SeuilEffectif&amp;" salariés)",IF($AH292="Oui","Pas de risque",IF(AND(OR($AI292="Non",$S292="En retard"),$AH292="Non"),"Risque abondement",IF(OR($AI292="Non",$S292="En retard"),"À vérifier (formation ?)",IF($AI292="Oui","Pas de risque","À compléter")))))))</f>
        <v/>
      </c>
      <c r="AK292" s="39"/>
    </row>
    <row r="293" customFormat="false" ht="15" hidden="false" customHeight="false" outlineLevel="0" collapsed="false">
      <c r="A293" s="39"/>
      <c r="B293" s="39"/>
      <c r="C293" s="39"/>
      <c r="D293" s="39"/>
      <c r="E293" s="39"/>
      <c r="F293" s="39"/>
      <c r="G293" s="40"/>
      <c r="H293" s="40"/>
      <c r="I293" s="40"/>
      <c r="J293" s="41" t="str">
        <f aca="false">IF(OR($B293="",$H293=""),"",IF($H293&gt;DateRef,0,YEARFRAC($H293,DateRef,1)))</f>
        <v/>
      </c>
      <c r="K293" s="42" t="str">
        <f aca="false">IF(OR($B293="",$H293=""),"",IF(EDATE($H293,12)&lt;=DateRef,"Plus d'un an","Moins d'un an"))</f>
        <v/>
      </c>
      <c r="L293" s="40"/>
      <c r="M293" s="43" t="str">
        <f aca="false">IF(OR($B293="",$A293=""),"",IF(SUMPRODUCT(MAX((Journal!$A$6:$A$1005=$A293)*Journal!$C$6:$C$1005))=0,"",SUMPRODUCT(MAX((Journal!$A$6:$A$1005=$A293)*Journal!$C$6:$C$1005))))</f>
        <v/>
      </c>
      <c r="N293" s="43" t="str">
        <f aca="false">IF($B293="","",IF(MAX($L293,$M293)=0,"",MAX($L293,$M293)))</f>
        <v/>
      </c>
      <c r="O293" s="44" t="str">
        <f aca="false">IF(OR($B293="",$H293=""),"",IF($N293="",IF(EDATE($H293,DelaiPremierEPP)&gt;DateRef,"1er EPP (1re année)","Aucun entretien renseigné"),IF(AND(ReglesTransitoires="Oui",EDATE($N293,AnciennePeriodiciteEP*12)&lt;DateVigueur),"Retard antérieur à la réforme","Périodicité "&amp;PeriodiciteEPP&amp;" ans")))</f>
        <v/>
      </c>
      <c r="P293" s="43" t="str">
        <f aca="false">IF(OR($B293="",$H293=""),"",IF($N293="",EDATE($H293,DelaiPremierEPP),IF(AND(ReglesTransitoires="Oui",EDATE($N293,AnciennePeriodiciteEP*12)&lt;DateVigueur),EDATE($N293,AnciennePeriodiciteEP*12),EDATE($N293,PeriodiciteEPP*12))))</f>
        <v/>
      </c>
      <c r="Q293" s="40"/>
      <c r="R293" s="45" t="str">
        <f aca="false">IF(OR($P293="",AND($I293&lt;&gt;"",$I293&lt;=DateRef)),"",$P293-DateRef)</f>
        <v/>
      </c>
      <c r="S293" s="42" t="str">
        <f aca="false">IF($B293="","",IF(AND($I293&lt;&gt;"",$I293&lt;=DateRef),"Sorti",IF($H293="","À compléter",IF(AND($Q293&lt;&gt;"",$Q293&gt;=DateRef,$Q293&lt;=$P293),"Planifié",IF($R293&lt;0,"En retard",IF($R293&lt;=SeuilAlerteEPP,"À planifier","À jour"))))))</f>
        <v/>
      </c>
      <c r="T293" s="46" t="str">
        <f aca="false">IF(OR($B293="",$S293="Sorti"),"",MID(IF($H293=""," | Date d'embauche manquante","")&amp;IF(AND($K293="Plus d'un an",$N293="")," | Précédent entretien à renseigner (ancienneté &gt; 1 an)","")&amp;IF($O293="Retard antérieur à la réforme"," | Ancien délai de 2 ans expiré avant la réforme","")&amp;IF(AND($N293&lt;&gt;"",$H293&lt;&gt;"",$N293&lt;$H293)," | Entretien antérieur à l'embauche ?","")&amp;IF(AND($N293&lt;&gt;"",$N293&gt;DateRef)," | Entretien daté dans le futur ?","")&amp;IF(AND($Q293&lt;&gt;"",$P293&lt;&gt;"",$Q293&gt;$P293)," | Date prévue après l'échéance","")&amp;IF(AND($Q293&lt;&gt;"",$Q293&lt;DateRef,OR($N293="",$N293&lt;$Q293))," | Entretien prévu passé : le consigner au Journal","")&amp;IF(AND($G293&lt;&gt;"",$X293="",YEAR(DateRef)-YEAR($G293)&gt;=AgeMiCarriere-1,YEAR(DateRef)-YEAR($G293)&lt;=AgeMiCarriere+1)," | Visite de mi-carrière à vérifier",""),4,1000))</f>
        <v/>
      </c>
      <c r="U293" s="39"/>
      <c r="V293" s="40"/>
      <c r="W293" s="42" t="str">
        <f aca="false">IF(OR($B293="",$V293=""),"",IF(AND($I293&lt;&gt;"",$I293&lt;=DateRef),"",IF(AND($N293&lt;&gt;"",$N293&gt;=$V293),"Réalisé",IF(AND($N293&lt;&gt;"",$N293&gt;=EDATE($V293,-FenetreRetour)),"Dispensé (EPP récent)",IF($V293&gt;DateRef,"À prévoir à la reprise","À proposer (reprise passée)")))))</f>
        <v/>
      </c>
      <c r="X293" s="40"/>
      <c r="Y293" s="43" t="str">
        <f aca="false">IF(OR($B293="",$X293=""),"",EDATE($X293,DelaiMiCarriere))</f>
        <v/>
      </c>
      <c r="Z293" s="42" t="str">
        <f aca="false">IF(OR($B293="",$X293=""),"",IF(AND($I293&lt;&gt;"",$I293&lt;=DateRef),"",IF(AND($N293&lt;&gt;"",$N293&gt;=$X293),"Réalisé",IF($Y293&lt;DateRef,"En retard","À planifier"))))</f>
        <v/>
      </c>
      <c r="AA293" s="47" t="str">
        <f aca="false">IF(OR($B293="",$G293=""),"",IF($G293&gt;DateRef,"",DATEDIF($G293,DateRef,"y")))</f>
        <v/>
      </c>
      <c r="AB293" s="43" t="str">
        <f aca="false">IF(OR($B293="",$G293=""),"",EDATE($G293,AgeFinCarriere*12))</f>
        <v/>
      </c>
      <c r="AC293" s="42" t="str">
        <f aca="false">IF(OR($B293="",$G293="",$H293=""),"",IF(AND($I293&lt;&gt;"",$I293&lt;=DateRef),"",IF($AB293&lt;DateVigueur,"Non concerné",IF(AND($N293&lt;&gt;"",$N293&gt;=MAX(EDATE($AB293,-FenetreFinCarriere*12),DateVigueur),$N293&lt;=$AB293),"Réalisé",IF(DateRef&gt;$AB293,"Non réalisé",IF(AND($Q293&lt;&gt;"",$Q293&gt;=EDATE($AB293,-FenetreFinCarriere*12),$Q293&lt;=$AB293),"Planifié dans la fenêtre",IF(AND(MAX($P293,DateRef)&gt;=EDATE($AB293,-FenetreFinCarriere*12),MAX($P293,DateRef)&lt;=$AB293),"Prochain EPP dans la fenêtre",IF(MAX($P293,DateRef)&gt;$AB293,"À programmer avant 60 ans",""))))))))</f>
        <v/>
      </c>
      <c r="AD293" s="40"/>
      <c r="AE293" s="43" t="str">
        <f aca="false">IF(OR($B293="",$H293="",AND($I293&lt;&gt;"",$I293&lt;=DateRef)),"",MAX($H293,$AD293,IF($A293="",0,SUMPRODUCT(MAX((Journal!$A$6:$A$1005=$A293)*((Journal!$D$6:$D$1005=TypeEDL)+(Journal!$D$6:$D$1005=TypeBilan6))*Journal!$C$6:$C$1005)))))</f>
        <v/>
      </c>
      <c r="AF293" s="43" t="str">
        <f aca="false">IF($AE293="","",IF(AND(ReglesTransitoires="Oui",EDATE($AE293,AnciennePeriodiciteEDL*12)&lt;DateVigueur),EDATE($AE293,AnciennePeriodiciteEDL*12),EDATE($AE293,PeriodiciteEDL*12)))</f>
        <v/>
      </c>
      <c r="AG293" s="42" t="str">
        <f aca="false">IF($AF293="","",IF(AND($I293&lt;&gt;"",$I293&lt;=DateRef),"",IF($AF293&lt;DateRef,"En retard",IF($AF293-DateRef&lt;=SeuilAlerteEDL,"À prévoir","À jour"))))</f>
        <v/>
      </c>
      <c r="AH293" s="39"/>
      <c r="AI293" s="39"/>
      <c r="AJ293" s="42" t="str">
        <f aca="false">IF(OR($B293="",$H293=""),"",IF(AND($I293&lt;&gt;"",$I293&lt;=DateRef),"",IF(Effectif&lt;SeuilEffectif,"Non concerné (&lt; "&amp;SeuilEffectif&amp;" salariés)",IF($AH293="Oui","Pas de risque",IF(AND(OR($AI293="Non",$S293="En retard"),$AH293="Non"),"Risque abondement",IF(OR($AI293="Non",$S293="En retard"),"À vérifier (formation ?)",IF($AI293="Oui","Pas de risque","À compléter")))))))</f>
        <v/>
      </c>
      <c r="AK293" s="39"/>
    </row>
    <row r="294" customFormat="false" ht="15" hidden="false" customHeight="false" outlineLevel="0" collapsed="false">
      <c r="A294" s="39"/>
      <c r="B294" s="39"/>
      <c r="C294" s="39"/>
      <c r="D294" s="39"/>
      <c r="E294" s="39"/>
      <c r="F294" s="39"/>
      <c r="G294" s="40"/>
      <c r="H294" s="40"/>
      <c r="I294" s="40"/>
      <c r="J294" s="41" t="str">
        <f aca="false">IF(OR($B294="",$H294=""),"",IF($H294&gt;DateRef,0,YEARFRAC($H294,DateRef,1)))</f>
        <v/>
      </c>
      <c r="K294" s="42" t="str">
        <f aca="false">IF(OR($B294="",$H294=""),"",IF(EDATE($H294,12)&lt;=DateRef,"Plus d'un an","Moins d'un an"))</f>
        <v/>
      </c>
      <c r="L294" s="40"/>
      <c r="M294" s="43" t="str">
        <f aca="false">IF(OR($B294="",$A294=""),"",IF(SUMPRODUCT(MAX((Journal!$A$6:$A$1005=$A294)*Journal!$C$6:$C$1005))=0,"",SUMPRODUCT(MAX((Journal!$A$6:$A$1005=$A294)*Journal!$C$6:$C$1005))))</f>
        <v/>
      </c>
      <c r="N294" s="43" t="str">
        <f aca="false">IF($B294="","",IF(MAX($L294,$M294)=0,"",MAX($L294,$M294)))</f>
        <v/>
      </c>
      <c r="O294" s="44" t="str">
        <f aca="false">IF(OR($B294="",$H294=""),"",IF($N294="",IF(EDATE($H294,DelaiPremierEPP)&gt;DateRef,"1er EPP (1re année)","Aucun entretien renseigné"),IF(AND(ReglesTransitoires="Oui",EDATE($N294,AnciennePeriodiciteEP*12)&lt;DateVigueur),"Retard antérieur à la réforme","Périodicité "&amp;PeriodiciteEPP&amp;" ans")))</f>
        <v/>
      </c>
      <c r="P294" s="43" t="str">
        <f aca="false">IF(OR($B294="",$H294=""),"",IF($N294="",EDATE($H294,DelaiPremierEPP),IF(AND(ReglesTransitoires="Oui",EDATE($N294,AnciennePeriodiciteEP*12)&lt;DateVigueur),EDATE($N294,AnciennePeriodiciteEP*12),EDATE($N294,PeriodiciteEPP*12))))</f>
        <v/>
      </c>
      <c r="Q294" s="40"/>
      <c r="R294" s="45" t="str">
        <f aca="false">IF(OR($P294="",AND($I294&lt;&gt;"",$I294&lt;=DateRef)),"",$P294-DateRef)</f>
        <v/>
      </c>
      <c r="S294" s="42" t="str">
        <f aca="false">IF($B294="","",IF(AND($I294&lt;&gt;"",$I294&lt;=DateRef),"Sorti",IF($H294="","À compléter",IF(AND($Q294&lt;&gt;"",$Q294&gt;=DateRef,$Q294&lt;=$P294),"Planifié",IF($R294&lt;0,"En retard",IF($R294&lt;=SeuilAlerteEPP,"À planifier","À jour"))))))</f>
        <v/>
      </c>
      <c r="T294" s="46" t="str">
        <f aca="false">IF(OR($B294="",$S294="Sorti"),"",MID(IF($H294=""," | Date d'embauche manquante","")&amp;IF(AND($K294="Plus d'un an",$N294="")," | Précédent entretien à renseigner (ancienneté &gt; 1 an)","")&amp;IF($O294="Retard antérieur à la réforme"," | Ancien délai de 2 ans expiré avant la réforme","")&amp;IF(AND($N294&lt;&gt;"",$H294&lt;&gt;"",$N294&lt;$H294)," | Entretien antérieur à l'embauche ?","")&amp;IF(AND($N294&lt;&gt;"",$N294&gt;DateRef)," | Entretien daté dans le futur ?","")&amp;IF(AND($Q294&lt;&gt;"",$P294&lt;&gt;"",$Q294&gt;$P294)," | Date prévue après l'échéance","")&amp;IF(AND($Q294&lt;&gt;"",$Q294&lt;DateRef,OR($N294="",$N294&lt;$Q294))," | Entretien prévu passé : le consigner au Journal","")&amp;IF(AND($G294&lt;&gt;"",$X294="",YEAR(DateRef)-YEAR($G294)&gt;=AgeMiCarriere-1,YEAR(DateRef)-YEAR($G294)&lt;=AgeMiCarriere+1)," | Visite de mi-carrière à vérifier",""),4,1000))</f>
        <v/>
      </c>
      <c r="U294" s="39"/>
      <c r="V294" s="40"/>
      <c r="W294" s="42" t="str">
        <f aca="false">IF(OR($B294="",$V294=""),"",IF(AND($I294&lt;&gt;"",$I294&lt;=DateRef),"",IF(AND($N294&lt;&gt;"",$N294&gt;=$V294),"Réalisé",IF(AND($N294&lt;&gt;"",$N294&gt;=EDATE($V294,-FenetreRetour)),"Dispensé (EPP récent)",IF($V294&gt;DateRef,"À prévoir à la reprise","À proposer (reprise passée)")))))</f>
        <v/>
      </c>
      <c r="X294" s="40"/>
      <c r="Y294" s="43" t="str">
        <f aca="false">IF(OR($B294="",$X294=""),"",EDATE($X294,DelaiMiCarriere))</f>
        <v/>
      </c>
      <c r="Z294" s="42" t="str">
        <f aca="false">IF(OR($B294="",$X294=""),"",IF(AND($I294&lt;&gt;"",$I294&lt;=DateRef),"",IF(AND($N294&lt;&gt;"",$N294&gt;=$X294),"Réalisé",IF($Y294&lt;DateRef,"En retard","À planifier"))))</f>
        <v/>
      </c>
      <c r="AA294" s="47" t="str">
        <f aca="false">IF(OR($B294="",$G294=""),"",IF($G294&gt;DateRef,"",DATEDIF($G294,DateRef,"y")))</f>
        <v/>
      </c>
      <c r="AB294" s="43" t="str">
        <f aca="false">IF(OR($B294="",$G294=""),"",EDATE($G294,AgeFinCarriere*12))</f>
        <v/>
      </c>
      <c r="AC294" s="42" t="str">
        <f aca="false">IF(OR($B294="",$G294="",$H294=""),"",IF(AND($I294&lt;&gt;"",$I294&lt;=DateRef),"",IF($AB294&lt;DateVigueur,"Non concerné",IF(AND($N294&lt;&gt;"",$N294&gt;=MAX(EDATE($AB294,-FenetreFinCarriere*12),DateVigueur),$N294&lt;=$AB294),"Réalisé",IF(DateRef&gt;$AB294,"Non réalisé",IF(AND($Q294&lt;&gt;"",$Q294&gt;=EDATE($AB294,-FenetreFinCarriere*12),$Q294&lt;=$AB294),"Planifié dans la fenêtre",IF(AND(MAX($P294,DateRef)&gt;=EDATE($AB294,-FenetreFinCarriere*12),MAX($P294,DateRef)&lt;=$AB294),"Prochain EPP dans la fenêtre",IF(MAX($P294,DateRef)&gt;$AB294,"À programmer avant 60 ans",""))))))))</f>
        <v/>
      </c>
      <c r="AD294" s="40"/>
      <c r="AE294" s="43" t="str">
        <f aca="false">IF(OR($B294="",$H294="",AND($I294&lt;&gt;"",$I294&lt;=DateRef)),"",MAX($H294,$AD294,IF($A294="",0,SUMPRODUCT(MAX((Journal!$A$6:$A$1005=$A294)*((Journal!$D$6:$D$1005=TypeEDL)+(Journal!$D$6:$D$1005=TypeBilan6))*Journal!$C$6:$C$1005)))))</f>
        <v/>
      </c>
      <c r="AF294" s="43" t="str">
        <f aca="false">IF($AE294="","",IF(AND(ReglesTransitoires="Oui",EDATE($AE294,AnciennePeriodiciteEDL*12)&lt;DateVigueur),EDATE($AE294,AnciennePeriodiciteEDL*12),EDATE($AE294,PeriodiciteEDL*12)))</f>
        <v/>
      </c>
      <c r="AG294" s="42" t="str">
        <f aca="false">IF($AF294="","",IF(AND($I294&lt;&gt;"",$I294&lt;=DateRef),"",IF($AF294&lt;DateRef,"En retard",IF($AF294-DateRef&lt;=SeuilAlerteEDL,"À prévoir","À jour"))))</f>
        <v/>
      </c>
      <c r="AH294" s="39"/>
      <c r="AI294" s="39"/>
      <c r="AJ294" s="42" t="str">
        <f aca="false">IF(OR($B294="",$H294=""),"",IF(AND($I294&lt;&gt;"",$I294&lt;=DateRef),"",IF(Effectif&lt;SeuilEffectif,"Non concerné (&lt; "&amp;SeuilEffectif&amp;" salariés)",IF($AH294="Oui","Pas de risque",IF(AND(OR($AI294="Non",$S294="En retard"),$AH294="Non"),"Risque abondement",IF(OR($AI294="Non",$S294="En retard"),"À vérifier (formation ?)",IF($AI294="Oui","Pas de risque","À compléter")))))))</f>
        <v/>
      </c>
      <c r="AK294" s="39"/>
    </row>
    <row r="295" customFormat="false" ht="15" hidden="false" customHeight="false" outlineLevel="0" collapsed="false">
      <c r="A295" s="39"/>
      <c r="B295" s="39"/>
      <c r="C295" s="39"/>
      <c r="D295" s="39"/>
      <c r="E295" s="39"/>
      <c r="F295" s="39"/>
      <c r="G295" s="40"/>
      <c r="H295" s="40"/>
      <c r="I295" s="40"/>
      <c r="J295" s="41" t="str">
        <f aca="false">IF(OR($B295="",$H295=""),"",IF($H295&gt;DateRef,0,YEARFRAC($H295,DateRef,1)))</f>
        <v/>
      </c>
      <c r="K295" s="42" t="str">
        <f aca="false">IF(OR($B295="",$H295=""),"",IF(EDATE($H295,12)&lt;=DateRef,"Plus d'un an","Moins d'un an"))</f>
        <v/>
      </c>
      <c r="L295" s="40"/>
      <c r="M295" s="43" t="str">
        <f aca="false">IF(OR($B295="",$A295=""),"",IF(SUMPRODUCT(MAX((Journal!$A$6:$A$1005=$A295)*Journal!$C$6:$C$1005))=0,"",SUMPRODUCT(MAX((Journal!$A$6:$A$1005=$A295)*Journal!$C$6:$C$1005))))</f>
        <v/>
      </c>
      <c r="N295" s="43" t="str">
        <f aca="false">IF($B295="","",IF(MAX($L295,$M295)=0,"",MAX($L295,$M295)))</f>
        <v/>
      </c>
      <c r="O295" s="44" t="str">
        <f aca="false">IF(OR($B295="",$H295=""),"",IF($N295="",IF(EDATE($H295,DelaiPremierEPP)&gt;DateRef,"1er EPP (1re année)","Aucun entretien renseigné"),IF(AND(ReglesTransitoires="Oui",EDATE($N295,AnciennePeriodiciteEP*12)&lt;DateVigueur),"Retard antérieur à la réforme","Périodicité "&amp;PeriodiciteEPP&amp;" ans")))</f>
        <v/>
      </c>
      <c r="P295" s="43" t="str">
        <f aca="false">IF(OR($B295="",$H295=""),"",IF($N295="",EDATE($H295,DelaiPremierEPP),IF(AND(ReglesTransitoires="Oui",EDATE($N295,AnciennePeriodiciteEP*12)&lt;DateVigueur),EDATE($N295,AnciennePeriodiciteEP*12),EDATE($N295,PeriodiciteEPP*12))))</f>
        <v/>
      </c>
      <c r="Q295" s="40"/>
      <c r="R295" s="45" t="str">
        <f aca="false">IF(OR($P295="",AND($I295&lt;&gt;"",$I295&lt;=DateRef)),"",$P295-DateRef)</f>
        <v/>
      </c>
      <c r="S295" s="42" t="str">
        <f aca="false">IF($B295="","",IF(AND($I295&lt;&gt;"",$I295&lt;=DateRef),"Sorti",IF($H295="","À compléter",IF(AND($Q295&lt;&gt;"",$Q295&gt;=DateRef,$Q295&lt;=$P295),"Planifié",IF($R295&lt;0,"En retard",IF($R295&lt;=SeuilAlerteEPP,"À planifier","À jour"))))))</f>
        <v/>
      </c>
      <c r="T295" s="46" t="str">
        <f aca="false">IF(OR($B295="",$S295="Sorti"),"",MID(IF($H295=""," | Date d'embauche manquante","")&amp;IF(AND($K295="Plus d'un an",$N295="")," | Précédent entretien à renseigner (ancienneté &gt; 1 an)","")&amp;IF($O295="Retard antérieur à la réforme"," | Ancien délai de 2 ans expiré avant la réforme","")&amp;IF(AND($N295&lt;&gt;"",$H295&lt;&gt;"",$N295&lt;$H295)," | Entretien antérieur à l'embauche ?","")&amp;IF(AND($N295&lt;&gt;"",$N295&gt;DateRef)," | Entretien daté dans le futur ?","")&amp;IF(AND($Q295&lt;&gt;"",$P295&lt;&gt;"",$Q295&gt;$P295)," | Date prévue après l'échéance","")&amp;IF(AND($Q295&lt;&gt;"",$Q295&lt;DateRef,OR($N295="",$N295&lt;$Q295))," | Entretien prévu passé : le consigner au Journal","")&amp;IF(AND($G295&lt;&gt;"",$X295="",YEAR(DateRef)-YEAR($G295)&gt;=AgeMiCarriere-1,YEAR(DateRef)-YEAR($G295)&lt;=AgeMiCarriere+1)," | Visite de mi-carrière à vérifier",""),4,1000))</f>
        <v/>
      </c>
      <c r="U295" s="39"/>
      <c r="V295" s="40"/>
      <c r="W295" s="42" t="str">
        <f aca="false">IF(OR($B295="",$V295=""),"",IF(AND($I295&lt;&gt;"",$I295&lt;=DateRef),"",IF(AND($N295&lt;&gt;"",$N295&gt;=$V295),"Réalisé",IF(AND($N295&lt;&gt;"",$N295&gt;=EDATE($V295,-FenetreRetour)),"Dispensé (EPP récent)",IF($V295&gt;DateRef,"À prévoir à la reprise","À proposer (reprise passée)")))))</f>
        <v/>
      </c>
      <c r="X295" s="40"/>
      <c r="Y295" s="43" t="str">
        <f aca="false">IF(OR($B295="",$X295=""),"",EDATE($X295,DelaiMiCarriere))</f>
        <v/>
      </c>
      <c r="Z295" s="42" t="str">
        <f aca="false">IF(OR($B295="",$X295=""),"",IF(AND($I295&lt;&gt;"",$I295&lt;=DateRef),"",IF(AND($N295&lt;&gt;"",$N295&gt;=$X295),"Réalisé",IF($Y295&lt;DateRef,"En retard","À planifier"))))</f>
        <v/>
      </c>
      <c r="AA295" s="47" t="str">
        <f aca="false">IF(OR($B295="",$G295=""),"",IF($G295&gt;DateRef,"",DATEDIF($G295,DateRef,"y")))</f>
        <v/>
      </c>
      <c r="AB295" s="43" t="str">
        <f aca="false">IF(OR($B295="",$G295=""),"",EDATE($G295,AgeFinCarriere*12))</f>
        <v/>
      </c>
      <c r="AC295" s="42" t="str">
        <f aca="false">IF(OR($B295="",$G295="",$H295=""),"",IF(AND($I295&lt;&gt;"",$I295&lt;=DateRef),"",IF($AB295&lt;DateVigueur,"Non concerné",IF(AND($N295&lt;&gt;"",$N295&gt;=MAX(EDATE($AB295,-FenetreFinCarriere*12),DateVigueur),$N295&lt;=$AB295),"Réalisé",IF(DateRef&gt;$AB295,"Non réalisé",IF(AND($Q295&lt;&gt;"",$Q295&gt;=EDATE($AB295,-FenetreFinCarriere*12),$Q295&lt;=$AB295),"Planifié dans la fenêtre",IF(AND(MAX($P295,DateRef)&gt;=EDATE($AB295,-FenetreFinCarriere*12),MAX($P295,DateRef)&lt;=$AB295),"Prochain EPP dans la fenêtre",IF(MAX($P295,DateRef)&gt;$AB295,"À programmer avant 60 ans",""))))))))</f>
        <v/>
      </c>
      <c r="AD295" s="40"/>
      <c r="AE295" s="43" t="str">
        <f aca="false">IF(OR($B295="",$H295="",AND($I295&lt;&gt;"",$I295&lt;=DateRef)),"",MAX($H295,$AD295,IF($A295="",0,SUMPRODUCT(MAX((Journal!$A$6:$A$1005=$A295)*((Journal!$D$6:$D$1005=TypeEDL)+(Journal!$D$6:$D$1005=TypeBilan6))*Journal!$C$6:$C$1005)))))</f>
        <v/>
      </c>
      <c r="AF295" s="43" t="str">
        <f aca="false">IF($AE295="","",IF(AND(ReglesTransitoires="Oui",EDATE($AE295,AnciennePeriodiciteEDL*12)&lt;DateVigueur),EDATE($AE295,AnciennePeriodiciteEDL*12),EDATE($AE295,PeriodiciteEDL*12)))</f>
        <v/>
      </c>
      <c r="AG295" s="42" t="str">
        <f aca="false">IF($AF295="","",IF(AND($I295&lt;&gt;"",$I295&lt;=DateRef),"",IF($AF295&lt;DateRef,"En retard",IF($AF295-DateRef&lt;=SeuilAlerteEDL,"À prévoir","À jour"))))</f>
        <v/>
      </c>
      <c r="AH295" s="39"/>
      <c r="AI295" s="39"/>
      <c r="AJ295" s="42" t="str">
        <f aca="false">IF(OR($B295="",$H295=""),"",IF(AND($I295&lt;&gt;"",$I295&lt;=DateRef),"",IF(Effectif&lt;SeuilEffectif,"Non concerné (&lt; "&amp;SeuilEffectif&amp;" salariés)",IF($AH295="Oui","Pas de risque",IF(AND(OR($AI295="Non",$S295="En retard"),$AH295="Non"),"Risque abondement",IF(OR($AI295="Non",$S295="En retard"),"À vérifier (formation ?)",IF($AI295="Oui","Pas de risque","À compléter")))))))</f>
        <v/>
      </c>
      <c r="AK295" s="39"/>
    </row>
    <row r="296" customFormat="false" ht="15" hidden="false" customHeight="false" outlineLevel="0" collapsed="false">
      <c r="A296" s="39"/>
      <c r="B296" s="39"/>
      <c r="C296" s="39"/>
      <c r="D296" s="39"/>
      <c r="E296" s="39"/>
      <c r="F296" s="39"/>
      <c r="G296" s="40"/>
      <c r="H296" s="40"/>
      <c r="I296" s="40"/>
      <c r="J296" s="41" t="str">
        <f aca="false">IF(OR($B296="",$H296=""),"",IF($H296&gt;DateRef,0,YEARFRAC($H296,DateRef,1)))</f>
        <v/>
      </c>
      <c r="K296" s="42" t="str">
        <f aca="false">IF(OR($B296="",$H296=""),"",IF(EDATE($H296,12)&lt;=DateRef,"Plus d'un an","Moins d'un an"))</f>
        <v/>
      </c>
      <c r="L296" s="40"/>
      <c r="M296" s="43" t="str">
        <f aca="false">IF(OR($B296="",$A296=""),"",IF(SUMPRODUCT(MAX((Journal!$A$6:$A$1005=$A296)*Journal!$C$6:$C$1005))=0,"",SUMPRODUCT(MAX((Journal!$A$6:$A$1005=$A296)*Journal!$C$6:$C$1005))))</f>
        <v/>
      </c>
      <c r="N296" s="43" t="str">
        <f aca="false">IF($B296="","",IF(MAX($L296,$M296)=0,"",MAX($L296,$M296)))</f>
        <v/>
      </c>
      <c r="O296" s="44" t="str">
        <f aca="false">IF(OR($B296="",$H296=""),"",IF($N296="",IF(EDATE($H296,DelaiPremierEPP)&gt;DateRef,"1er EPP (1re année)","Aucun entretien renseigné"),IF(AND(ReglesTransitoires="Oui",EDATE($N296,AnciennePeriodiciteEP*12)&lt;DateVigueur),"Retard antérieur à la réforme","Périodicité "&amp;PeriodiciteEPP&amp;" ans")))</f>
        <v/>
      </c>
      <c r="P296" s="43" t="str">
        <f aca="false">IF(OR($B296="",$H296=""),"",IF($N296="",EDATE($H296,DelaiPremierEPP),IF(AND(ReglesTransitoires="Oui",EDATE($N296,AnciennePeriodiciteEP*12)&lt;DateVigueur),EDATE($N296,AnciennePeriodiciteEP*12),EDATE($N296,PeriodiciteEPP*12))))</f>
        <v/>
      </c>
      <c r="Q296" s="40"/>
      <c r="R296" s="45" t="str">
        <f aca="false">IF(OR($P296="",AND($I296&lt;&gt;"",$I296&lt;=DateRef)),"",$P296-DateRef)</f>
        <v/>
      </c>
      <c r="S296" s="42" t="str">
        <f aca="false">IF($B296="","",IF(AND($I296&lt;&gt;"",$I296&lt;=DateRef),"Sorti",IF($H296="","À compléter",IF(AND($Q296&lt;&gt;"",$Q296&gt;=DateRef,$Q296&lt;=$P296),"Planifié",IF($R296&lt;0,"En retard",IF($R296&lt;=SeuilAlerteEPP,"À planifier","À jour"))))))</f>
        <v/>
      </c>
      <c r="T296" s="46" t="str">
        <f aca="false">IF(OR($B296="",$S296="Sorti"),"",MID(IF($H296=""," | Date d'embauche manquante","")&amp;IF(AND($K296="Plus d'un an",$N296="")," | Précédent entretien à renseigner (ancienneté &gt; 1 an)","")&amp;IF($O296="Retard antérieur à la réforme"," | Ancien délai de 2 ans expiré avant la réforme","")&amp;IF(AND($N296&lt;&gt;"",$H296&lt;&gt;"",$N296&lt;$H296)," | Entretien antérieur à l'embauche ?","")&amp;IF(AND($N296&lt;&gt;"",$N296&gt;DateRef)," | Entretien daté dans le futur ?","")&amp;IF(AND($Q296&lt;&gt;"",$P296&lt;&gt;"",$Q296&gt;$P296)," | Date prévue après l'échéance","")&amp;IF(AND($Q296&lt;&gt;"",$Q296&lt;DateRef,OR($N296="",$N296&lt;$Q296))," | Entretien prévu passé : le consigner au Journal","")&amp;IF(AND($G296&lt;&gt;"",$X296="",YEAR(DateRef)-YEAR($G296)&gt;=AgeMiCarriere-1,YEAR(DateRef)-YEAR($G296)&lt;=AgeMiCarriere+1)," | Visite de mi-carrière à vérifier",""),4,1000))</f>
        <v/>
      </c>
      <c r="U296" s="39"/>
      <c r="V296" s="40"/>
      <c r="W296" s="42" t="str">
        <f aca="false">IF(OR($B296="",$V296=""),"",IF(AND($I296&lt;&gt;"",$I296&lt;=DateRef),"",IF(AND($N296&lt;&gt;"",$N296&gt;=$V296),"Réalisé",IF(AND($N296&lt;&gt;"",$N296&gt;=EDATE($V296,-FenetreRetour)),"Dispensé (EPP récent)",IF($V296&gt;DateRef,"À prévoir à la reprise","À proposer (reprise passée)")))))</f>
        <v/>
      </c>
      <c r="X296" s="40"/>
      <c r="Y296" s="43" t="str">
        <f aca="false">IF(OR($B296="",$X296=""),"",EDATE($X296,DelaiMiCarriere))</f>
        <v/>
      </c>
      <c r="Z296" s="42" t="str">
        <f aca="false">IF(OR($B296="",$X296=""),"",IF(AND($I296&lt;&gt;"",$I296&lt;=DateRef),"",IF(AND($N296&lt;&gt;"",$N296&gt;=$X296),"Réalisé",IF($Y296&lt;DateRef,"En retard","À planifier"))))</f>
        <v/>
      </c>
      <c r="AA296" s="47" t="str">
        <f aca="false">IF(OR($B296="",$G296=""),"",IF($G296&gt;DateRef,"",DATEDIF($G296,DateRef,"y")))</f>
        <v/>
      </c>
      <c r="AB296" s="43" t="str">
        <f aca="false">IF(OR($B296="",$G296=""),"",EDATE($G296,AgeFinCarriere*12))</f>
        <v/>
      </c>
      <c r="AC296" s="42" t="str">
        <f aca="false">IF(OR($B296="",$G296="",$H296=""),"",IF(AND($I296&lt;&gt;"",$I296&lt;=DateRef),"",IF($AB296&lt;DateVigueur,"Non concerné",IF(AND($N296&lt;&gt;"",$N296&gt;=MAX(EDATE($AB296,-FenetreFinCarriere*12),DateVigueur),$N296&lt;=$AB296),"Réalisé",IF(DateRef&gt;$AB296,"Non réalisé",IF(AND($Q296&lt;&gt;"",$Q296&gt;=EDATE($AB296,-FenetreFinCarriere*12),$Q296&lt;=$AB296),"Planifié dans la fenêtre",IF(AND(MAX($P296,DateRef)&gt;=EDATE($AB296,-FenetreFinCarriere*12),MAX($P296,DateRef)&lt;=$AB296),"Prochain EPP dans la fenêtre",IF(MAX($P296,DateRef)&gt;$AB296,"À programmer avant 60 ans",""))))))))</f>
        <v/>
      </c>
      <c r="AD296" s="40"/>
      <c r="AE296" s="43" t="str">
        <f aca="false">IF(OR($B296="",$H296="",AND($I296&lt;&gt;"",$I296&lt;=DateRef)),"",MAX($H296,$AD296,IF($A296="",0,SUMPRODUCT(MAX((Journal!$A$6:$A$1005=$A296)*((Journal!$D$6:$D$1005=TypeEDL)+(Journal!$D$6:$D$1005=TypeBilan6))*Journal!$C$6:$C$1005)))))</f>
        <v/>
      </c>
      <c r="AF296" s="43" t="str">
        <f aca="false">IF($AE296="","",IF(AND(ReglesTransitoires="Oui",EDATE($AE296,AnciennePeriodiciteEDL*12)&lt;DateVigueur),EDATE($AE296,AnciennePeriodiciteEDL*12),EDATE($AE296,PeriodiciteEDL*12)))</f>
        <v/>
      </c>
      <c r="AG296" s="42" t="str">
        <f aca="false">IF($AF296="","",IF(AND($I296&lt;&gt;"",$I296&lt;=DateRef),"",IF($AF296&lt;DateRef,"En retard",IF($AF296-DateRef&lt;=SeuilAlerteEDL,"À prévoir","À jour"))))</f>
        <v/>
      </c>
      <c r="AH296" s="39"/>
      <c r="AI296" s="39"/>
      <c r="AJ296" s="42" t="str">
        <f aca="false">IF(OR($B296="",$H296=""),"",IF(AND($I296&lt;&gt;"",$I296&lt;=DateRef),"",IF(Effectif&lt;SeuilEffectif,"Non concerné (&lt; "&amp;SeuilEffectif&amp;" salariés)",IF($AH296="Oui","Pas de risque",IF(AND(OR($AI296="Non",$S296="En retard"),$AH296="Non"),"Risque abondement",IF(OR($AI296="Non",$S296="En retard"),"À vérifier (formation ?)",IF($AI296="Oui","Pas de risque","À compléter")))))))</f>
        <v/>
      </c>
      <c r="AK296" s="39"/>
    </row>
    <row r="297" customFormat="false" ht="15" hidden="false" customHeight="false" outlineLevel="0" collapsed="false">
      <c r="A297" s="39"/>
      <c r="B297" s="39"/>
      <c r="C297" s="39"/>
      <c r="D297" s="39"/>
      <c r="E297" s="39"/>
      <c r="F297" s="39"/>
      <c r="G297" s="40"/>
      <c r="H297" s="40"/>
      <c r="I297" s="40"/>
      <c r="J297" s="41" t="str">
        <f aca="false">IF(OR($B297="",$H297=""),"",IF($H297&gt;DateRef,0,YEARFRAC($H297,DateRef,1)))</f>
        <v/>
      </c>
      <c r="K297" s="42" t="str">
        <f aca="false">IF(OR($B297="",$H297=""),"",IF(EDATE($H297,12)&lt;=DateRef,"Plus d'un an","Moins d'un an"))</f>
        <v/>
      </c>
      <c r="L297" s="40"/>
      <c r="M297" s="43" t="str">
        <f aca="false">IF(OR($B297="",$A297=""),"",IF(SUMPRODUCT(MAX((Journal!$A$6:$A$1005=$A297)*Journal!$C$6:$C$1005))=0,"",SUMPRODUCT(MAX((Journal!$A$6:$A$1005=$A297)*Journal!$C$6:$C$1005))))</f>
        <v/>
      </c>
      <c r="N297" s="43" t="str">
        <f aca="false">IF($B297="","",IF(MAX($L297,$M297)=0,"",MAX($L297,$M297)))</f>
        <v/>
      </c>
      <c r="O297" s="44" t="str">
        <f aca="false">IF(OR($B297="",$H297=""),"",IF($N297="",IF(EDATE($H297,DelaiPremierEPP)&gt;DateRef,"1er EPP (1re année)","Aucun entretien renseigné"),IF(AND(ReglesTransitoires="Oui",EDATE($N297,AnciennePeriodiciteEP*12)&lt;DateVigueur),"Retard antérieur à la réforme","Périodicité "&amp;PeriodiciteEPP&amp;" ans")))</f>
        <v/>
      </c>
      <c r="P297" s="43" t="str">
        <f aca="false">IF(OR($B297="",$H297=""),"",IF($N297="",EDATE($H297,DelaiPremierEPP),IF(AND(ReglesTransitoires="Oui",EDATE($N297,AnciennePeriodiciteEP*12)&lt;DateVigueur),EDATE($N297,AnciennePeriodiciteEP*12),EDATE($N297,PeriodiciteEPP*12))))</f>
        <v/>
      </c>
      <c r="Q297" s="40"/>
      <c r="R297" s="45" t="str">
        <f aca="false">IF(OR($P297="",AND($I297&lt;&gt;"",$I297&lt;=DateRef)),"",$P297-DateRef)</f>
        <v/>
      </c>
      <c r="S297" s="42" t="str">
        <f aca="false">IF($B297="","",IF(AND($I297&lt;&gt;"",$I297&lt;=DateRef),"Sorti",IF($H297="","À compléter",IF(AND($Q297&lt;&gt;"",$Q297&gt;=DateRef,$Q297&lt;=$P297),"Planifié",IF($R297&lt;0,"En retard",IF($R297&lt;=SeuilAlerteEPP,"À planifier","À jour"))))))</f>
        <v/>
      </c>
      <c r="T297" s="46" t="str">
        <f aca="false">IF(OR($B297="",$S297="Sorti"),"",MID(IF($H297=""," | Date d'embauche manquante","")&amp;IF(AND($K297="Plus d'un an",$N297="")," | Précédent entretien à renseigner (ancienneté &gt; 1 an)","")&amp;IF($O297="Retard antérieur à la réforme"," | Ancien délai de 2 ans expiré avant la réforme","")&amp;IF(AND($N297&lt;&gt;"",$H297&lt;&gt;"",$N297&lt;$H297)," | Entretien antérieur à l'embauche ?","")&amp;IF(AND($N297&lt;&gt;"",$N297&gt;DateRef)," | Entretien daté dans le futur ?","")&amp;IF(AND($Q297&lt;&gt;"",$P297&lt;&gt;"",$Q297&gt;$P297)," | Date prévue après l'échéance","")&amp;IF(AND($Q297&lt;&gt;"",$Q297&lt;DateRef,OR($N297="",$N297&lt;$Q297))," | Entretien prévu passé : le consigner au Journal","")&amp;IF(AND($G297&lt;&gt;"",$X297="",YEAR(DateRef)-YEAR($G297)&gt;=AgeMiCarriere-1,YEAR(DateRef)-YEAR($G297)&lt;=AgeMiCarriere+1)," | Visite de mi-carrière à vérifier",""),4,1000))</f>
        <v/>
      </c>
      <c r="U297" s="39"/>
      <c r="V297" s="40"/>
      <c r="W297" s="42" t="str">
        <f aca="false">IF(OR($B297="",$V297=""),"",IF(AND($I297&lt;&gt;"",$I297&lt;=DateRef),"",IF(AND($N297&lt;&gt;"",$N297&gt;=$V297),"Réalisé",IF(AND($N297&lt;&gt;"",$N297&gt;=EDATE($V297,-FenetreRetour)),"Dispensé (EPP récent)",IF($V297&gt;DateRef,"À prévoir à la reprise","À proposer (reprise passée)")))))</f>
        <v/>
      </c>
      <c r="X297" s="40"/>
      <c r="Y297" s="43" t="str">
        <f aca="false">IF(OR($B297="",$X297=""),"",EDATE($X297,DelaiMiCarriere))</f>
        <v/>
      </c>
      <c r="Z297" s="42" t="str">
        <f aca="false">IF(OR($B297="",$X297=""),"",IF(AND($I297&lt;&gt;"",$I297&lt;=DateRef),"",IF(AND($N297&lt;&gt;"",$N297&gt;=$X297),"Réalisé",IF($Y297&lt;DateRef,"En retard","À planifier"))))</f>
        <v/>
      </c>
      <c r="AA297" s="47" t="str">
        <f aca="false">IF(OR($B297="",$G297=""),"",IF($G297&gt;DateRef,"",DATEDIF($G297,DateRef,"y")))</f>
        <v/>
      </c>
      <c r="AB297" s="43" t="str">
        <f aca="false">IF(OR($B297="",$G297=""),"",EDATE($G297,AgeFinCarriere*12))</f>
        <v/>
      </c>
      <c r="AC297" s="42" t="str">
        <f aca="false">IF(OR($B297="",$G297="",$H297=""),"",IF(AND($I297&lt;&gt;"",$I297&lt;=DateRef),"",IF($AB297&lt;DateVigueur,"Non concerné",IF(AND($N297&lt;&gt;"",$N297&gt;=MAX(EDATE($AB297,-FenetreFinCarriere*12),DateVigueur),$N297&lt;=$AB297),"Réalisé",IF(DateRef&gt;$AB297,"Non réalisé",IF(AND($Q297&lt;&gt;"",$Q297&gt;=EDATE($AB297,-FenetreFinCarriere*12),$Q297&lt;=$AB297),"Planifié dans la fenêtre",IF(AND(MAX($P297,DateRef)&gt;=EDATE($AB297,-FenetreFinCarriere*12),MAX($P297,DateRef)&lt;=$AB297),"Prochain EPP dans la fenêtre",IF(MAX($P297,DateRef)&gt;$AB297,"À programmer avant 60 ans",""))))))))</f>
        <v/>
      </c>
      <c r="AD297" s="40"/>
      <c r="AE297" s="43" t="str">
        <f aca="false">IF(OR($B297="",$H297="",AND($I297&lt;&gt;"",$I297&lt;=DateRef)),"",MAX($H297,$AD297,IF($A297="",0,SUMPRODUCT(MAX((Journal!$A$6:$A$1005=$A297)*((Journal!$D$6:$D$1005=TypeEDL)+(Journal!$D$6:$D$1005=TypeBilan6))*Journal!$C$6:$C$1005)))))</f>
        <v/>
      </c>
      <c r="AF297" s="43" t="str">
        <f aca="false">IF($AE297="","",IF(AND(ReglesTransitoires="Oui",EDATE($AE297,AnciennePeriodiciteEDL*12)&lt;DateVigueur),EDATE($AE297,AnciennePeriodiciteEDL*12),EDATE($AE297,PeriodiciteEDL*12)))</f>
        <v/>
      </c>
      <c r="AG297" s="42" t="str">
        <f aca="false">IF($AF297="","",IF(AND($I297&lt;&gt;"",$I297&lt;=DateRef),"",IF($AF297&lt;DateRef,"En retard",IF($AF297-DateRef&lt;=SeuilAlerteEDL,"À prévoir","À jour"))))</f>
        <v/>
      </c>
      <c r="AH297" s="39"/>
      <c r="AI297" s="39"/>
      <c r="AJ297" s="42" t="str">
        <f aca="false">IF(OR($B297="",$H297=""),"",IF(AND($I297&lt;&gt;"",$I297&lt;=DateRef),"",IF(Effectif&lt;SeuilEffectif,"Non concerné (&lt; "&amp;SeuilEffectif&amp;" salariés)",IF($AH297="Oui","Pas de risque",IF(AND(OR($AI297="Non",$S297="En retard"),$AH297="Non"),"Risque abondement",IF(OR($AI297="Non",$S297="En retard"),"À vérifier (formation ?)",IF($AI297="Oui","Pas de risque","À compléter")))))))</f>
        <v/>
      </c>
      <c r="AK297" s="39"/>
    </row>
    <row r="298" customFormat="false" ht="15" hidden="false" customHeight="false" outlineLevel="0" collapsed="false">
      <c r="A298" s="39"/>
      <c r="B298" s="39"/>
      <c r="C298" s="39"/>
      <c r="D298" s="39"/>
      <c r="E298" s="39"/>
      <c r="F298" s="39"/>
      <c r="G298" s="40"/>
      <c r="H298" s="40"/>
      <c r="I298" s="40"/>
      <c r="J298" s="41" t="str">
        <f aca="false">IF(OR($B298="",$H298=""),"",IF($H298&gt;DateRef,0,YEARFRAC($H298,DateRef,1)))</f>
        <v/>
      </c>
      <c r="K298" s="42" t="str">
        <f aca="false">IF(OR($B298="",$H298=""),"",IF(EDATE($H298,12)&lt;=DateRef,"Plus d'un an","Moins d'un an"))</f>
        <v/>
      </c>
      <c r="L298" s="40"/>
      <c r="M298" s="43" t="str">
        <f aca="false">IF(OR($B298="",$A298=""),"",IF(SUMPRODUCT(MAX((Journal!$A$6:$A$1005=$A298)*Journal!$C$6:$C$1005))=0,"",SUMPRODUCT(MAX((Journal!$A$6:$A$1005=$A298)*Journal!$C$6:$C$1005))))</f>
        <v/>
      </c>
      <c r="N298" s="43" t="str">
        <f aca="false">IF($B298="","",IF(MAX($L298,$M298)=0,"",MAX($L298,$M298)))</f>
        <v/>
      </c>
      <c r="O298" s="44" t="str">
        <f aca="false">IF(OR($B298="",$H298=""),"",IF($N298="",IF(EDATE($H298,DelaiPremierEPP)&gt;DateRef,"1er EPP (1re année)","Aucun entretien renseigné"),IF(AND(ReglesTransitoires="Oui",EDATE($N298,AnciennePeriodiciteEP*12)&lt;DateVigueur),"Retard antérieur à la réforme","Périodicité "&amp;PeriodiciteEPP&amp;" ans")))</f>
        <v/>
      </c>
      <c r="P298" s="43" t="str">
        <f aca="false">IF(OR($B298="",$H298=""),"",IF($N298="",EDATE($H298,DelaiPremierEPP),IF(AND(ReglesTransitoires="Oui",EDATE($N298,AnciennePeriodiciteEP*12)&lt;DateVigueur),EDATE($N298,AnciennePeriodiciteEP*12),EDATE($N298,PeriodiciteEPP*12))))</f>
        <v/>
      </c>
      <c r="Q298" s="40"/>
      <c r="R298" s="45" t="str">
        <f aca="false">IF(OR($P298="",AND($I298&lt;&gt;"",$I298&lt;=DateRef)),"",$P298-DateRef)</f>
        <v/>
      </c>
      <c r="S298" s="42" t="str">
        <f aca="false">IF($B298="","",IF(AND($I298&lt;&gt;"",$I298&lt;=DateRef),"Sorti",IF($H298="","À compléter",IF(AND($Q298&lt;&gt;"",$Q298&gt;=DateRef,$Q298&lt;=$P298),"Planifié",IF($R298&lt;0,"En retard",IF($R298&lt;=SeuilAlerteEPP,"À planifier","À jour"))))))</f>
        <v/>
      </c>
      <c r="T298" s="46" t="str">
        <f aca="false">IF(OR($B298="",$S298="Sorti"),"",MID(IF($H298=""," | Date d'embauche manquante","")&amp;IF(AND($K298="Plus d'un an",$N298="")," | Précédent entretien à renseigner (ancienneté &gt; 1 an)","")&amp;IF($O298="Retard antérieur à la réforme"," | Ancien délai de 2 ans expiré avant la réforme","")&amp;IF(AND($N298&lt;&gt;"",$H298&lt;&gt;"",$N298&lt;$H298)," | Entretien antérieur à l'embauche ?","")&amp;IF(AND($N298&lt;&gt;"",$N298&gt;DateRef)," | Entretien daté dans le futur ?","")&amp;IF(AND($Q298&lt;&gt;"",$P298&lt;&gt;"",$Q298&gt;$P298)," | Date prévue après l'échéance","")&amp;IF(AND($Q298&lt;&gt;"",$Q298&lt;DateRef,OR($N298="",$N298&lt;$Q298))," | Entretien prévu passé : le consigner au Journal","")&amp;IF(AND($G298&lt;&gt;"",$X298="",YEAR(DateRef)-YEAR($G298)&gt;=AgeMiCarriere-1,YEAR(DateRef)-YEAR($G298)&lt;=AgeMiCarriere+1)," | Visite de mi-carrière à vérifier",""),4,1000))</f>
        <v/>
      </c>
      <c r="U298" s="39"/>
      <c r="V298" s="40"/>
      <c r="W298" s="42" t="str">
        <f aca="false">IF(OR($B298="",$V298=""),"",IF(AND($I298&lt;&gt;"",$I298&lt;=DateRef),"",IF(AND($N298&lt;&gt;"",$N298&gt;=$V298),"Réalisé",IF(AND($N298&lt;&gt;"",$N298&gt;=EDATE($V298,-FenetreRetour)),"Dispensé (EPP récent)",IF($V298&gt;DateRef,"À prévoir à la reprise","À proposer (reprise passée)")))))</f>
        <v/>
      </c>
      <c r="X298" s="40"/>
      <c r="Y298" s="43" t="str">
        <f aca="false">IF(OR($B298="",$X298=""),"",EDATE($X298,DelaiMiCarriere))</f>
        <v/>
      </c>
      <c r="Z298" s="42" t="str">
        <f aca="false">IF(OR($B298="",$X298=""),"",IF(AND($I298&lt;&gt;"",$I298&lt;=DateRef),"",IF(AND($N298&lt;&gt;"",$N298&gt;=$X298),"Réalisé",IF($Y298&lt;DateRef,"En retard","À planifier"))))</f>
        <v/>
      </c>
      <c r="AA298" s="47" t="str">
        <f aca="false">IF(OR($B298="",$G298=""),"",IF($G298&gt;DateRef,"",DATEDIF($G298,DateRef,"y")))</f>
        <v/>
      </c>
      <c r="AB298" s="43" t="str">
        <f aca="false">IF(OR($B298="",$G298=""),"",EDATE($G298,AgeFinCarriere*12))</f>
        <v/>
      </c>
      <c r="AC298" s="42" t="str">
        <f aca="false">IF(OR($B298="",$G298="",$H298=""),"",IF(AND($I298&lt;&gt;"",$I298&lt;=DateRef),"",IF($AB298&lt;DateVigueur,"Non concerné",IF(AND($N298&lt;&gt;"",$N298&gt;=MAX(EDATE($AB298,-FenetreFinCarriere*12),DateVigueur),$N298&lt;=$AB298),"Réalisé",IF(DateRef&gt;$AB298,"Non réalisé",IF(AND($Q298&lt;&gt;"",$Q298&gt;=EDATE($AB298,-FenetreFinCarriere*12),$Q298&lt;=$AB298),"Planifié dans la fenêtre",IF(AND(MAX($P298,DateRef)&gt;=EDATE($AB298,-FenetreFinCarriere*12),MAX($P298,DateRef)&lt;=$AB298),"Prochain EPP dans la fenêtre",IF(MAX($P298,DateRef)&gt;$AB298,"À programmer avant 60 ans",""))))))))</f>
        <v/>
      </c>
      <c r="AD298" s="40"/>
      <c r="AE298" s="43" t="str">
        <f aca="false">IF(OR($B298="",$H298="",AND($I298&lt;&gt;"",$I298&lt;=DateRef)),"",MAX($H298,$AD298,IF($A298="",0,SUMPRODUCT(MAX((Journal!$A$6:$A$1005=$A298)*((Journal!$D$6:$D$1005=TypeEDL)+(Journal!$D$6:$D$1005=TypeBilan6))*Journal!$C$6:$C$1005)))))</f>
        <v/>
      </c>
      <c r="AF298" s="43" t="str">
        <f aca="false">IF($AE298="","",IF(AND(ReglesTransitoires="Oui",EDATE($AE298,AnciennePeriodiciteEDL*12)&lt;DateVigueur),EDATE($AE298,AnciennePeriodiciteEDL*12),EDATE($AE298,PeriodiciteEDL*12)))</f>
        <v/>
      </c>
      <c r="AG298" s="42" t="str">
        <f aca="false">IF($AF298="","",IF(AND($I298&lt;&gt;"",$I298&lt;=DateRef),"",IF($AF298&lt;DateRef,"En retard",IF($AF298-DateRef&lt;=SeuilAlerteEDL,"À prévoir","À jour"))))</f>
        <v/>
      </c>
      <c r="AH298" s="39"/>
      <c r="AI298" s="39"/>
      <c r="AJ298" s="42" t="str">
        <f aca="false">IF(OR($B298="",$H298=""),"",IF(AND($I298&lt;&gt;"",$I298&lt;=DateRef),"",IF(Effectif&lt;SeuilEffectif,"Non concerné (&lt; "&amp;SeuilEffectif&amp;" salariés)",IF($AH298="Oui","Pas de risque",IF(AND(OR($AI298="Non",$S298="En retard"),$AH298="Non"),"Risque abondement",IF(OR($AI298="Non",$S298="En retard"),"À vérifier (formation ?)",IF($AI298="Oui","Pas de risque","À compléter")))))))</f>
        <v/>
      </c>
      <c r="AK298" s="39"/>
    </row>
    <row r="299" customFormat="false" ht="15" hidden="false" customHeight="false" outlineLevel="0" collapsed="false">
      <c r="A299" s="39"/>
      <c r="B299" s="39"/>
      <c r="C299" s="39"/>
      <c r="D299" s="39"/>
      <c r="E299" s="39"/>
      <c r="F299" s="39"/>
      <c r="G299" s="40"/>
      <c r="H299" s="40"/>
      <c r="I299" s="40"/>
      <c r="J299" s="41" t="str">
        <f aca="false">IF(OR($B299="",$H299=""),"",IF($H299&gt;DateRef,0,YEARFRAC($H299,DateRef,1)))</f>
        <v/>
      </c>
      <c r="K299" s="42" t="str">
        <f aca="false">IF(OR($B299="",$H299=""),"",IF(EDATE($H299,12)&lt;=DateRef,"Plus d'un an","Moins d'un an"))</f>
        <v/>
      </c>
      <c r="L299" s="40"/>
      <c r="M299" s="43" t="str">
        <f aca="false">IF(OR($B299="",$A299=""),"",IF(SUMPRODUCT(MAX((Journal!$A$6:$A$1005=$A299)*Journal!$C$6:$C$1005))=0,"",SUMPRODUCT(MAX((Journal!$A$6:$A$1005=$A299)*Journal!$C$6:$C$1005))))</f>
        <v/>
      </c>
      <c r="N299" s="43" t="str">
        <f aca="false">IF($B299="","",IF(MAX($L299,$M299)=0,"",MAX($L299,$M299)))</f>
        <v/>
      </c>
      <c r="O299" s="44" t="str">
        <f aca="false">IF(OR($B299="",$H299=""),"",IF($N299="",IF(EDATE($H299,DelaiPremierEPP)&gt;DateRef,"1er EPP (1re année)","Aucun entretien renseigné"),IF(AND(ReglesTransitoires="Oui",EDATE($N299,AnciennePeriodiciteEP*12)&lt;DateVigueur),"Retard antérieur à la réforme","Périodicité "&amp;PeriodiciteEPP&amp;" ans")))</f>
        <v/>
      </c>
      <c r="P299" s="43" t="str">
        <f aca="false">IF(OR($B299="",$H299=""),"",IF($N299="",EDATE($H299,DelaiPremierEPP),IF(AND(ReglesTransitoires="Oui",EDATE($N299,AnciennePeriodiciteEP*12)&lt;DateVigueur),EDATE($N299,AnciennePeriodiciteEP*12),EDATE($N299,PeriodiciteEPP*12))))</f>
        <v/>
      </c>
      <c r="Q299" s="40"/>
      <c r="R299" s="45" t="str">
        <f aca="false">IF(OR($P299="",AND($I299&lt;&gt;"",$I299&lt;=DateRef)),"",$P299-DateRef)</f>
        <v/>
      </c>
      <c r="S299" s="42" t="str">
        <f aca="false">IF($B299="","",IF(AND($I299&lt;&gt;"",$I299&lt;=DateRef),"Sorti",IF($H299="","À compléter",IF(AND($Q299&lt;&gt;"",$Q299&gt;=DateRef,$Q299&lt;=$P299),"Planifié",IF($R299&lt;0,"En retard",IF($R299&lt;=SeuilAlerteEPP,"À planifier","À jour"))))))</f>
        <v/>
      </c>
      <c r="T299" s="46" t="str">
        <f aca="false">IF(OR($B299="",$S299="Sorti"),"",MID(IF($H299=""," | Date d'embauche manquante","")&amp;IF(AND($K299="Plus d'un an",$N299="")," | Précédent entretien à renseigner (ancienneté &gt; 1 an)","")&amp;IF($O299="Retard antérieur à la réforme"," | Ancien délai de 2 ans expiré avant la réforme","")&amp;IF(AND($N299&lt;&gt;"",$H299&lt;&gt;"",$N299&lt;$H299)," | Entretien antérieur à l'embauche ?","")&amp;IF(AND($N299&lt;&gt;"",$N299&gt;DateRef)," | Entretien daté dans le futur ?","")&amp;IF(AND($Q299&lt;&gt;"",$P299&lt;&gt;"",$Q299&gt;$P299)," | Date prévue après l'échéance","")&amp;IF(AND($Q299&lt;&gt;"",$Q299&lt;DateRef,OR($N299="",$N299&lt;$Q299))," | Entretien prévu passé : le consigner au Journal","")&amp;IF(AND($G299&lt;&gt;"",$X299="",YEAR(DateRef)-YEAR($G299)&gt;=AgeMiCarriere-1,YEAR(DateRef)-YEAR($G299)&lt;=AgeMiCarriere+1)," | Visite de mi-carrière à vérifier",""),4,1000))</f>
        <v/>
      </c>
      <c r="U299" s="39"/>
      <c r="V299" s="40"/>
      <c r="W299" s="42" t="str">
        <f aca="false">IF(OR($B299="",$V299=""),"",IF(AND($I299&lt;&gt;"",$I299&lt;=DateRef),"",IF(AND($N299&lt;&gt;"",$N299&gt;=$V299),"Réalisé",IF(AND($N299&lt;&gt;"",$N299&gt;=EDATE($V299,-FenetreRetour)),"Dispensé (EPP récent)",IF($V299&gt;DateRef,"À prévoir à la reprise","À proposer (reprise passée)")))))</f>
        <v/>
      </c>
      <c r="X299" s="40"/>
      <c r="Y299" s="43" t="str">
        <f aca="false">IF(OR($B299="",$X299=""),"",EDATE($X299,DelaiMiCarriere))</f>
        <v/>
      </c>
      <c r="Z299" s="42" t="str">
        <f aca="false">IF(OR($B299="",$X299=""),"",IF(AND($I299&lt;&gt;"",$I299&lt;=DateRef),"",IF(AND($N299&lt;&gt;"",$N299&gt;=$X299),"Réalisé",IF($Y299&lt;DateRef,"En retard","À planifier"))))</f>
        <v/>
      </c>
      <c r="AA299" s="47" t="str">
        <f aca="false">IF(OR($B299="",$G299=""),"",IF($G299&gt;DateRef,"",DATEDIF($G299,DateRef,"y")))</f>
        <v/>
      </c>
      <c r="AB299" s="43" t="str">
        <f aca="false">IF(OR($B299="",$G299=""),"",EDATE($G299,AgeFinCarriere*12))</f>
        <v/>
      </c>
      <c r="AC299" s="42" t="str">
        <f aca="false">IF(OR($B299="",$G299="",$H299=""),"",IF(AND($I299&lt;&gt;"",$I299&lt;=DateRef),"",IF($AB299&lt;DateVigueur,"Non concerné",IF(AND($N299&lt;&gt;"",$N299&gt;=MAX(EDATE($AB299,-FenetreFinCarriere*12),DateVigueur),$N299&lt;=$AB299),"Réalisé",IF(DateRef&gt;$AB299,"Non réalisé",IF(AND($Q299&lt;&gt;"",$Q299&gt;=EDATE($AB299,-FenetreFinCarriere*12),$Q299&lt;=$AB299),"Planifié dans la fenêtre",IF(AND(MAX($P299,DateRef)&gt;=EDATE($AB299,-FenetreFinCarriere*12),MAX($P299,DateRef)&lt;=$AB299),"Prochain EPP dans la fenêtre",IF(MAX($P299,DateRef)&gt;$AB299,"À programmer avant 60 ans",""))))))))</f>
        <v/>
      </c>
      <c r="AD299" s="40"/>
      <c r="AE299" s="43" t="str">
        <f aca="false">IF(OR($B299="",$H299="",AND($I299&lt;&gt;"",$I299&lt;=DateRef)),"",MAX($H299,$AD299,IF($A299="",0,SUMPRODUCT(MAX((Journal!$A$6:$A$1005=$A299)*((Journal!$D$6:$D$1005=TypeEDL)+(Journal!$D$6:$D$1005=TypeBilan6))*Journal!$C$6:$C$1005)))))</f>
        <v/>
      </c>
      <c r="AF299" s="43" t="str">
        <f aca="false">IF($AE299="","",IF(AND(ReglesTransitoires="Oui",EDATE($AE299,AnciennePeriodiciteEDL*12)&lt;DateVigueur),EDATE($AE299,AnciennePeriodiciteEDL*12),EDATE($AE299,PeriodiciteEDL*12)))</f>
        <v/>
      </c>
      <c r="AG299" s="42" t="str">
        <f aca="false">IF($AF299="","",IF(AND($I299&lt;&gt;"",$I299&lt;=DateRef),"",IF($AF299&lt;DateRef,"En retard",IF($AF299-DateRef&lt;=SeuilAlerteEDL,"À prévoir","À jour"))))</f>
        <v/>
      </c>
      <c r="AH299" s="39"/>
      <c r="AI299" s="39"/>
      <c r="AJ299" s="42" t="str">
        <f aca="false">IF(OR($B299="",$H299=""),"",IF(AND($I299&lt;&gt;"",$I299&lt;=DateRef),"",IF(Effectif&lt;SeuilEffectif,"Non concerné (&lt; "&amp;SeuilEffectif&amp;" salariés)",IF($AH299="Oui","Pas de risque",IF(AND(OR($AI299="Non",$S299="En retard"),$AH299="Non"),"Risque abondement",IF(OR($AI299="Non",$S299="En retard"),"À vérifier (formation ?)",IF($AI299="Oui","Pas de risque","À compléter")))))))</f>
        <v/>
      </c>
      <c r="AK299" s="39"/>
    </row>
    <row r="300" customFormat="false" ht="15" hidden="false" customHeight="false" outlineLevel="0" collapsed="false">
      <c r="A300" s="39"/>
      <c r="B300" s="39"/>
      <c r="C300" s="39"/>
      <c r="D300" s="39"/>
      <c r="E300" s="39"/>
      <c r="F300" s="39"/>
      <c r="G300" s="40"/>
      <c r="H300" s="40"/>
      <c r="I300" s="40"/>
      <c r="J300" s="41" t="str">
        <f aca="false">IF(OR($B300="",$H300=""),"",IF($H300&gt;DateRef,0,YEARFRAC($H300,DateRef,1)))</f>
        <v/>
      </c>
      <c r="K300" s="42" t="str">
        <f aca="false">IF(OR($B300="",$H300=""),"",IF(EDATE($H300,12)&lt;=DateRef,"Plus d'un an","Moins d'un an"))</f>
        <v/>
      </c>
      <c r="L300" s="40"/>
      <c r="M300" s="43" t="str">
        <f aca="false">IF(OR($B300="",$A300=""),"",IF(SUMPRODUCT(MAX((Journal!$A$6:$A$1005=$A300)*Journal!$C$6:$C$1005))=0,"",SUMPRODUCT(MAX((Journal!$A$6:$A$1005=$A300)*Journal!$C$6:$C$1005))))</f>
        <v/>
      </c>
      <c r="N300" s="43" t="str">
        <f aca="false">IF($B300="","",IF(MAX($L300,$M300)=0,"",MAX($L300,$M300)))</f>
        <v/>
      </c>
      <c r="O300" s="44" t="str">
        <f aca="false">IF(OR($B300="",$H300=""),"",IF($N300="",IF(EDATE($H300,DelaiPremierEPP)&gt;DateRef,"1er EPP (1re année)","Aucun entretien renseigné"),IF(AND(ReglesTransitoires="Oui",EDATE($N300,AnciennePeriodiciteEP*12)&lt;DateVigueur),"Retard antérieur à la réforme","Périodicité "&amp;PeriodiciteEPP&amp;" ans")))</f>
        <v/>
      </c>
      <c r="P300" s="43" t="str">
        <f aca="false">IF(OR($B300="",$H300=""),"",IF($N300="",EDATE($H300,DelaiPremierEPP),IF(AND(ReglesTransitoires="Oui",EDATE($N300,AnciennePeriodiciteEP*12)&lt;DateVigueur),EDATE($N300,AnciennePeriodiciteEP*12),EDATE($N300,PeriodiciteEPP*12))))</f>
        <v/>
      </c>
      <c r="Q300" s="40"/>
      <c r="R300" s="45" t="str">
        <f aca="false">IF(OR($P300="",AND($I300&lt;&gt;"",$I300&lt;=DateRef)),"",$P300-DateRef)</f>
        <v/>
      </c>
      <c r="S300" s="42" t="str">
        <f aca="false">IF($B300="","",IF(AND($I300&lt;&gt;"",$I300&lt;=DateRef),"Sorti",IF($H300="","À compléter",IF(AND($Q300&lt;&gt;"",$Q300&gt;=DateRef,$Q300&lt;=$P300),"Planifié",IF($R300&lt;0,"En retard",IF($R300&lt;=SeuilAlerteEPP,"À planifier","À jour"))))))</f>
        <v/>
      </c>
      <c r="T300" s="46" t="str">
        <f aca="false">IF(OR($B300="",$S300="Sorti"),"",MID(IF($H300=""," | Date d'embauche manquante","")&amp;IF(AND($K300="Plus d'un an",$N300="")," | Précédent entretien à renseigner (ancienneté &gt; 1 an)","")&amp;IF($O300="Retard antérieur à la réforme"," | Ancien délai de 2 ans expiré avant la réforme","")&amp;IF(AND($N300&lt;&gt;"",$H300&lt;&gt;"",$N300&lt;$H300)," | Entretien antérieur à l'embauche ?","")&amp;IF(AND($N300&lt;&gt;"",$N300&gt;DateRef)," | Entretien daté dans le futur ?","")&amp;IF(AND($Q300&lt;&gt;"",$P300&lt;&gt;"",$Q300&gt;$P300)," | Date prévue après l'échéance","")&amp;IF(AND($Q300&lt;&gt;"",$Q300&lt;DateRef,OR($N300="",$N300&lt;$Q300))," | Entretien prévu passé : le consigner au Journal","")&amp;IF(AND($G300&lt;&gt;"",$X300="",YEAR(DateRef)-YEAR($G300)&gt;=AgeMiCarriere-1,YEAR(DateRef)-YEAR($G300)&lt;=AgeMiCarriere+1)," | Visite de mi-carrière à vérifier",""),4,1000))</f>
        <v/>
      </c>
      <c r="U300" s="39"/>
      <c r="V300" s="40"/>
      <c r="W300" s="42" t="str">
        <f aca="false">IF(OR($B300="",$V300=""),"",IF(AND($I300&lt;&gt;"",$I300&lt;=DateRef),"",IF(AND($N300&lt;&gt;"",$N300&gt;=$V300),"Réalisé",IF(AND($N300&lt;&gt;"",$N300&gt;=EDATE($V300,-FenetreRetour)),"Dispensé (EPP récent)",IF($V300&gt;DateRef,"À prévoir à la reprise","À proposer (reprise passée)")))))</f>
        <v/>
      </c>
      <c r="X300" s="40"/>
      <c r="Y300" s="43" t="str">
        <f aca="false">IF(OR($B300="",$X300=""),"",EDATE($X300,DelaiMiCarriere))</f>
        <v/>
      </c>
      <c r="Z300" s="42" t="str">
        <f aca="false">IF(OR($B300="",$X300=""),"",IF(AND($I300&lt;&gt;"",$I300&lt;=DateRef),"",IF(AND($N300&lt;&gt;"",$N300&gt;=$X300),"Réalisé",IF($Y300&lt;DateRef,"En retard","À planifier"))))</f>
        <v/>
      </c>
      <c r="AA300" s="47" t="str">
        <f aca="false">IF(OR($B300="",$G300=""),"",IF($G300&gt;DateRef,"",DATEDIF($G300,DateRef,"y")))</f>
        <v/>
      </c>
      <c r="AB300" s="43" t="str">
        <f aca="false">IF(OR($B300="",$G300=""),"",EDATE($G300,AgeFinCarriere*12))</f>
        <v/>
      </c>
      <c r="AC300" s="42" t="str">
        <f aca="false">IF(OR($B300="",$G300="",$H300=""),"",IF(AND($I300&lt;&gt;"",$I300&lt;=DateRef),"",IF($AB300&lt;DateVigueur,"Non concerné",IF(AND($N300&lt;&gt;"",$N300&gt;=MAX(EDATE($AB300,-FenetreFinCarriere*12),DateVigueur),$N300&lt;=$AB300),"Réalisé",IF(DateRef&gt;$AB300,"Non réalisé",IF(AND($Q300&lt;&gt;"",$Q300&gt;=EDATE($AB300,-FenetreFinCarriere*12),$Q300&lt;=$AB300),"Planifié dans la fenêtre",IF(AND(MAX($P300,DateRef)&gt;=EDATE($AB300,-FenetreFinCarriere*12),MAX($P300,DateRef)&lt;=$AB300),"Prochain EPP dans la fenêtre",IF(MAX($P300,DateRef)&gt;$AB300,"À programmer avant 60 ans",""))))))))</f>
        <v/>
      </c>
      <c r="AD300" s="40"/>
      <c r="AE300" s="43" t="str">
        <f aca="false">IF(OR($B300="",$H300="",AND($I300&lt;&gt;"",$I300&lt;=DateRef)),"",MAX($H300,$AD300,IF($A300="",0,SUMPRODUCT(MAX((Journal!$A$6:$A$1005=$A300)*((Journal!$D$6:$D$1005=TypeEDL)+(Journal!$D$6:$D$1005=TypeBilan6))*Journal!$C$6:$C$1005)))))</f>
        <v/>
      </c>
      <c r="AF300" s="43" t="str">
        <f aca="false">IF($AE300="","",IF(AND(ReglesTransitoires="Oui",EDATE($AE300,AnciennePeriodiciteEDL*12)&lt;DateVigueur),EDATE($AE300,AnciennePeriodiciteEDL*12),EDATE($AE300,PeriodiciteEDL*12)))</f>
        <v/>
      </c>
      <c r="AG300" s="42" t="str">
        <f aca="false">IF($AF300="","",IF(AND($I300&lt;&gt;"",$I300&lt;=DateRef),"",IF($AF300&lt;DateRef,"En retard",IF($AF300-DateRef&lt;=SeuilAlerteEDL,"À prévoir","À jour"))))</f>
        <v/>
      </c>
      <c r="AH300" s="39"/>
      <c r="AI300" s="39"/>
      <c r="AJ300" s="42" t="str">
        <f aca="false">IF(OR($B300="",$H300=""),"",IF(AND($I300&lt;&gt;"",$I300&lt;=DateRef),"",IF(Effectif&lt;SeuilEffectif,"Non concerné (&lt; "&amp;SeuilEffectif&amp;" salariés)",IF($AH300="Oui","Pas de risque",IF(AND(OR($AI300="Non",$S300="En retard"),$AH300="Non"),"Risque abondement",IF(OR($AI300="Non",$S300="En retard"),"À vérifier (formation ?)",IF($AI300="Oui","Pas de risque","À compléter")))))))</f>
        <v/>
      </c>
      <c r="AK300" s="39"/>
    </row>
    <row r="301" customFormat="false" ht="15" hidden="false" customHeight="false" outlineLevel="0" collapsed="false">
      <c r="A301" s="39"/>
      <c r="B301" s="39"/>
      <c r="C301" s="39"/>
      <c r="D301" s="39"/>
      <c r="E301" s="39"/>
      <c r="F301" s="39"/>
      <c r="G301" s="40"/>
      <c r="H301" s="40"/>
      <c r="I301" s="40"/>
      <c r="J301" s="41" t="str">
        <f aca="false">IF(OR($B301="",$H301=""),"",IF($H301&gt;DateRef,0,YEARFRAC($H301,DateRef,1)))</f>
        <v/>
      </c>
      <c r="K301" s="42" t="str">
        <f aca="false">IF(OR($B301="",$H301=""),"",IF(EDATE($H301,12)&lt;=DateRef,"Plus d'un an","Moins d'un an"))</f>
        <v/>
      </c>
      <c r="L301" s="40"/>
      <c r="M301" s="43" t="str">
        <f aca="false">IF(OR($B301="",$A301=""),"",IF(SUMPRODUCT(MAX((Journal!$A$6:$A$1005=$A301)*Journal!$C$6:$C$1005))=0,"",SUMPRODUCT(MAX((Journal!$A$6:$A$1005=$A301)*Journal!$C$6:$C$1005))))</f>
        <v/>
      </c>
      <c r="N301" s="43" t="str">
        <f aca="false">IF($B301="","",IF(MAX($L301,$M301)=0,"",MAX($L301,$M301)))</f>
        <v/>
      </c>
      <c r="O301" s="44" t="str">
        <f aca="false">IF(OR($B301="",$H301=""),"",IF($N301="",IF(EDATE($H301,DelaiPremierEPP)&gt;DateRef,"1er EPP (1re année)","Aucun entretien renseigné"),IF(AND(ReglesTransitoires="Oui",EDATE($N301,AnciennePeriodiciteEP*12)&lt;DateVigueur),"Retard antérieur à la réforme","Périodicité "&amp;PeriodiciteEPP&amp;" ans")))</f>
        <v/>
      </c>
      <c r="P301" s="43" t="str">
        <f aca="false">IF(OR($B301="",$H301=""),"",IF($N301="",EDATE($H301,DelaiPremierEPP),IF(AND(ReglesTransitoires="Oui",EDATE($N301,AnciennePeriodiciteEP*12)&lt;DateVigueur),EDATE($N301,AnciennePeriodiciteEP*12),EDATE($N301,PeriodiciteEPP*12))))</f>
        <v/>
      </c>
      <c r="Q301" s="40"/>
      <c r="R301" s="45" t="str">
        <f aca="false">IF(OR($P301="",AND($I301&lt;&gt;"",$I301&lt;=DateRef)),"",$P301-DateRef)</f>
        <v/>
      </c>
      <c r="S301" s="42" t="str">
        <f aca="false">IF($B301="","",IF(AND($I301&lt;&gt;"",$I301&lt;=DateRef),"Sorti",IF($H301="","À compléter",IF(AND($Q301&lt;&gt;"",$Q301&gt;=DateRef,$Q301&lt;=$P301),"Planifié",IF($R301&lt;0,"En retard",IF($R301&lt;=SeuilAlerteEPP,"À planifier","À jour"))))))</f>
        <v/>
      </c>
      <c r="T301" s="46" t="str">
        <f aca="false">IF(OR($B301="",$S301="Sorti"),"",MID(IF($H301=""," | Date d'embauche manquante","")&amp;IF(AND($K301="Plus d'un an",$N301="")," | Précédent entretien à renseigner (ancienneté &gt; 1 an)","")&amp;IF($O301="Retard antérieur à la réforme"," | Ancien délai de 2 ans expiré avant la réforme","")&amp;IF(AND($N301&lt;&gt;"",$H301&lt;&gt;"",$N301&lt;$H301)," | Entretien antérieur à l'embauche ?","")&amp;IF(AND($N301&lt;&gt;"",$N301&gt;DateRef)," | Entretien daté dans le futur ?","")&amp;IF(AND($Q301&lt;&gt;"",$P301&lt;&gt;"",$Q301&gt;$P301)," | Date prévue après l'échéance","")&amp;IF(AND($Q301&lt;&gt;"",$Q301&lt;DateRef,OR($N301="",$N301&lt;$Q301))," | Entretien prévu passé : le consigner au Journal","")&amp;IF(AND($G301&lt;&gt;"",$X301="",YEAR(DateRef)-YEAR($G301)&gt;=AgeMiCarriere-1,YEAR(DateRef)-YEAR($G301)&lt;=AgeMiCarriere+1)," | Visite de mi-carrière à vérifier",""),4,1000))</f>
        <v/>
      </c>
      <c r="U301" s="39"/>
      <c r="V301" s="40"/>
      <c r="W301" s="42" t="str">
        <f aca="false">IF(OR($B301="",$V301=""),"",IF(AND($I301&lt;&gt;"",$I301&lt;=DateRef),"",IF(AND($N301&lt;&gt;"",$N301&gt;=$V301),"Réalisé",IF(AND($N301&lt;&gt;"",$N301&gt;=EDATE($V301,-FenetreRetour)),"Dispensé (EPP récent)",IF($V301&gt;DateRef,"À prévoir à la reprise","À proposer (reprise passée)")))))</f>
        <v/>
      </c>
      <c r="X301" s="40"/>
      <c r="Y301" s="43" t="str">
        <f aca="false">IF(OR($B301="",$X301=""),"",EDATE($X301,DelaiMiCarriere))</f>
        <v/>
      </c>
      <c r="Z301" s="42" t="str">
        <f aca="false">IF(OR($B301="",$X301=""),"",IF(AND($I301&lt;&gt;"",$I301&lt;=DateRef),"",IF(AND($N301&lt;&gt;"",$N301&gt;=$X301),"Réalisé",IF($Y301&lt;DateRef,"En retard","À planifier"))))</f>
        <v/>
      </c>
      <c r="AA301" s="47" t="str">
        <f aca="false">IF(OR($B301="",$G301=""),"",IF($G301&gt;DateRef,"",DATEDIF($G301,DateRef,"y")))</f>
        <v/>
      </c>
      <c r="AB301" s="43" t="str">
        <f aca="false">IF(OR($B301="",$G301=""),"",EDATE($G301,AgeFinCarriere*12))</f>
        <v/>
      </c>
      <c r="AC301" s="42" t="str">
        <f aca="false">IF(OR($B301="",$G301="",$H301=""),"",IF(AND($I301&lt;&gt;"",$I301&lt;=DateRef),"",IF($AB301&lt;DateVigueur,"Non concerné",IF(AND($N301&lt;&gt;"",$N301&gt;=MAX(EDATE($AB301,-FenetreFinCarriere*12),DateVigueur),$N301&lt;=$AB301),"Réalisé",IF(DateRef&gt;$AB301,"Non réalisé",IF(AND($Q301&lt;&gt;"",$Q301&gt;=EDATE($AB301,-FenetreFinCarriere*12),$Q301&lt;=$AB301),"Planifié dans la fenêtre",IF(AND(MAX($P301,DateRef)&gt;=EDATE($AB301,-FenetreFinCarriere*12),MAX($P301,DateRef)&lt;=$AB301),"Prochain EPP dans la fenêtre",IF(MAX($P301,DateRef)&gt;$AB301,"À programmer avant 60 ans",""))))))))</f>
        <v/>
      </c>
      <c r="AD301" s="40"/>
      <c r="AE301" s="43" t="str">
        <f aca="false">IF(OR($B301="",$H301="",AND($I301&lt;&gt;"",$I301&lt;=DateRef)),"",MAX($H301,$AD301,IF($A301="",0,SUMPRODUCT(MAX((Journal!$A$6:$A$1005=$A301)*((Journal!$D$6:$D$1005=TypeEDL)+(Journal!$D$6:$D$1005=TypeBilan6))*Journal!$C$6:$C$1005)))))</f>
        <v/>
      </c>
      <c r="AF301" s="43" t="str">
        <f aca="false">IF($AE301="","",IF(AND(ReglesTransitoires="Oui",EDATE($AE301,AnciennePeriodiciteEDL*12)&lt;DateVigueur),EDATE($AE301,AnciennePeriodiciteEDL*12),EDATE($AE301,PeriodiciteEDL*12)))</f>
        <v/>
      </c>
      <c r="AG301" s="42" t="str">
        <f aca="false">IF($AF301="","",IF(AND($I301&lt;&gt;"",$I301&lt;=DateRef),"",IF($AF301&lt;DateRef,"En retard",IF($AF301-DateRef&lt;=SeuilAlerteEDL,"À prévoir","À jour"))))</f>
        <v/>
      </c>
      <c r="AH301" s="39"/>
      <c r="AI301" s="39"/>
      <c r="AJ301" s="42" t="str">
        <f aca="false">IF(OR($B301="",$H301=""),"",IF(AND($I301&lt;&gt;"",$I301&lt;=DateRef),"",IF(Effectif&lt;SeuilEffectif,"Non concerné (&lt; "&amp;SeuilEffectif&amp;" salariés)",IF($AH301="Oui","Pas de risque",IF(AND(OR($AI301="Non",$S301="En retard"),$AH301="Non"),"Risque abondement",IF(OR($AI301="Non",$S301="En retard"),"À vérifier (formation ?)",IF($AI301="Oui","Pas de risque","À compléter")))))))</f>
        <v/>
      </c>
      <c r="AK301" s="39"/>
    </row>
    <row r="302" customFormat="false" ht="15" hidden="false" customHeight="false" outlineLevel="0" collapsed="false">
      <c r="A302" s="39"/>
      <c r="B302" s="39"/>
      <c r="C302" s="39"/>
      <c r="D302" s="39"/>
      <c r="E302" s="39"/>
      <c r="F302" s="39"/>
      <c r="G302" s="40"/>
      <c r="H302" s="40"/>
      <c r="I302" s="40"/>
      <c r="J302" s="41" t="str">
        <f aca="false">IF(OR($B302="",$H302=""),"",IF($H302&gt;DateRef,0,YEARFRAC($H302,DateRef,1)))</f>
        <v/>
      </c>
      <c r="K302" s="42" t="str">
        <f aca="false">IF(OR($B302="",$H302=""),"",IF(EDATE($H302,12)&lt;=DateRef,"Plus d'un an","Moins d'un an"))</f>
        <v/>
      </c>
      <c r="L302" s="40"/>
      <c r="M302" s="43" t="str">
        <f aca="false">IF(OR($B302="",$A302=""),"",IF(SUMPRODUCT(MAX((Journal!$A$6:$A$1005=$A302)*Journal!$C$6:$C$1005))=0,"",SUMPRODUCT(MAX((Journal!$A$6:$A$1005=$A302)*Journal!$C$6:$C$1005))))</f>
        <v/>
      </c>
      <c r="N302" s="43" t="str">
        <f aca="false">IF($B302="","",IF(MAX($L302,$M302)=0,"",MAX($L302,$M302)))</f>
        <v/>
      </c>
      <c r="O302" s="44" t="str">
        <f aca="false">IF(OR($B302="",$H302=""),"",IF($N302="",IF(EDATE($H302,DelaiPremierEPP)&gt;DateRef,"1er EPP (1re année)","Aucun entretien renseigné"),IF(AND(ReglesTransitoires="Oui",EDATE($N302,AnciennePeriodiciteEP*12)&lt;DateVigueur),"Retard antérieur à la réforme","Périodicité "&amp;PeriodiciteEPP&amp;" ans")))</f>
        <v/>
      </c>
      <c r="P302" s="43" t="str">
        <f aca="false">IF(OR($B302="",$H302=""),"",IF($N302="",EDATE($H302,DelaiPremierEPP),IF(AND(ReglesTransitoires="Oui",EDATE($N302,AnciennePeriodiciteEP*12)&lt;DateVigueur),EDATE($N302,AnciennePeriodiciteEP*12),EDATE($N302,PeriodiciteEPP*12))))</f>
        <v/>
      </c>
      <c r="Q302" s="40"/>
      <c r="R302" s="45" t="str">
        <f aca="false">IF(OR($P302="",AND($I302&lt;&gt;"",$I302&lt;=DateRef)),"",$P302-DateRef)</f>
        <v/>
      </c>
      <c r="S302" s="42" t="str">
        <f aca="false">IF($B302="","",IF(AND($I302&lt;&gt;"",$I302&lt;=DateRef),"Sorti",IF($H302="","À compléter",IF(AND($Q302&lt;&gt;"",$Q302&gt;=DateRef,$Q302&lt;=$P302),"Planifié",IF($R302&lt;0,"En retard",IF($R302&lt;=SeuilAlerteEPP,"À planifier","À jour"))))))</f>
        <v/>
      </c>
      <c r="T302" s="46" t="str">
        <f aca="false">IF(OR($B302="",$S302="Sorti"),"",MID(IF($H302=""," | Date d'embauche manquante","")&amp;IF(AND($K302="Plus d'un an",$N302="")," | Précédent entretien à renseigner (ancienneté &gt; 1 an)","")&amp;IF($O302="Retard antérieur à la réforme"," | Ancien délai de 2 ans expiré avant la réforme","")&amp;IF(AND($N302&lt;&gt;"",$H302&lt;&gt;"",$N302&lt;$H302)," | Entretien antérieur à l'embauche ?","")&amp;IF(AND($N302&lt;&gt;"",$N302&gt;DateRef)," | Entretien daté dans le futur ?","")&amp;IF(AND($Q302&lt;&gt;"",$P302&lt;&gt;"",$Q302&gt;$P302)," | Date prévue après l'échéance","")&amp;IF(AND($Q302&lt;&gt;"",$Q302&lt;DateRef,OR($N302="",$N302&lt;$Q302))," | Entretien prévu passé : le consigner au Journal","")&amp;IF(AND($G302&lt;&gt;"",$X302="",YEAR(DateRef)-YEAR($G302)&gt;=AgeMiCarriere-1,YEAR(DateRef)-YEAR($G302)&lt;=AgeMiCarriere+1)," | Visite de mi-carrière à vérifier",""),4,1000))</f>
        <v/>
      </c>
      <c r="U302" s="39"/>
      <c r="V302" s="40"/>
      <c r="W302" s="42" t="str">
        <f aca="false">IF(OR($B302="",$V302=""),"",IF(AND($I302&lt;&gt;"",$I302&lt;=DateRef),"",IF(AND($N302&lt;&gt;"",$N302&gt;=$V302),"Réalisé",IF(AND($N302&lt;&gt;"",$N302&gt;=EDATE($V302,-FenetreRetour)),"Dispensé (EPP récent)",IF($V302&gt;DateRef,"À prévoir à la reprise","À proposer (reprise passée)")))))</f>
        <v/>
      </c>
      <c r="X302" s="40"/>
      <c r="Y302" s="43" t="str">
        <f aca="false">IF(OR($B302="",$X302=""),"",EDATE($X302,DelaiMiCarriere))</f>
        <v/>
      </c>
      <c r="Z302" s="42" t="str">
        <f aca="false">IF(OR($B302="",$X302=""),"",IF(AND($I302&lt;&gt;"",$I302&lt;=DateRef),"",IF(AND($N302&lt;&gt;"",$N302&gt;=$X302),"Réalisé",IF($Y302&lt;DateRef,"En retard","À planifier"))))</f>
        <v/>
      </c>
      <c r="AA302" s="47" t="str">
        <f aca="false">IF(OR($B302="",$G302=""),"",IF($G302&gt;DateRef,"",DATEDIF($G302,DateRef,"y")))</f>
        <v/>
      </c>
      <c r="AB302" s="43" t="str">
        <f aca="false">IF(OR($B302="",$G302=""),"",EDATE($G302,AgeFinCarriere*12))</f>
        <v/>
      </c>
      <c r="AC302" s="42" t="str">
        <f aca="false">IF(OR($B302="",$G302="",$H302=""),"",IF(AND($I302&lt;&gt;"",$I302&lt;=DateRef),"",IF($AB302&lt;DateVigueur,"Non concerné",IF(AND($N302&lt;&gt;"",$N302&gt;=MAX(EDATE($AB302,-FenetreFinCarriere*12),DateVigueur),$N302&lt;=$AB302),"Réalisé",IF(DateRef&gt;$AB302,"Non réalisé",IF(AND($Q302&lt;&gt;"",$Q302&gt;=EDATE($AB302,-FenetreFinCarriere*12),$Q302&lt;=$AB302),"Planifié dans la fenêtre",IF(AND(MAX($P302,DateRef)&gt;=EDATE($AB302,-FenetreFinCarriere*12),MAX($P302,DateRef)&lt;=$AB302),"Prochain EPP dans la fenêtre",IF(MAX($P302,DateRef)&gt;$AB302,"À programmer avant 60 ans",""))))))))</f>
        <v/>
      </c>
      <c r="AD302" s="40"/>
      <c r="AE302" s="43" t="str">
        <f aca="false">IF(OR($B302="",$H302="",AND($I302&lt;&gt;"",$I302&lt;=DateRef)),"",MAX($H302,$AD302,IF($A302="",0,SUMPRODUCT(MAX((Journal!$A$6:$A$1005=$A302)*((Journal!$D$6:$D$1005=TypeEDL)+(Journal!$D$6:$D$1005=TypeBilan6))*Journal!$C$6:$C$1005)))))</f>
        <v/>
      </c>
      <c r="AF302" s="43" t="str">
        <f aca="false">IF($AE302="","",IF(AND(ReglesTransitoires="Oui",EDATE($AE302,AnciennePeriodiciteEDL*12)&lt;DateVigueur),EDATE($AE302,AnciennePeriodiciteEDL*12),EDATE($AE302,PeriodiciteEDL*12)))</f>
        <v/>
      </c>
      <c r="AG302" s="42" t="str">
        <f aca="false">IF($AF302="","",IF(AND($I302&lt;&gt;"",$I302&lt;=DateRef),"",IF($AF302&lt;DateRef,"En retard",IF($AF302-DateRef&lt;=SeuilAlerteEDL,"À prévoir","À jour"))))</f>
        <v/>
      </c>
      <c r="AH302" s="39"/>
      <c r="AI302" s="39"/>
      <c r="AJ302" s="42" t="str">
        <f aca="false">IF(OR($B302="",$H302=""),"",IF(AND($I302&lt;&gt;"",$I302&lt;=DateRef),"",IF(Effectif&lt;SeuilEffectif,"Non concerné (&lt; "&amp;SeuilEffectif&amp;" salariés)",IF($AH302="Oui","Pas de risque",IF(AND(OR($AI302="Non",$S302="En retard"),$AH302="Non"),"Risque abondement",IF(OR($AI302="Non",$S302="En retard"),"À vérifier (formation ?)",IF($AI302="Oui","Pas de risque","À compléter")))))))</f>
        <v/>
      </c>
      <c r="AK302" s="39"/>
    </row>
    <row r="303" customFormat="false" ht="15" hidden="false" customHeight="false" outlineLevel="0" collapsed="false">
      <c r="A303" s="39"/>
      <c r="B303" s="39"/>
      <c r="C303" s="39"/>
      <c r="D303" s="39"/>
      <c r="E303" s="39"/>
      <c r="F303" s="39"/>
      <c r="G303" s="40"/>
      <c r="H303" s="40"/>
      <c r="I303" s="40"/>
      <c r="J303" s="41" t="str">
        <f aca="false">IF(OR($B303="",$H303=""),"",IF($H303&gt;DateRef,0,YEARFRAC($H303,DateRef,1)))</f>
        <v/>
      </c>
      <c r="K303" s="42" t="str">
        <f aca="false">IF(OR($B303="",$H303=""),"",IF(EDATE($H303,12)&lt;=DateRef,"Plus d'un an","Moins d'un an"))</f>
        <v/>
      </c>
      <c r="L303" s="40"/>
      <c r="M303" s="43" t="str">
        <f aca="false">IF(OR($B303="",$A303=""),"",IF(SUMPRODUCT(MAX((Journal!$A$6:$A$1005=$A303)*Journal!$C$6:$C$1005))=0,"",SUMPRODUCT(MAX((Journal!$A$6:$A$1005=$A303)*Journal!$C$6:$C$1005))))</f>
        <v/>
      </c>
      <c r="N303" s="43" t="str">
        <f aca="false">IF($B303="","",IF(MAX($L303,$M303)=0,"",MAX($L303,$M303)))</f>
        <v/>
      </c>
      <c r="O303" s="44" t="str">
        <f aca="false">IF(OR($B303="",$H303=""),"",IF($N303="",IF(EDATE($H303,DelaiPremierEPP)&gt;DateRef,"1er EPP (1re année)","Aucun entretien renseigné"),IF(AND(ReglesTransitoires="Oui",EDATE($N303,AnciennePeriodiciteEP*12)&lt;DateVigueur),"Retard antérieur à la réforme","Périodicité "&amp;PeriodiciteEPP&amp;" ans")))</f>
        <v/>
      </c>
      <c r="P303" s="43" t="str">
        <f aca="false">IF(OR($B303="",$H303=""),"",IF($N303="",EDATE($H303,DelaiPremierEPP),IF(AND(ReglesTransitoires="Oui",EDATE($N303,AnciennePeriodiciteEP*12)&lt;DateVigueur),EDATE($N303,AnciennePeriodiciteEP*12),EDATE($N303,PeriodiciteEPP*12))))</f>
        <v/>
      </c>
      <c r="Q303" s="40"/>
      <c r="R303" s="45" t="str">
        <f aca="false">IF(OR($P303="",AND($I303&lt;&gt;"",$I303&lt;=DateRef)),"",$P303-DateRef)</f>
        <v/>
      </c>
      <c r="S303" s="42" t="str">
        <f aca="false">IF($B303="","",IF(AND($I303&lt;&gt;"",$I303&lt;=DateRef),"Sorti",IF($H303="","À compléter",IF(AND($Q303&lt;&gt;"",$Q303&gt;=DateRef,$Q303&lt;=$P303),"Planifié",IF($R303&lt;0,"En retard",IF($R303&lt;=SeuilAlerteEPP,"À planifier","À jour"))))))</f>
        <v/>
      </c>
      <c r="T303" s="46" t="str">
        <f aca="false">IF(OR($B303="",$S303="Sorti"),"",MID(IF($H303=""," | Date d'embauche manquante","")&amp;IF(AND($K303="Plus d'un an",$N303="")," | Précédent entretien à renseigner (ancienneté &gt; 1 an)","")&amp;IF($O303="Retard antérieur à la réforme"," | Ancien délai de 2 ans expiré avant la réforme","")&amp;IF(AND($N303&lt;&gt;"",$H303&lt;&gt;"",$N303&lt;$H303)," | Entretien antérieur à l'embauche ?","")&amp;IF(AND($N303&lt;&gt;"",$N303&gt;DateRef)," | Entretien daté dans le futur ?","")&amp;IF(AND($Q303&lt;&gt;"",$P303&lt;&gt;"",$Q303&gt;$P303)," | Date prévue après l'échéance","")&amp;IF(AND($Q303&lt;&gt;"",$Q303&lt;DateRef,OR($N303="",$N303&lt;$Q303))," | Entretien prévu passé : le consigner au Journal","")&amp;IF(AND($G303&lt;&gt;"",$X303="",YEAR(DateRef)-YEAR($G303)&gt;=AgeMiCarriere-1,YEAR(DateRef)-YEAR($G303)&lt;=AgeMiCarriere+1)," | Visite de mi-carrière à vérifier",""),4,1000))</f>
        <v/>
      </c>
      <c r="U303" s="39"/>
      <c r="V303" s="40"/>
      <c r="W303" s="42" t="str">
        <f aca="false">IF(OR($B303="",$V303=""),"",IF(AND($I303&lt;&gt;"",$I303&lt;=DateRef),"",IF(AND($N303&lt;&gt;"",$N303&gt;=$V303),"Réalisé",IF(AND($N303&lt;&gt;"",$N303&gt;=EDATE($V303,-FenetreRetour)),"Dispensé (EPP récent)",IF($V303&gt;DateRef,"À prévoir à la reprise","À proposer (reprise passée)")))))</f>
        <v/>
      </c>
      <c r="X303" s="40"/>
      <c r="Y303" s="43" t="str">
        <f aca="false">IF(OR($B303="",$X303=""),"",EDATE($X303,DelaiMiCarriere))</f>
        <v/>
      </c>
      <c r="Z303" s="42" t="str">
        <f aca="false">IF(OR($B303="",$X303=""),"",IF(AND($I303&lt;&gt;"",$I303&lt;=DateRef),"",IF(AND($N303&lt;&gt;"",$N303&gt;=$X303),"Réalisé",IF($Y303&lt;DateRef,"En retard","À planifier"))))</f>
        <v/>
      </c>
      <c r="AA303" s="47" t="str">
        <f aca="false">IF(OR($B303="",$G303=""),"",IF($G303&gt;DateRef,"",DATEDIF($G303,DateRef,"y")))</f>
        <v/>
      </c>
      <c r="AB303" s="43" t="str">
        <f aca="false">IF(OR($B303="",$G303=""),"",EDATE($G303,AgeFinCarriere*12))</f>
        <v/>
      </c>
      <c r="AC303" s="42" t="str">
        <f aca="false">IF(OR($B303="",$G303="",$H303=""),"",IF(AND($I303&lt;&gt;"",$I303&lt;=DateRef),"",IF($AB303&lt;DateVigueur,"Non concerné",IF(AND($N303&lt;&gt;"",$N303&gt;=MAX(EDATE($AB303,-FenetreFinCarriere*12),DateVigueur),$N303&lt;=$AB303),"Réalisé",IF(DateRef&gt;$AB303,"Non réalisé",IF(AND($Q303&lt;&gt;"",$Q303&gt;=EDATE($AB303,-FenetreFinCarriere*12),$Q303&lt;=$AB303),"Planifié dans la fenêtre",IF(AND(MAX($P303,DateRef)&gt;=EDATE($AB303,-FenetreFinCarriere*12),MAX($P303,DateRef)&lt;=$AB303),"Prochain EPP dans la fenêtre",IF(MAX($P303,DateRef)&gt;$AB303,"À programmer avant 60 ans",""))))))))</f>
        <v/>
      </c>
      <c r="AD303" s="40"/>
      <c r="AE303" s="43" t="str">
        <f aca="false">IF(OR($B303="",$H303="",AND($I303&lt;&gt;"",$I303&lt;=DateRef)),"",MAX($H303,$AD303,IF($A303="",0,SUMPRODUCT(MAX((Journal!$A$6:$A$1005=$A303)*((Journal!$D$6:$D$1005=TypeEDL)+(Journal!$D$6:$D$1005=TypeBilan6))*Journal!$C$6:$C$1005)))))</f>
        <v/>
      </c>
      <c r="AF303" s="43" t="str">
        <f aca="false">IF($AE303="","",IF(AND(ReglesTransitoires="Oui",EDATE($AE303,AnciennePeriodiciteEDL*12)&lt;DateVigueur),EDATE($AE303,AnciennePeriodiciteEDL*12),EDATE($AE303,PeriodiciteEDL*12)))</f>
        <v/>
      </c>
      <c r="AG303" s="42" t="str">
        <f aca="false">IF($AF303="","",IF(AND($I303&lt;&gt;"",$I303&lt;=DateRef),"",IF($AF303&lt;DateRef,"En retard",IF($AF303-DateRef&lt;=SeuilAlerteEDL,"À prévoir","À jour"))))</f>
        <v/>
      </c>
      <c r="AH303" s="39"/>
      <c r="AI303" s="39"/>
      <c r="AJ303" s="42" t="str">
        <f aca="false">IF(OR($B303="",$H303=""),"",IF(AND($I303&lt;&gt;"",$I303&lt;=DateRef),"",IF(Effectif&lt;SeuilEffectif,"Non concerné (&lt; "&amp;SeuilEffectif&amp;" salariés)",IF($AH303="Oui","Pas de risque",IF(AND(OR($AI303="Non",$S303="En retard"),$AH303="Non"),"Risque abondement",IF(OR($AI303="Non",$S303="En retard"),"À vérifier (formation ?)",IF($AI303="Oui","Pas de risque","À compléter")))))))</f>
        <v/>
      </c>
      <c r="AK303" s="39"/>
    </row>
    <row r="304" customFormat="false" ht="15" hidden="false" customHeight="false" outlineLevel="0" collapsed="false">
      <c r="A304" s="39"/>
      <c r="B304" s="39"/>
      <c r="C304" s="39"/>
      <c r="D304" s="39"/>
      <c r="E304" s="39"/>
      <c r="F304" s="39"/>
      <c r="G304" s="40"/>
      <c r="H304" s="40"/>
      <c r="I304" s="40"/>
      <c r="J304" s="41" t="str">
        <f aca="false">IF(OR($B304="",$H304=""),"",IF($H304&gt;DateRef,0,YEARFRAC($H304,DateRef,1)))</f>
        <v/>
      </c>
      <c r="K304" s="42" t="str">
        <f aca="false">IF(OR($B304="",$H304=""),"",IF(EDATE($H304,12)&lt;=DateRef,"Plus d'un an","Moins d'un an"))</f>
        <v/>
      </c>
      <c r="L304" s="40"/>
      <c r="M304" s="43" t="str">
        <f aca="false">IF(OR($B304="",$A304=""),"",IF(SUMPRODUCT(MAX((Journal!$A$6:$A$1005=$A304)*Journal!$C$6:$C$1005))=0,"",SUMPRODUCT(MAX((Journal!$A$6:$A$1005=$A304)*Journal!$C$6:$C$1005))))</f>
        <v/>
      </c>
      <c r="N304" s="43" t="str">
        <f aca="false">IF($B304="","",IF(MAX($L304,$M304)=0,"",MAX($L304,$M304)))</f>
        <v/>
      </c>
      <c r="O304" s="44" t="str">
        <f aca="false">IF(OR($B304="",$H304=""),"",IF($N304="",IF(EDATE($H304,DelaiPremierEPP)&gt;DateRef,"1er EPP (1re année)","Aucun entretien renseigné"),IF(AND(ReglesTransitoires="Oui",EDATE($N304,AnciennePeriodiciteEP*12)&lt;DateVigueur),"Retard antérieur à la réforme","Périodicité "&amp;PeriodiciteEPP&amp;" ans")))</f>
        <v/>
      </c>
      <c r="P304" s="43" t="str">
        <f aca="false">IF(OR($B304="",$H304=""),"",IF($N304="",EDATE($H304,DelaiPremierEPP),IF(AND(ReglesTransitoires="Oui",EDATE($N304,AnciennePeriodiciteEP*12)&lt;DateVigueur),EDATE($N304,AnciennePeriodiciteEP*12),EDATE($N304,PeriodiciteEPP*12))))</f>
        <v/>
      </c>
      <c r="Q304" s="40"/>
      <c r="R304" s="45" t="str">
        <f aca="false">IF(OR($P304="",AND($I304&lt;&gt;"",$I304&lt;=DateRef)),"",$P304-DateRef)</f>
        <v/>
      </c>
      <c r="S304" s="42" t="str">
        <f aca="false">IF($B304="","",IF(AND($I304&lt;&gt;"",$I304&lt;=DateRef),"Sorti",IF($H304="","À compléter",IF(AND($Q304&lt;&gt;"",$Q304&gt;=DateRef,$Q304&lt;=$P304),"Planifié",IF($R304&lt;0,"En retard",IF($R304&lt;=SeuilAlerteEPP,"À planifier","À jour"))))))</f>
        <v/>
      </c>
      <c r="T304" s="46" t="str">
        <f aca="false">IF(OR($B304="",$S304="Sorti"),"",MID(IF($H304=""," | Date d'embauche manquante","")&amp;IF(AND($K304="Plus d'un an",$N304="")," | Précédent entretien à renseigner (ancienneté &gt; 1 an)","")&amp;IF($O304="Retard antérieur à la réforme"," | Ancien délai de 2 ans expiré avant la réforme","")&amp;IF(AND($N304&lt;&gt;"",$H304&lt;&gt;"",$N304&lt;$H304)," | Entretien antérieur à l'embauche ?","")&amp;IF(AND($N304&lt;&gt;"",$N304&gt;DateRef)," | Entretien daté dans le futur ?","")&amp;IF(AND($Q304&lt;&gt;"",$P304&lt;&gt;"",$Q304&gt;$P304)," | Date prévue après l'échéance","")&amp;IF(AND($Q304&lt;&gt;"",$Q304&lt;DateRef,OR($N304="",$N304&lt;$Q304))," | Entretien prévu passé : le consigner au Journal","")&amp;IF(AND($G304&lt;&gt;"",$X304="",YEAR(DateRef)-YEAR($G304)&gt;=AgeMiCarriere-1,YEAR(DateRef)-YEAR($G304)&lt;=AgeMiCarriere+1)," | Visite de mi-carrière à vérifier",""),4,1000))</f>
        <v/>
      </c>
      <c r="U304" s="39"/>
      <c r="V304" s="40"/>
      <c r="W304" s="42" t="str">
        <f aca="false">IF(OR($B304="",$V304=""),"",IF(AND($I304&lt;&gt;"",$I304&lt;=DateRef),"",IF(AND($N304&lt;&gt;"",$N304&gt;=$V304),"Réalisé",IF(AND($N304&lt;&gt;"",$N304&gt;=EDATE($V304,-FenetreRetour)),"Dispensé (EPP récent)",IF($V304&gt;DateRef,"À prévoir à la reprise","À proposer (reprise passée)")))))</f>
        <v/>
      </c>
      <c r="X304" s="40"/>
      <c r="Y304" s="43" t="str">
        <f aca="false">IF(OR($B304="",$X304=""),"",EDATE($X304,DelaiMiCarriere))</f>
        <v/>
      </c>
      <c r="Z304" s="42" t="str">
        <f aca="false">IF(OR($B304="",$X304=""),"",IF(AND($I304&lt;&gt;"",$I304&lt;=DateRef),"",IF(AND($N304&lt;&gt;"",$N304&gt;=$X304),"Réalisé",IF($Y304&lt;DateRef,"En retard","À planifier"))))</f>
        <v/>
      </c>
      <c r="AA304" s="47" t="str">
        <f aca="false">IF(OR($B304="",$G304=""),"",IF($G304&gt;DateRef,"",DATEDIF($G304,DateRef,"y")))</f>
        <v/>
      </c>
      <c r="AB304" s="43" t="str">
        <f aca="false">IF(OR($B304="",$G304=""),"",EDATE($G304,AgeFinCarriere*12))</f>
        <v/>
      </c>
      <c r="AC304" s="42" t="str">
        <f aca="false">IF(OR($B304="",$G304="",$H304=""),"",IF(AND($I304&lt;&gt;"",$I304&lt;=DateRef),"",IF($AB304&lt;DateVigueur,"Non concerné",IF(AND($N304&lt;&gt;"",$N304&gt;=MAX(EDATE($AB304,-FenetreFinCarriere*12),DateVigueur),$N304&lt;=$AB304),"Réalisé",IF(DateRef&gt;$AB304,"Non réalisé",IF(AND($Q304&lt;&gt;"",$Q304&gt;=EDATE($AB304,-FenetreFinCarriere*12),$Q304&lt;=$AB304),"Planifié dans la fenêtre",IF(AND(MAX($P304,DateRef)&gt;=EDATE($AB304,-FenetreFinCarriere*12),MAX($P304,DateRef)&lt;=$AB304),"Prochain EPP dans la fenêtre",IF(MAX($P304,DateRef)&gt;$AB304,"À programmer avant 60 ans",""))))))))</f>
        <v/>
      </c>
      <c r="AD304" s="40"/>
      <c r="AE304" s="43" t="str">
        <f aca="false">IF(OR($B304="",$H304="",AND($I304&lt;&gt;"",$I304&lt;=DateRef)),"",MAX($H304,$AD304,IF($A304="",0,SUMPRODUCT(MAX((Journal!$A$6:$A$1005=$A304)*((Journal!$D$6:$D$1005=TypeEDL)+(Journal!$D$6:$D$1005=TypeBilan6))*Journal!$C$6:$C$1005)))))</f>
        <v/>
      </c>
      <c r="AF304" s="43" t="str">
        <f aca="false">IF($AE304="","",IF(AND(ReglesTransitoires="Oui",EDATE($AE304,AnciennePeriodiciteEDL*12)&lt;DateVigueur),EDATE($AE304,AnciennePeriodiciteEDL*12),EDATE($AE304,PeriodiciteEDL*12)))</f>
        <v/>
      </c>
      <c r="AG304" s="42" t="str">
        <f aca="false">IF($AF304="","",IF(AND($I304&lt;&gt;"",$I304&lt;=DateRef),"",IF($AF304&lt;DateRef,"En retard",IF($AF304-DateRef&lt;=SeuilAlerteEDL,"À prévoir","À jour"))))</f>
        <v/>
      </c>
      <c r="AH304" s="39"/>
      <c r="AI304" s="39"/>
      <c r="AJ304" s="42" t="str">
        <f aca="false">IF(OR($B304="",$H304=""),"",IF(AND($I304&lt;&gt;"",$I304&lt;=DateRef),"",IF(Effectif&lt;SeuilEffectif,"Non concerné (&lt; "&amp;SeuilEffectif&amp;" salariés)",IF($AH304="Oui","Pas de risque",IF(AND(OR($AI304="Non",$S304="En retard"),$AH304="Non"),"Risque abondement",IF(OR($AI304="Non",$S304="En retard"),"À vérifier (formation ?)",IF($AI304="Oui","Pas de risque","À compléter")))))))</f>
        <v/>
      </c>
      <c r="AK304" s="39"/>
    </row>
    <row r="305" customFormat="false" ht="15" hidden="false" customHeight="false" outlineLevel="0" collapsed="false">
      <c r="A305" s="39"/>
      <c r="B305" s="39"/>
      <c r="C305" s="39"/>
      <c r="D305" s="39"/>
      <c r="E305" s="39"/>
      <c r="F305" s="39"/>
      <c r="G305" s="40"/>
      <c r="H305" s="40"/>
      <c r="I305" s="40"/>
      <c r="J305" s="41" t="str">
        <f aca="false">IF(OR($B305="",$H305=""),"",IF($H305&gt;DateRef,0,YEARFRAC($H305,DateRef,1)))</f>
        <v/>
      </c>
      <c r="K305" s="42" t="str">
        <f aca="false">IF(OR($B305="",$H305=""),"",IF(EDATE($H305,12)&lt;=DateRef,"Plus d'un an","Moins d'un an"))</f>
        <v/>
      </c>
      <c r="L305" s="40"/>
      <c r="M305" s="43" t="str">
        <f aca="false">IF(OR($B305="",$A305=""),"",IF(SUMPRODUCT(MAX((Journal!$A$6:$A$1005=$A305)*Journal!$C$6:$C$1005))=0,"",SUMPRODUCT(MAX((Journal!$A$6:$A$1005=$A305)*Journal!$C$6:$C$1005))))</f>
        <v/>
      </c>
      <c r="N305" s="43" t="str">
        <f aca="false">IF($B305="","",IF(MAX($L305,$M305)=0,"",MAX($L305,$M305)))</f>
        <v/>
      </c>
      <c r="O305" s="44" t="str">
        <f aca="false">IF(OR($B305="",$H305=""),"",IF($N305="",IF(EDATE($H305,DelaiPremierEPP)&gt;DateRef,"1er EPP (1re année)","Aucun entretien renseigné"),IF(AND(ReglesTransitoires="Oui",EDATE($N305,AnciennePeriodiciteEP*12)&lt;DateVigueur),"Retard antérieur à la réforme","Périodicité "&amp;PeriodiciteEPP&amp;" ans")))</f>
        <v/>
      </c>
      <c r="P305" s="43" t="str">
        <f aca="false">IF(OR($B305="",$H305=""),"",IF($N305="",EDATE($H305,DelaiPremierEPP),IF(AND(ReglesTransitoires="Oui",EDATE($N305,AnciennePeriodiciteEP*12)&lt;DateVigueur),EDATE($N305,AnciennePeriodiciteEP*12),EDATE($N305,PeriodiciteEPP*12))))</f>
        <v/>
      </c>
      <c r="Q305" s="40"/>
      <c r="R305" s="45" t="str">
        <f aca="false">IF(OR($P305="",AND($I305&lt;&gt;"",$I305&lt;=DateRef)),"",$P305-DateRef)</f>
        <v/>
      </c>
      <c r="S305" s="42" t="str">
        <f aca="false">IF($B305="","",IF(AND($I305&lt;&gt;"",$I305&lt;=DateRef),"Sorti",IF($H305="","À compléter",IF(AND($Q305&lt;&gt;"",$Q305&gt;=DateRef,$Q305&lt;=$P305),"Planifié",IF($R305&lt;0,"En retard",IF($R305&lt;=SeuilAlerteEPP,"À planifier","À jour"))))))</f>
        <v/>
      </c>
      <c r="T305" s="46" t="str">
        <f aca="false">IF(OR($B305="",$S305="Sorti"),"",MID(IF($H305=""," | Date d'embauche manquante","")&amp;IF(AND($K305="Plus d'un an",$N305="")," | Précédent entretien à renseigner (ancienneté &gt; 1 an)","")&amp;IF($O305="Retard antérieur à la réforme"," | Ancien délai de 2 ans expiré avant la réforme","")&amp;IF(AND($N305&lt;&gt;"",$H305&lt;&gt;"",$N305&lt;$H305)," | Entretien antérieur à l'embauche ?","")&amp;IF(AND($N305&lt;&gt;"",$N305&gt;DateRef)," | Entretien daté dans le futur ?","")&amp;IF(AND($Q305&lt;&gt;"",$P305&lt;&gt;"",$Q305&gt;$P305)," | Date prévue après l'échéance","")&amp;IF(AND($Q305&lt;&gt;"",$Q305&lt;DateRef,OR($N305="",$N305&lt;$Q305))," | Entretien prévu passé : le consigner au Journal","")&amp;IF(AND($G305&lt;&gt;"",$X305="",YEAR(DateRef)-YEAR($G305)&gt;=AgeMiCarriere-1,YEAR(DateRef)-YEAR($G305)&lt;=AgeMiCarriere+1)," | Visite de mi-carrière à vérifier",""),4,1000))</f>
        <v/>
      </c>
      <c r="U305" s="39"/>
      <c r="V305" s="40"/>
      <c r="W305" s="42" t="str">
        <f aca="false">IF(OR($B305="",$V305=""),"",IF(AND($I305&lt;&gt;"",$I305&lt;=DateRef),"",IF(AND($N305&lt;&gt;"",$N305&gt;=$V305),"Réalisé",IF(AND($N305&lt;&gt;"",$N305&gt;=EDATE($V305,-FenetreRetour)),"Dispensé (EPP récent)",IF($V305&gt;DateRef,"À prévoir à la reprise","À proposer (reprise passée)")))))</f>
        <v/>
      </c>
      <c r="X305" s="40"/>
      <c r="Y305" s="43" t="str">
        <f aca="false">IF(OR($B305="",$X305=""),"",EDATE($X305,DelaiMiCarriere))</f>
        <v/>
      </c>
      <c r="Z305" s="42" t="str">
        <f aca="false">IF(OR($B305="",$X305=""),"",IF(AND($I305&lt;&gt;"",$I305&lt;=DateRef),"",IF(AND($N305&lt;&gt;"",$N305&gt;=$X305),"Réalisé",IF($Y305&lt;DateRef,"En retard","À planifier"))))</f>
        <v/>
      </c>
      <c r="AA305" s="47" t="str">
        <f aca="false">IF(OR($B305="",$G305=""),"",IF($G305&gt;DateRef,"",DATEDIF($G305,DateRef,"y")))</f>
        <v/>
      </c>
      <c r="AB305" s="43" t="str">
        <f aca="false">IF(OR($B305="",$G305=""),"",EDATE($G305,AgeFinCarriere*12))</f>
        <v/>
      </c>
      <c r="AC305" s="42" t="str">
        <f aca="false">IF(OR($B305="",$G305="",$H305=""),"",IF(AND($I305&lt;&gt;"",$I305&lt;=DateRef),"",IF($AB305&lt;DateVigueur,"Non concerné",IF(AND($N305&lt;&gt;"",$N305&gt;=MAX(EDATE($AB305,-FenetreFinCarriere*12),DateVigueur),$N305&lt;=$AB305),"Réalisé",IF(DateRef&gt;$AB305,"Non réalisé",IF(AND($Q305&lt;&gt;"",$Q305&gt;=EDATE($AB305,-FenetreFinCarriere*12),$Q305&lt;=$AB305),"Planifié dans la fenêtre",IF(AND(MAX($P305,DateRef)&gt;=EDATE($AB305,-FenetreFinCarriere*12),MAX($P305,DateRef)&lt;=$AB305),"Prochain EPP dans la fenêtre",IF(MAX($P305,DateRef)&gt;$AB305,"À programmer avant 60 ans",""))))))))</f>
        <v/>
      </c>
      <c r="AD305" s="40"/>
      <c r="AE305" s="43" t="str">
        <f aca="false">IF(OR($B305="",$H305="",AND($I305&lt;&gt;"",$I305&lt;=DateRef)),"",MAX($H305,$AD305,IF($A305="",0,SUMPRODUCT(MAX((Journal!$A$6:$A$1005=$A305)*((Journal!$D$6:$D$1005=TypeEDL)+(Journal!$D$6:$D$1005=TypeBilan6))*Journal!$C$6:$C$1005)))))</f>
        <v/>
      </c>
      <c r="AF305" s="43" t="str">
        <f aca="false">IF($AE305="","",IF(AND(ReglesTransitoires="Oui",EDATE($AE305,AnciennePeriodiciteEDL*12)&lt;DateVigueur),EDATE($AE305,AnciennePeriodiciteEDL*12),EDATE($AE305,PeriodiciteEDL*12)))</f>
        <v/>
      </c>
      <c r="AG305" s="42" t="str">
        <f aca="false">IF($AF305="","",IF(AND($I305&lt;&gt;"",$I305&lt;=DateRef),"",IF($AF305&lt;DateRef,"En retard",IF($AF305-DateRef&lt;=SeuilAlerteEDL,"À prévoir","À jour"))))</f>
        <v/>
      </c>
      <c r="AH305" s="39"/>
      <c r="AI305" s="39"/>
      <c r="AJ305" s="42" t="str">
        <f aca="false">IF(OR($B305="",$H305=""),"",IF(AND($I305&lt;&gt;"",$I305&lt;=DateRef),"",IF(Effectif&lt;SeuilEffectif,"Non concerné (&lt; "&amp;SeuilEffectif&amp;" salariés)",IF($AH305="Oui","Pas de risque",IF(AND(OR($AI305="Non",$S305="En retard"),$AH305="Non"),"Risque abondement",IF(OR($AI305="Non",$S305="En retard"),"À vérifier (formation ?)",IF($AI305="Oui","Pas de risque","À compléter")))))))</f>
        <v/>
      </c>
      <c r="AK305" s="39"/>
    </row>
    <row r="306" customFormat="false" ht="15" hidden="false" customHeight="false" outlineLevel="0" collapsed="false">
      <c r="A306" s="39"/>
      <c r="B306" s="39"/>
      <c r="C306" s="39"/>
      <c r="D306" s="39"/>
      <c r="E306" s="39"/>
      <c r="F306" s="39"/>
      <c r="G306" s="40"/>
      <c r="H306" s="40"/>
      <c r="I306" s="40"/>
      <c r="J306" s="41" t="str">
        <f aca="false">IF(OR($B306="",$H306=""),"",IF($H306&gt;DateRef,0,YEARFRAC($H306,DateRef,1)))</f>
        <v/>
      </c>
      <c r="K306" s="42" t="str">
        <f aca="false">IF(OR($B306="",$H306=""),"",IF(EDATE($H306,12)&lt;=DateRef,"Plus d'un an","Moins d'un an"))</f>
        <v/>
      </c>
      <c r="L306" s="40"/>
      <c r="M306" s="43" t="str">
        <f aca="false">IF(OR($B306="",$A306=""),"",IF(SUMPRODUCT(MAX((Journal!$A$6:$A$1005=$A306)*Journal!$C$6:$C$1005))=0,"",SUMPRODUCT(MAX((Journal!$A$6:$A$1005=$A306)*Journal!$C$6:$C$1005))))</f>
        <v/>
      </c>
      <c r="N306" s="43" t="str">
        <f aca="false">IF($B306="","",IF(MAX($L306,$M306)=0,"",MAX($L306,$M306)))</f>
        <v/>
      </c>
      <c r="O306" s="44" t="str">
        <f aca="false">IF(OR($B306="",$H306=""),"",IF($N306="",IF(EDATE($H306,DelaiPremierEPP)&gt;DateRef,"1er EPP (1re année)","Aucun entretien renseigné"),IF(AND(ReglesTransitoires="Oui",EDATE($N306,AnciennePeriodiciteEP*12)&lt;DateVigueur),"Retard antérieur à la réforme","Périodicité "&amp;PeriodiciteEPP&amp;" ans")))</f>
        <v/>
      </c>
      <c r="P306" s="43" t="str">
        <f aca="false">IF(OR($B306="",$H306=""),"",IF($N306="",EDATE($H306,DelaiPremierEPP),IF(AND(ReglesTransitoires="Oui",EDATE($N306,AnciennePeriodiciteEP*12)&lt;DateVigueur),EDATE($N306,AnciennePeriodiciteEP*12),EDATE($N306,PeriodiciteEPP*12))))</f>
        <v/>
      </c>
      <c r="Q306" s="40"/>
      <c r="R306" s="45" t="str">
        <f aca="false">IF(OR($P306="",AND($I306&lt;&gt;"",$I306&lt;=DateRef)),"",$P306-DateRef)</f>
        <v/>
      </c>
      <c r="S306" s="42" t="str">
        <f aca="false">IF($B306="","",IF(AND($I306&lt;&gt;"",$I306&lt;=DateRef),"Sorti",IF($H306="","À compléter",IF(AND($Q306&lt;&gt;"",$Q306&gt;=DateRef,$Q306&lt;=$P306),"Planifié",IF($R306&lt;0,"En retard",IF($R306&lt;=SeuilAlerteEPP,"À planifier","À jour"))))))</f>
        <v/>
      </c>
      <c r="T306" s="46" t="str">
        <f aca="false">IF(OR($B306="",$S306="Sorti"),"",MID(IF($H306=""," | Date d'embauche manquante","")&amp;IF(AND($K306="Plus d'un an",$N306="")," | Précédent entretien à renseigner (ancienneté &gt; 1 an)","")&amp;IF($O306="Retard antérieur à la réforme"," | Ancien délai de 2 ans expiré avant la réforme","")&amp;IF(AND($N306&lt;&gt;"",$H306&lt;&gt;"",$N306&lt;$H306)," | Entretien antérieur à l'embauche ?","")&amp;IF(AND($N306&lt;&gt;"",$N306&gt;DateRef)," | Entretien daté dans le futur ?","")&amp;IF(AND($Q306&lt;&gt;"",$P306&lt;&gt;"",$Q306&gt;$P306)," | Date prévue après l'échéance","")&amp;IF(AND($Q306&lt;&gt;"",$Q306&lt;DateRef,OR($N306="",$N306&lt;$Q306))," | Entretien prévu passé : le consigner au Journal","")&amp;IF(AND($G306&lt;&gt;"",$X306="",YEAR(DateRef)-YEAR($G306)&gt;=AgeMiCarriere-1,YEAR(DateRef)-YEAR($G306)&lt;=AgeMiCarriere+1)," | Visite de mi-carrière à vérifier",""),4,1000))</f>
        <v/>
      </c>
      <c r="U306" s="39"/>
      <c r="V306" s="40"/>
      <c r="W306" s="42" t="str">
        <f aca="false">IF(OR($B306="",$V306=""),"",IF(AND($I306&lt;&gt;"",$I306&lt;=DateRef),"",IF(AND($N306&lt;&gt;"",$N306&gt;=$V306),"Réalisé",IF(AND($N306&lt;&gt;"",$N306&gt;=EDATE($V306,-FenetreRetour)),"Dispensé (EPP récent)",IF($V306&gt;DateRef,"À prévoir à la reprise","À proposer (reprise passée)")))))</f>
        <v/>
      </c>
      <c r="X306" s="40"/>
      <c r="Y306" s="43" t="str">
        <f aca="false">IF(OR($B306="",$X306=""),"",EDATE($X306,DelaiMiCarriere))</f>
        <v/>
      </c>
      <c r="Z306" s="42" t="str">
        <f aca="false">IF(OR($B306="",$X306=""),"",IF(AND($I306&lt;&gt;"",$I306&lt;=DateRef),"",IF(AND($N306&lt;&gt;"",$N306&gt;=$X306),"Réalisé",IF($Y306&lt;DateRef,"En retard","À planifier"))))</f>
        <v/>
      </c>
      <c r="AA306" s="47" t="str">
        <f aca="false">IF(OR($B306="",$G306=""),"",IF($G306&gt;DateRef,"",DATEDIF($G306,DateRef,"y")))</f>
        <v/>
      </c>
      <c r="AB306" s="43" t="str">
        <f aca="false">IF(OR($B306="",$G306=""),"",EDATE($G306,AgeFinCarriere*12))</f>
        <v/>
      </c>
      <c r="AC306" s="42" t="str">
        <f aca="false">IF(OR($B306="",$G306="",$H306=""),"",IF(AND($I306&lt;&gt;"",$I306&lt;=DateRef),"",IF($AB306&lt;DateVigueur,"Non concerné",IF(AND($N306&lt;&gt;"",$N306&gt;=MAX(EDATE($AB306,-FenetreFinCarriere*12),DateVigueur),$N306&lt;=$AB306),"Réalisé",IF(DateRef&gt;$AB306,"Non réalisé",IF(AND($Q306&lt;&gt;"",$Q306&gt;=EDATE($AB306,-FenetreFinCarriere*12),$Q306&lt;=$AB306),"Planifié dans la fenêtre",IF(AND(MAX($P306,DateRef)&gt;=EDATE($AB306,-FenetreFinCarriere*12),MAX($P306,DateRef)&lt;=$AB306),"Prochain EPP dans la fenêtre",IF(MAX($P306,DateRef)&gt;$AB306,"À programmer avant 60 ans",""))))))))</f>
        <v/>
      </c>
      <c r="AD306" s="40"/>
      <c r="AE306" s="43" t="str">
        <f aca="false">IF(OR($B306="",$H306="",AND($I306&lt;&gt;"",$I306&lt;=DateRef)),"",MAX($H306,$AD306,IF($A306="",0,SUMPRODUCT(MAX((Journal!$A$6:$A$1005=$A306)*((Journal!$D$6:$D$1005=TypeEDL)+(Journal!$D$6:$D$1005=TypeBilan6))*Journal!$C$6:$C$1005)))))</f>
        <v/>
      </c>
      <c r="AF306" s="43" t="str">
        <f aca="false">IF($AE306="","",IF(AND(ReglesTransitoires="Oui",EDATE($AE306,AnciennePeriodiciteEDL*12)&lt;DateVigueur),EDATE($AE306,AnciennePeriodiciteEDL*12),EDATE($AE306,PeriodiciteEDL*12)))</f>
        <v/>
      </c>
      <c r="AG306" s="42" t="str">
        <f aca="false">IF($AF306="","",IF(AND($I306&lt;&gt;"",$I306&lt;=DateRef),"",IF($AF306&lt;DateRef,"En retard",IF($AF306-DateRef&lt;=SeuilAlerteEDL,"À prévoir","À jour"))))</f>
        <v/>
      </c>
      <c r="AH306" s="39"/>
      <c r="AI306" s="39"/>
      <c r="AJ306" s="42" t="str">
        <f aca="false">IF(OR($B306="",$H306=""),"",IF(AND($I306&lt;&gt;"",$I306&lt;=DateRef),"",IF(Effectif&lt;SeuilEffectif,"Non concerné (&lt; "&amp;SeuilEffectif&amp;" salariés)",IF($AH306="Oui","Pas de risque",IF(AND(OR($AI306="Non",$S306="En retard"),$AH306="Non"),"Risque abondement",IF(OR($AI306="Non",$S306="En retard"),"À vérifier (formation ?)",IF($AI306="Oui","Pas de risque","À compléter")))))))</f>
        <v/>
      </c>
      <c r="AK306" s="39"/>
    </row>
    <row r="307" customFormat="false" ht="15" hidden="false" customHeight="false" outlineLevel="0" collapsed="false">
      <c r="A307" s="39"/>
      <c r="B307" s="39"/>
      <c r="C307" s="39"/>
      <c r="D307" s="39"/>
      <c r="E307" s="39"/>
      <c r="F307" s="39"/>
      <c r="G307" s="40"/>
      <c r="H307" s="40"/>
      <c r="I307" s="40"/>
      <c r="J307" s="41" t="str">
        <f aca="false">IF(OR($B307="",$H307=""),"",IF($H307&gt;DateRef,0,YEARFRAC($H307,DateRef,1)))</f>
        <v/>
      </c>
      <c r="K307" s="42" t="str">
        <f aca="false">IF(OR($B307="",$H307=""),"",IF(EDATE($H307,12)&lt;=DateRef,"Plus d'un an","Moins d'un an"))</f>
        <v/>
      </c>
      <c r="L307" s="40"/>
      <c r="M307" s="43" t="str">
        <f aca="false">IF(OR($B307="",$A307=""),"",IF(SUMPRODUCT(MAX((Journal!$A$6:$A$1005=$A307)*Journal!$C$6:$C$1005))=0,"",SUMPRODUCT(MAX((Journal!$A$6:$A$1005=$A307)*Journal!$C$6:$C$1005))))</f>
        <v/>
      </c>
      <c r="N307" s="43" t="str">
        <f aca="false">IF($B307="","",IF(MAX($L307,$M307)=0,"",MAX($L307,$M307)))</f>
        <v/>
      </c>
      <c r="O307" s="44" t="str">
        <f aca="false">IF(OR($B307="",$H307=""),"",IF($N307="",IF(EDATE($H307,DelaiPremierEPP)&gt;DateRef,"1er EPP (1re année)","Aucun entretien renseigné"),IF(AND(ReglesTransitoires="Oui",EDATE($N307,AnciennePeriodiciteEP*12)&lt;DateVigueur),"Retard antérieur à la réforme","Périodicité "&amp;PeriodiciteEPP&amp;" ans")))</f>
        <v/>
      </c>
      <c r="P307" s="43" t="str">
        <f aca="false">IF(OR($B307="",$H307=""),"",IF($N307="",EDATE($H307,DelaiPremierEPP),IF(AND(ReglesTransitoires="Oui",EDATE($N307,AnciennePeriodiciteEP*12)&lt;DateVigueur),EDATE($N307,AnciennePeriodiciteEP*12),EDATE($N307,PeriodiciteEPP*12))))</f>
        <v/>
      </c>
      <c r="Q307" s="40"/>
      <c r="R307" s="45" t="str">
        <f aca="false">IF(OR($P307="",AND($I307&lt;&gt;"",$I307&lt;=DateRef)),"",$P307-DateRef)</f>
        <v/>
      </c>
      <c r="S307" s="42" t="str">
        <f aca="false">IF($B307="","",IF(AND($I307&lt;&gt;"",$I307&lt;=DateRef),"Sorti",IF($H307="","À compléter",IF(AND($Q307&lt;&gt;"",$Q307&gt;=DateRef,$Q307&lt;=$P307),"Planifié",IF($R307&lt;0,"En retard",IF($R307&lt;=SeuilAlerteEPP,"À planifier","À jour"))))))</f>
        <v/>
      </c>
      <c r="T307" s="46" t="str">
        <f aca="false">IF(OR($B307="",$S307="Sorti"),"",MID(IF($H307=""," | Date d'embauche manquante","")&amp;IF(AND($K307="Plus d'un an",$N307="")," | Précédent entretien à renseigner (ancienneté &gt; 1 an)","")&amp;IF($O307="Retard antérieur à la réforme"," | Ancien délai de 2 ans expiré avant la réforme","")&amp;IF(AND($N307&lt;&gt;"",$H307&lt;&gt;"",$N307&lt;$H307)," | Entretien antérieur à l'embauche ?","")&amp;IF(AND($N307&lt;&gt;"",$N307&gt;DateRef)," | Entretien daté dans le futur ?","")&amp;IF(AND($Q307&lt;&gt;"",$P307&lt;&gt;"",$Q307&gt;$P307)," | Date prévue après l'échéance","")&amp;IF(AND($Q307&lt;&gt;"",$Q307&lt;DateRef,OR($N307="",$N307&lt;$Q307))," | Entretien prévu passé : le consigner au Journal","")&amp;IF(AND($G307&lt;&gt;"",$X307="",YEAR(DateRef)-YEAR($G307)&gt;=AgeMiCarriere-1,YEAR(DateRef)-YEAR($G307)&lt;=AgeMiCarriere+1)," | Visite de mi-carrière à vérifier",""),4,1000))</f>
        <v/>
      </c>
      <c r="U307" s="39"/>
      <c r="V307" s="40"/>
      <c r="W307" s="42" t="str">
        <f aca="false">IF(OR($B307="",$V307=""),"",IF(AND($I307&lt;&gt;"",$I307&lt;=DateRef),"",IF(AND($N307&lt;&gt;"",$N307&gt;=$V307),"Réalisé",IF(AND($N307&lt;&gt;"",$N307&gt;=EDATE($V307,-FenetreRetour)),"Dispensé (EPP récent)",IF($V307&gt;DateRef,"À prévoir à la reprise","À proposer (reprise passée)")))))</f>
        <v/>
      </c>
      <c r="X307" s="40"/>
      <c r="Y307" s="43" t="str">
        <f aca="false">IF(OR($B307="",$X307=""),"",EDATE($X307,DelaiMiCarriere))</f>
        <v/>
      </c>
      <c r="Z307" s="42" t="str">
        <f aca="false">IF(OR($B307="",$X307=""),"",IF(AND($I307&lt;&gt;"",$I307&lt;=DateRef),"",IF(AND($N307&lt;&gt;"",$N307&gt;=$X307),"Réalisé",IF($Y307&lt;DateRef,"En retard","À planifier"))))</f>
        <v/>
      </c>
      <c r="AA307" s="47" t="str">
        <f aca="false">IF(OR($B307="",$G307=""),"",IF($G307&gt;DateRef,"",DATEDIF($G307,DateRef,"y")))</f>
        <v/>
      </c>
      <c r="AB307" s="43" t="str">
        <f aca="false">IF(OR($B307="",$G307=""),"",EDATE($G307,AgeFinCarriere*12))</f>
        <v/>
      </c>
      <c r="AC307" s="42" t="str">
        <f aca="false">IF(OR($B307="",$G307="",$H307=""),"",IF(AND($I307&lt;&gt;"",$I307&lt;=DateRef),"",IF($AB307&lt;DateVigueur,"Non concerné",IF(AND($N307&lt;&gt;"",$N307&gt;=MAX(EDATE($AB307,-FenetreFinCarriere*12),DateVigueur),$N307&lt;=$AB307),"Réalisé",IF(DateRef&gt;$AB307,"Non réalisé",IF(AND($Q307&lt;&gt;"",$Q307&gt;=EDATE($AB307,-FenetreFinCarriere*12),$Q307&lt;=$AB307),"Planifié dans la fenêtre",IF(AND(MAX($P307,DateRef)&gt;=EDATE($AB307,-FenetreFinCarriere*12),MAX($P307,DateRef)&lt;=$AB307),"Prochain EPP dans la fenêtre",IF(MAX($P307,DateRef)&gt;$AB307,"À programmer avant 60 ans",""))))))))</f>
        <v/>
      </c>
      <c r="AD307" s="40"/>
      <c r="AE307" s="43" t="str">
        <f aca="false">IF(OR($B307="",$H307="",AND($I307&lt;&gt;"",$I307&lt;=DateRef)),"",MAX($H307,$AD307,IF($A307="",0,SUMPRODUCT(MAX((Journal!$A$6:$A$1005=$A307)*((Journal!$D$6:$D$1005=TypeEDL)+(Journal!$D$6:$D$1005=TypeBilan6))*Journal!$C$6:$C$1005)))))</f>
        <v/>
      </c>
      <c r="AF307" s="43" t="str">
        <f aca="false">IF($AE307="","",IF(AND(ReglesTransitoires="Oui",EDATE($AE307,AnciennePeriodiciteEDL*12)&lt;DateVigueur),EDATE($AE307,AnciennePeriodiciteEDL*12),EDATE($AE307,PeriodiciteEDL*12)))</f>
        <v/>
      </c>
      <c r="AG307" s="42" t="str">
        <f aca="false">IF($AF307="","",IF(AND($I307&lt;&gt;"",$I307&lt;=DateRef),"",IF($AF307&lt;DateRef,"En retard",IF($AF307-DateRef&lt;=SeuilAlerteEDL,"À prévoir","À jour"))))</f>
        <v/>
      </c>
      <c r="AH307" s="39"/>
      <c r="AI307" s="39"/>
      <c r="AJ307" s="42" t="str">
        <f aca="false">IF(OR($B307="",$H307=""),"",IF(AND($I307&lt;&gt;"",$I307&lt;=DateRef),"",IF(Effectif&lt;SeuilEffectif,"Non concerné (&lt; "&amp;SeuilEffectif&amp;" salariés)",IF($AH307="Oui","Pas de risque",IF(AND(OR($AI307="Non",$S307="En retard"),$AH307="Non"),"Risque abondement",IF(OR($AI307="Non",$S307="En retard"),"À vérifier (formation ?)",IF($AI307="Oui","Pas de risque","À compléter")))))))</f>
        <v/>
      </c>
      <c r="AK307" s="39"/>
    </row>
    <row r="308" customFormat="false" ht="15" hidden="false" customHeight="false" outlineLevel="0" collapsed="false">
      <c r="A308" s="39"/>
      <c r="B308" s="39"/>
      <c r="C308" s="39"/>
      <c r="D308" s="39"/>
      <c r="E308" s="39"/>
      <c r="F308" s="39"/>
      <c r="G308" s="40"/>
      <c r="H308" s="40"/>
      <c r="I308" s="40"/>
      <c r="J308" s="41" t="str">
        <f aca="false">IF(OR($B308="",$H308=""),"",IF($H308&gt;DateRef,0,YEARFRAC($H308,DateRef,1)))</f>
        <v/>
      </c>
      <c r="K308" s="42" t="str">
        <f aca="false">IF(OR($B308="",$H308=""),"",IF(EDATE($H308,12)&lt;=DateRef,"Plus d'un an","Moins d'un an"))</f>
        <v/>
      </c>
      <c r="L308" s="40"/>
      <c r="M308" s="43" t="str">
        <f aca="false">IF(OR($B308="",$A308=""),"",IF(SUMPRODUCT(MAX((Journal!$A$6:$A$1005=$A308)*Journal!$C$6:$C$1005))=0,"",SUMPRODUCT(MAX((Journal!$A$6:$A$1005=$A308)*Journal!$C$6:$C$1005))))</f>
        <v/>
      </c>
      <c r="N308" s="43" t="str">
        <f aca="false">IF($B308="","",IF(MAX($L308,$M308)=0,"",MAX($L308,$M308)))</f>
        <v/>
      </c>
      <c r="O308" s="44" t="str">
        <f aca="false">IF(OR($B308="",$H308=""),"",IF($N308="",IF(EDATE($H308,DelaiPremierEPP)&gt;DateRef,"1er EPP (1re année)","Aucun entretien renseigné"),IF(AND(ReglesTransitoires="Oui",EDATE($N308,AnciennePeriodiciteEP*12)&lt;DateVigueur),"Retard antérieur à la réforme","Périodicité "&amp;PeriodiciteEPP&amp;" ans")))</f>
        <v/>
      </c>
      <c r="P308" s="43" t="str">
        <f aca="false">IF(OR($B308="",$H308=""),"",IF($N308="",EDATE($H308,DelaiPremierEPP),IF(AND(ReglesTransitoires="Oui",EDATE($N308,AnciennePeriodiciteEP*12)&lt;DateVigueur),EDATE($N308,AnciennePeriodiciteEP*12),EDATE($N308,PeriodiciteEPP*12))))</f>
        <v/>
      </c>
      <c r="Q308" s="40"/>
      <c r="R308" s="45" t="str">
        <f aca="false">IF(OR($P308="",AND($I308&lt;&gt;"",$I308&lt;=DateRef)),"",$P308-DateRef)</f>
        <v/>
      </c>
      <c r="S308" s="42" t="str">
        <f aca="false">IF($B308="","",IF(AND($I308&lt;&gt;"",$I308&lt;=DateRef),"Sorti",IF($H308="","À compléter",IF(AND($Q308&lt;&gt;"",$Q308&gt;=DateRef,$Q308&lt;=$P308),"Planifié",IF($R308&lt;0,"En retard",IF($R308&lt;=SeuilAlerteEPP,"À planifier","À jour"))))))</f>
        <v/>
      </c>
      <c r="T308" s="46" t="str">
        <f aca="false">IF(OR($B308="",$S308="Sorti"),"",MID(IF($H308=""," | Date d'embauche manquante","")&amp;IF(AND($K308="Plus d'un an",$N308="")," | Précédent entretien à renseigner (ancienneté &gt; 1 an)","")&amp;IF($O308="Retard antérieur à la réforme"," | Ancien délai de 2 ans expiré avant la réforme","")&amp;IF(AND($N308&lt;&gt;"",$H308&lt;&gt;"",$N308&lt;$H308)," | Entretien antérieur à l'embauche ?","")&amp;IF(AND($N308&lt;&gt;"",$N308&gt;DateRef)," | Entretien daté dans le futur ?","")&amp;IF(AND($Q308&lt;&gt;"",$P308&lt;&gt;"",$Q308&gt;$P308)," | Date prévue après l'échéance","")&amp;IF(AND($Q308&lt;&gt;"",$Q308&lt;DateRef,OR($N308="",$N308&lt;$Q308))," | Entretien prévu passé : le consigner au Journal","")&amp;IF(AND($G308&lt;&gt;"",$X308="",YEAR(DateRef)-YEAR($G308)&gt;=AgeMiCarriere-1,YEAR(DateRef)-YEAR($G308)&lt;=AgeMiCarriere+1)," | Visite de mi-carrière à vérifier",""),4,1000))</f>
        <v/>
      </c>
      <c r="U308" s="39"/>
      <c r="V308" s="40"/>
      <c r="W308" s="42" t="str">
        <f aca="false">IF(OR($B308="",$V308=""),"",IF(AND($I308&lt;&gt;"",$I308&lt;=DateRef),"",IF(AND($N308&lt;&gt;"",$N308&gt;=$V308),"Réalisé",IF(AND($N308&lt;&gt;"",$N308&gt;=EDATE($V308,-FenetreRetour)),"Dispensé (EPP récent)",IF($V308&gt;DateRef,"À prévoir à la reprise","À proposer (reprise passée)")))))</f>
        <v/>
      </c>
      <c r="X308" s="40"/>
      <c r="Y308" s="43" t="str">
        <f aca="false">IF(OR($B308="",$X308=""),"",EDATE($X308,DelaiMiCarriere))</f>
        <v/>
      </c>
      <c r="Z308" s="42" t="str">
        <f aca="false">IF(OR($B308="",$X308=""),"",IF(AND($I308&lt;&gt;"",$I308&lt;=DateRef),"",IF(AND($N308&lt;&gt;"",$N308&gt;=$X308),"Réalisé",IF($Y308&lt;DateRef,"En retard","À planifier"))))</f>
        <v/>
      </c>
      <c r="AA308" s="47" t="str">
        <f aca="false">IF(OR($B308="",$G308=""),"",IF($G308&gt;DateRef,"",DATEDIF($G308,DateRef,"y")))</f>
        <v/>
      </c>
      <c r="AB308" s="43" t="str">
        <f aca="false">IF(OR($B308="",$G308=""),"",EDATE($G308,AgeFinCarriere*12))</f>
        <v/>
      </c>
      <c r="AC308" s="42" t="str">
        <f aca="false">IF(OR($B308="",$G308="",$H308=""),"",IF(AND($I308&lt;&gt;"",$I308&lt;=DateRef),"",IF($AB308&lt;DateVigueur,"Non concerné",IF(AND($N308&lt;&gt;"",$N308&gt;=MAX(EDATE($AB308,-FenetreFinCarriere*12),DateVigueur),$N308&lt;=$AB308),"Réalisé",IF(DateRef&gt;$AB308,"Non réalisé",IF(AND($Q308&lt;&gt;"",$Q308&gt;=EDATE($AB308,-FenetreFinCarriere*12),$Q308&lt;=$AB308),"Planifié dans la fenêtre",IF(AND(MAX($P308,DateRef)&gt;=EDATE($AB308,-FenetreFinCarriere*12),MAX($P308,DateRef)&lt;=$AB308),"Prochain EPP dans la fenêtre",IF(MAX($P308,DateRef)&gt;$AB308,"À programmer avant 60 ans",""))))))))</f>
        <v/>
      </c>
      <c r="AD308" s="40"/>
      <c r="AE308" s="43" t="str">
        <f aca="false">IF(OR($B308="",$H308="",AND($I308&lt;&gt;"",$I308&lt;=DateRef)),"",MAX($H308,$AD308,IF($A308="",0,SUMPRODUCT(MAX((Journal!$A$6:$A$1005=$A308)*((Journal!$D$6:$D$1005=TypeEDL)+(Journal!$D$6:$D$1005=TypeBilan6))*Journal!$C$6:$C$1005)))))</f>
        <v/>
      </c>
      <c r="AF308" s="43" t="str">
        <f aca="false">IF($AE308="","",IF(AND(ReglesTransitoires="Oui",EDATE($AE308,AnciennePeriodiciteEDL*12)&lt;DateVigueur),EDATE($AE308,AnciennePeriodiciteEDL*12),EDATE($AE308,PeriodiciteEDL*12)))</f>
        <v/>
      </c>
      <c r="AG308" s="42" t="str">
        <f aca="false">IF($AF308="","",IF(AND($I308&lt;&gt;"",$I308&lt;=DateRef),"",IF($AF308&lt;DateRef,"En retard",IF($AF308-DateRef&lt;=SeuilAlerteEDL,"À prévoir","À jour"))))</f>
        <v/>
      </c>
      <c r="AH308" s="39"/>
      <c r="AI308" s="39"/>
      <c r="AJ308" s="42" t="str">
        <f aca="false">IF(OR($B308="",$H308=""),"",IF(AND($I308&lt;&gt;"",$I308&lt;=DateRef),"",IF(Effectif&lt;SeuilEffectif,"Non concerné (&lt; "&amp;SeuilEffectif&amp;" salariés)",IF($AH308="Oui","Pas de risque",IF(AND(OR($AI308="Non",$S308="En retard"),$AH308="Non"),"Risque abondement",IF(OR($AI308="Non",$S308="En retard"),"À vérifier (formation ?)",IF($AI308="Oui","Pas de risque","À compléter")))))))</f>
        <v/>
      </c>
      <c r="AK308" s="39"/>
    </row>
    <row r="309" customFormat="false" ht="15" hidden="false" customHeight="false" outlineLevel="0" collapsed="false">
      <c r="A309" s="39"/>
      <c r="B309" s="39"/>
      <c r="C309" s="39"/>
      <c r="D309" s="39"/>
      <c r="E309" s="39"/>
      <c r="F309" s="39"/>
      <c r="G309" s="40"/>
      <c r="H309" s="40"/>
      <c r="I309" s="40"/>
      <c r="J309" s="41" t="str">
        <f aca="false">IF(OR($B309="",$H309=""),"",IF($H309&gt;DateRef,0,YEARFRAC($H309,DateRef,1)))</f>
        <v/>
      </c>
      <c r="K309" s="42" t="str">
        <f aca="false">IF(OR($B309="",$H309=""),"",IF(EDATE($H309,12)&lt;=DateRef,"Plus d'un an","Moins d'un an"))</f>
        <v/>
      </c>
      <c r="L309" s="40"/>
      <c r="M309" s="43" t="str">
        <f aca="false">IF(OR($B309="",$A309=""),"",IF(SUMPRODUCT(MAX((Journal!$A$6:$A$1005=$A309)*Journal!$C$6:$C$1005))=0,"",SUMPRODUCT(MAX((Journal!$A$6:$A$1005=$A309)*Journal!$C$6:$C$1005))))</f>
        <v/>
      </c>
      <c r="N309" s="43" t="str">
        <f aca="false">IF($B309="","",IF(MAX($L309,$M309)=0,"",MAX($L309,$M309)))</f>
        <v/>
      </c>
      <c r="O309" s="44" t="str">
        <f aca="false">IF(OR($B309="",$H309=""),"",IF($N309="",IF(EDATE($H309,DelaiPremierEPP)&gt;DateRef,"1er EPP (1re année)","Aucun entretien renseigné"),IF(AND(ReglesTransitoires="Oui",EDATE($N309,AnciennePeriodiciteEP*12)&lt;DateVigueur),"Retard antérieur à la réforme","Périodicité "&amp;PeriodiciteEPP&amp;" ans")))</f>
        <v/>
      </c>
      <c r="P309" s="43" t="str">
        <f aca="false">IF(OR($B309="",$H309=""),"",IF($N309="",EDATE($H309,DelaiPremierEPP),IF(AND(ReglesTransitoires="Oui",EDATE($N309,AnciennePeriodiciteEP*12)&lt;DateVigueur),EDATE($N309,AnciennePeriodiciteEP*12),EDATE($N309,PeriodiciteEPP*12))))</f>
        <v/>
      </c>
      <c r="Q309" s="40"/>
      <c r="R309" s="45" t="str">
        <f aca="false">IF(OR($P309="",AND($I309&lt;&gt;"",$I309&lt;=DateRef)),"",$P309-DateRef)</f>
        <v/>
      </c>
      <c r="S309" s="42" t="str">
        <f aca="false">IF($B309="","",IF(AND($I309&lt;&gt;"",$I309&lt;=DateRef),"Sorti",IF($H309="","À compléter",IF(AND($Q309&lt;&gt;"",$Q309&gt;=DateRef,$Q309&lt;=$P309),"Planifié",IF($R309&lt;0,"En retard",IF($R309&lt;=SeuilAlerteEPP,"À planifier","À jour"))))))</f>
        <v/>
      </c>
      <c r="T309" s="46" t="str">
        <f aca="false">IF(OR($B309="",$S309="Sorti"),"",MID(IF($H309=""," | Date d'embauche manquante","")&amp;IF(AND($K309="Plus d'un an",$N309="")," | Précédent entretien à renseigner (ancienneté &gt; 1 an)","")&amp;IF($O309="Retard antérieur à la réforme"," | Ancien délai de 2 ans expiré avant la réforme","")&amp;IF(AND($N309&lt;&gt;"",$H309&lt;&gt;"",$N309&lt;$H309)," | Entretien antérieur à l'embauche ?","")&amp;IF(AND($N309&lt;&gt;"",$N309&gt;DateRef)," | Entretien daté dans le futur ?","")&amp;IF(AND($Q309&lt;&gt;"",$P309&lt;&gt;"",$Q309&gt;$P309)," | Date prévue après l'échéance","")&amp;IF(AND($Q309&lt;&gt;"",$Q309&lt;DateRef,OR($N309="",$N309&lt;$Q309))," | Entretien prévu passé : le consigner au Journal","")&amp;IF(AND($G309&lt;&gt;"",$X309="",YEAR(DateRef)-YEAR($G309)&gt;=AgeMiCarriere-1,YEAR(DateRef)-YEAR($G309)&lt;=AgeMiCarriere+1)," | Visite de mi-carrière à vérifier",""),4,1000))</f>
        <v/>
      </c>
      <c r="U309" s="39"/>
      <c r="V309" s="40"/>
      <c r="W309" s="42" t="str">
        <f aca="false">IF(OR($B309="",$V309=""),"",IF(AND($I309&lt;&gt;"",$I309&lt;=DateRef),"",IF(AND($N309&lt;&gt;"",$N309&gt;=$V309),"Réalisé",IF(AND($N309&lt;&gt;"",$N309&gt;=EDATE($V309,-FenetreRetour)),"Dispensé (EPP récent)",IF($V309&gt;DateRef,"À prévoir à la reprise","À proposer (reprise passée)")))))</f>
        <v/>
      </c>
      <c r="X309" s="40"/>
      <c r="Y309" s="43" t="str">
        <f aca="false">IF(OR($B309="",$X309=""),"",EDATE($X309,DelaiMiCarriere))</f>
        <v/>
      </c>
      <c r="Z309" s="42" t="str">
        <f aca="false">IF(OR($B309="",$X309=""),"",IF(AND($I309&lt;&gt;"",$I309&lt;=DateRef),"",IF(AND($N309&lt;&gt;"",$N309&gt;=$X309),"Réalisé",IF($Y309&lt;DateRef,"En retard","À planifier"))))</f>
        <v/>
      </c>
      <c r="AA309" s="47" t="str">
        <f aca="false">IF(OR($B309="",$G309=""),"",IF($G309&gt;DateRef,"",DATEDIF($G309,DateRef,"y")))</f>
        <v/>
      </c>
      <c r="AB309" s="43" t="str">
        <f aca="false">IF(OR($B309="",$G309=""),"",EDATE($G309,AgeFinCarriere*12))</f>
        <v/>
      </c>
      <c r="AC309" s="42" t="str">
        <f aca="false">IF(OR($B309="",$G309="",$H309=""),"",IF(AND($I309&lt;&gt;"",$I309&lt;=DateRef),"",IF($AB309&lt;DateVigueur,"Non concerné",IF(AND($N309&lt;&gt;"",$N309&gt;=MAX(EDATE($AB309,-FenetreFinCarriere*12),DateVigueur),$N309&lt;=$AB309),"Réalisé",IF(DateRef&gt;$AB309,"Non réalisé",IF(AND($Q309&lt;&gt;"",$Q309&gt;=EDATE($AB309,-FenetreFinCarriere*12),$Q309&lt;=$AB309),"Planifié dans la fenêtre",IF(AND(MAX($P309,DateRef)&gt;=EDATE($AB309,-FenetreFinCarriere*12),MAX($P309,DateRef)&lt;=$AB309),"Prochain EPP dans la fenêtre",IF(MAX($P309,DateRef)&gt;$AB309,"À programmer avant 60 ans",""))))))))</f>
        <v/>
      </c>
      <c r="AD309" s="40"/>
      <c r="AE309" s="43" t="str">
        <f aca="false">IF(OR($B309="",$H309="",AND($I309&lt;&gt;"",$I309&lt;=DateRef)),"",MAX($H309,$AD309,IF($A309="",0,SUMPRODUCT(MAX((Journal!$A$6:$A$1005=$A309)*((Journal!$D$6:$D$1005=TypeEDL)+(Journal!$D$6:$D$1005=TypeBilan6))*Journal!$C$6:$C$1005)))))</f>
        <v/>
      </c>
      <c r="AF309" s="43" t="str">
        <f aca="false">IF($AE309="","",IF(AND(ReglesTransitoires="Oui",EDATE($AE309,AnciennePeriodiciteEDL*12)&lt;DateVigueur),EDATE($AE309,AnciennePeriodiciteEDL*12),EDATE($AE309,PeriodiciteEDL*12)))</f>
        <v/>
      </c>
      <c r="AG309" s="42" t="str">
        <f aca="false">IF($AF309="","",IF(AND($I309&lt;&gt;"",$I309&lt;=DateRef),"",IF($AF309&lt;DateRef,"En retard",IF($AF309-DateRef&lt;=SeuilAlerteEDL,"À prévoir","À jour"))))</f>
        <v/>
      </c>
      <c r="AH309" s="39"/>
      <c r="AI309" s="39"/>
      <c r="AJ309" s="42" t="str">
        <f aca="false">IF(OR($B309="",$H309=""),"",IF(AND($I309&lt;&gt;"",$I309&lt;=DateRef),"",IF(Effectif&lt;SeuilEffectif,"Non concerné (&lt; "&amp;SeuilEffectif&amp;" salariés)",IF($AH309="Oui","Pas de risque",IF(AND(OR($AI309="Non",$S309="En retard"),$AH309="Non"),"Risque abondement",IF(OR($AI309="Non",$S309="En retard"),"À vérifier (formation ?)",IF($AI309="Oui","Pas de risque","À compléter")))))))</f>
        <v/>
      </c>
      <c r="AK309" s="39"/>
    </row>
    <row r="310" customFormat="false" ht="15" hidden="false" customHeight="false" outlineLevel="0" collapsed="false">
      <c r="A310" s="39"/>
      <c r="B310" s="39"/>
      <c r="C310" s="39"/>
      <c r="D310" s="39"/>
      <c r="E310" s="39"/>
      <c r="F310" s="39"/>
      <c r="G310" s="40"/>
      <c r="H310" s="40"/>
      <c r="I310" s="40"/>
      <c r="J310" s="41" t="str">
        <f aca="false">IF(OR($B310="",$H310=""),"",IF($H310&gt;DateRef,0,YEARFRAC($H310,DateRef,1)))</f>
        <v/>
      </c>
      <c r="K310" s="42" t="str">
        <f aca="false">IF(OR($B310="",$H310=""),"",IF(EDATE($H310,12)&lt;=DateRef,"Plus d'un an","Moins d'un an"))</f>
        <v/>
      </c>
      <c r="L310" s="40"/>
      <c r="M310" s="43" t="str">
        <f aca="false">IF(OR($B310="",$A310=""),"",IF(SUMPRODUCT(MAX((Journal!$A$6:$A$1005=$A310)*Journal!$C$6:$C$1005))=0,"",SUMPRODUCT(MAX((Journal!$A$6:$A$1005=$A310)*Journal!$C$6:$C$1005))))</f>
        <v/>
      </c>
      <c r="N310" s="43" t="str">
        <f aca="false">IF($B310="","",IF(MAX($L310,$M310)=0,"",MAX($L310,$M310)))</f>
        <v/>
      </c>
      <c r="O310" s="44" t="str">
        <f aca="false">IF(OR($B310="",$H310=""),"",IF($N310="",IF(EDATE($H310,DelaiPremierEPP)&gt;DateRef,"1er EPP (1re année)","Aucun entretien renseigné"),IF(AND(ReglesTransitoires="Oui",EDATE($N310,AnciennePeriodiciteEP*12)&lt;DateVigueur),"Retard antérieur à la réforme","Périodicité "&amp;PeriodiciteEPP&amp;" ans")))</f>
        <v/>
      </c>
      <c r="P310" s="43" t="str">
        <f aca="false">IF(OR($B310="",$H310=""),"",IF($N310="",EDATE($H310,DelaiPremierEPP),IF(AND(ReglesTransitoires="Oui",EDATE($N310,AnciennePeriodiciteEP*12)&lt;DateVigueur),EDATE($N310,AnciennePeriodiciteEP*12),EDATE($N310,PeriodiciteEPP*12))))</f>
        <v/>
      </c>
      <c r="Q310" s="40"/>
      <c r="R310" s="45" t="str">
        <f aca="false">IF(OR($P310="",AND($I310&lt;&gt;"",$I310&lt;=DateRef)),"",$P310-DateRef)</f>
        <v/>
      </c>
      <c r="S310" s="42" t="str">
        <f aca="false">IF($B310="","",IF(AND($I310&lt;&gt;"",$I310&lt;=DateRef),"Sorti",IF($H310="","À compléter",IF(AND($Q310&lt;&gt;"",$Q310&gt;=DateRef,$Q310&lt;=$P310),"Planifié",IF($R310&lt;0,"En retard",IF($R310&lt;=SeuilAlerteEPP,"À planifier","À jour"))))))</f>
        <v/>
      </c>
      <c r="T310" s="46" t="str">
        <f aca="false">IF(OR($B310="",$S310="Sorti"),"",MID(IF($H310=""," | Date d'embauche manquante","")&amp;IF(AND($K310="Plus d'un an",$N310="")," | Précédent entretien à renseigner (ancienneté &gt; 1 an)","")&amp;IF($O310="Retard antérieur à la réforme"," | Ancien délai de 2 ans expiré avant la réforme","")&amp;IF(AND($N310&lt;&gt;"",$H310&lt;&gt;"",$N310&lt;$H310)," | Entretien antérieur à l'embauche ?","")&amp;IF(AND($N310&lt;&gt;"",$N310&gt;DateRef)," | Entretien daté dans le futur ?","")&amp;IF(AND($Q310&lt;&gt;"",$P310&lt;&gt;"",$Q310&gt;$P310)," | Date prévue après l'échéance","")&amp;IF(AND($Q310&lt;&gt;"",$Q310&lt;DateRef,OR($N310="",$N310&lt;$Q310))," | Entretien prévu passé : le consigner au Journal","")&amp;IF(AND($G310&lt;&gt;"",$X310="",YEAR(DateRef)-YEAR($G310)&gt;=AgeMiCarriere-1,YEAR(DateRef)-YEAR($G310)&lt;=AgeMiCarriere+1)," | Visite de mi-carrière à vérifier",""),4,1000))</f>
        <v/>
      </c>
      <c r="U310" s="39"/>
      <c r="V310" s="40"/>
      <c r="W310" s="42" t="str">
        <f aca="false">IF(OR($B310="",$V310=""),"",IF(AND($I310&lt;&gt;"",$I310&lt;=DateRef),"",IF(AND($N310&lt;&gt;"",$N310&gt;=$V310),"Réalisé",IF(AND($N310&lt;&gt;"",$N310&gt;=EDATE($V310,-FenetreRetour)),"Dispensé (EPP récent)",IF($V310&gt;DateRef,"À prévoir à la reprise","À proposer (reprise passée)")))))</f>
        <v/>
      </c>
      <c r="X310" s="40"/>
      <c r="Y310" s="43" t="str">
        <f aca="false">IF(OR($B310="",$X310=""),"",EDATE($X310,DelaiMiCarriere))</f>
        <v/>
      </c>
      <c r="Z310" s="42" t="str">
        <f aca="false">IF(OR($B310="",$X310=""),"",IF(AND($I310&lt;&gt;"",$I310&lt;=DateRef),"",IF(AND($N310&lt;&gt;"",$N310&gt;=$X310),"Réalisé",IF($Y310&lt;DateRef,"En retard","À planifier"))))</f>
        <v/>
      </c>
      <c r="AA310" s="47" t="str">
        <f aca="false">IF(OR($B310="",$G310=""),"",IF($G310&gt;DateRef,"",DATEDIF($G310,DateRef,"y")))</f>
        <v/>
      </c>
      <c r="AB310" s="43" t="str">
        <f aca="false">IF(OR($B310="",$G310=""),"",EDATE($G310,AgeFinCarriere*12))</f>
        <v/>
      </c>
      <c r="AC310" s="42" t="str">
        <f aca="false">IF(OR($B310="",$G310="",$H310=""),"",IF(AND($I310&lt;&gt;"",$I310&lt;=DateRef),"",IF($AB310&lt;DateVigueur,"Non concerné",IF(AND($N310&lt;&gt;"",$N310&gt;=MAX(EDATE($AB310,-FenetreFinCarriere*12),DateVigueur),$N310&lt;=$AB310),"Réalisé",IF(DateRef&gt;$AB310,"Non réalisé",IF(AND($Q310&lt;&gt;"",$Q310&gt;=EDATE($AB310,-FenetreFinCarriere*12),$Q310&lt;=$AB310),"Planifié dans la fenêtre",IF(AND(MAX($P310,DateRef)&gt;=EDATE($AB310,-FenetreFinCarriere*12),MAX($P310,DateRef)&lt;=$AB310),"Prochain EPP dans la fenêtre",IF(MAX($P310,DateRef)&gt;$AB310,"À programmer avant 60 ans",""))))))))</f>
        <v/>
      </c>
      <c r="AD310" s="40"/>
      <c r="AE310" s="43" t="str">
        <f aca="false">IF(OR($B310="",$H310="",AND($I310&lt;&gt;"",$I310&lt;=DateRef)),"",MAX($H310,$AD310,IF($A310="",0,SUMPRODUCT(MAX((Journal!$A$6:$A$1005=$A310)*((Journal!$D$6:$D$1005=TypeEDL)+(Journal!$D$6:$D$1005=TypeBilan6))*Journal!$C$6:$C$1005)))))</f>
        <v/>
      </c>
      <c r="AF310" s="43" t="str">
        <f aca="false">IF($AE310="","",IF(AND(ReglesTransitoires="Oui",EDATE($AE310,AnciennePeriodiciteEDL*12)&lt;DateVigueur),EDATE($AE310,AnciennePeriodiciteEDL*12),EDATE($AE310,PeriodiciteEDL*12)))</f>
        <v/>
      </c>
      <c r="AG310" s="42" t="str">
        <f aca="false">IF($AF310="","",IF(AND($I310&lt;&gt;"",$I310&lt;=DateRef),"",IF($AF310&lt;DateRef,"En retard",IF($AF310-DateRef&lt;=SeuilAlerteEDL,"À prévoir","À jour"))))</f>
        <v/>
      </c>
      <c r="AH310" s="39"/>
      <c r="AI310" s="39"/>
      <c r="AJ310" s="42" t="str">
        <f aca="false">IF(OR($B310="",$H310=""),"",IF(AND($I310&lt;&gt;"",$I310&lt;=DateRef),"",IF(Effectif&lt;SeuilEffectif,"Non concerné (&lt; "&amp;SeuilEffectif&amp;" salariés)",IF($AH310="Oui","Pas de risque",IF(AND(OR($AI310="Non",$S310="En retard"),$AH310="Non"),"Risque abondement",IF(OR($AI310="Non",$S310="En retard"),"À vérifier (formation ?)",IF($AI310="Oui","Pas de risque","À compléter")))))))</f>
        <v/>
      </c>
      <c r="AK310" s="39"/>
    </row>
    <row r="311" customFormat="false" ht="15" hidden="false" customHeight="false" outlineLevel="0" collapsed="false">
      <c r="A311" s="39"/>
      <c r="B311" s="39"/>
      <c r="C311" s="39"/>
      <c r="D311" s="39"/>
      <c r="E311" s="39"/>
      <c r="F311" s="39"/>
      <c r="G311" s="40"/>
      <c r="H311" s="40"/>
      <c r="I311" s="40"/>
      <c r="J311" s="41" t="str">
        <f aca="false">IF(OR($B311="",$H311=""),"",IF($H311&gt;DateRef,0,YEARFRAC($H311,DateRef,1)))</f>
        <v/>
      </c>
      <c r="K311" s="42" t="str">
        <f aca="false">IF(OR($B311="",$H311=""),"",IF(EDATE($H311,12)&lt;=DateRef,"Plus d'un an","Moins d'un an"))</f>
        <v/>
      </c>
      <c r="L311" s="40"/>
      <c r="M311" s="43" t="str">
        <f aca="false">IF(OR($B311="",$A311=""),"",IF(SUMPRODUCT(MAX((Journal!$A$6:$A$1005=$A311)*Journal!$C$6:$C$1005))=0,"",SUMPRODUCT(MAX((Journal!$A$6:$A$1005=$A311)*Journal!$C$6:$C$1005))))</f>
        <v/>
      </c>
      <c r="N311" s="43" t="str">
        <f aca="false">IF($B311="","",IF(MAX($L311,$M311)=0,"",MAX($L311,$M311)))</f>
        <v/>
      </c>
      <c r="O311" s="44" t="str">
        <f aca="false">IF(OR($B311="",$H311=""),"",IF($N311="",IF(EDATE($H311,DelaiPremierEPP)&gt;DateRef,"1er EPP (1re année)","Aucun entretien renseigné"),IF(AND(ReglesTransitoires="Oui",EDATE($N311,AnciennePeriodiciteEP*12)&lt;DateVigueur),"Retard antérieur à la réforme","Périodicité "&amp;PeriodiciteEPP&amp;" ans")))</f>
        <v/>
      </c>
      <c r="P311" s="43" t="str">
        <f aca="false">IF(OR($B311="",$H311=""),"",IF($N311="",EDATE($H311,DelaiPremierEPP),IF(AND(ReglesTransitoires="Oui",EDATE($N311,AnciennePeriodiciteEP*12)&lt;DateVigueur),EDATE($N311,AnciennePeriodiciteEP*12),EDATE($N311,PeriodiciteEPP*12))))</f>
        <v/>
      </c>
      <c r="Q311" s="40"/>
      <c r="R311" s="45" t="str">
        <f aca="false">IF(OR($P311="",AND($I311&lt;&gt;"",$I311&lt;=DateRef)),"",$P311-DateRef)</f>
        <v/>
      </c>
      <c r="S311" s="42" t="str">
        <f aca="false">IF($B311="","",IF(AND($I311&lt;&gt;"",$I311&lt;=DateRef),"Sorti",IF($H311="","À compléter",IF(AND($Q311&lt;&gt;"",$Q311&gt;=DateRef,$Q311&lt;=$P311),"Planifié",IF($R311&lt;0,"En retard",IF($R311&lt;=SeuilAlerteEPP,"À planifier","À jour"))))))</f>
        <v/>
      </c>
      <c r="T311" s="46" t="str">
        <f aca="false">IF(OR($B311="",$S311="Sorti"),"",MID(IF($H311=""," | Date d'embauche manquante","")&amp;IF(AND($K311="Plus d'un an",$N311="")," | Précédent entretien à renseigner (ancienneté &gt; 1 an)","")&amp;IF($O311="Retard antérieur à la réforme"," | Ancien délai de 2 ans expiré avant la réforme","")&amp;IF(AND($N311&lt;&gt;"",$H311&lt;&gt;"",$N311&lt;$H311)," | Entretien antérieur à l'embauche ?","")&amp;IF(AND($N311&lt;&gt;"",$N311&gt;DateRef)," | Entretien daté dans le futur ?","")&amp;IF(AND($Q311&lt;&gt;"",$P311&lt;&gt;"",$Q311&gt;$P311)," | Date prévue après l'échéance","")&amp;IF(AND($Q311&lt;&gt;"",$Q311&lt;DateRef,OR($N311="",$N311&lt;$Q311))," | Entretien prévu passé : le consigner au Journal","")&amp;IF(AND($G311&lt;&gt;"",$X311="",YEAR(DateRef)-YEAR($G311)&gt;=AgeMiCarriere-1,YEAR(DateRef)-YEAR($G311)&lt;=AgeMiCarriere+1)," | Visite de mi-carrière à vérifier",""),4,1000))</f>
        <v/>
      </c>
      <c r="U311" s="39"/>
      <c r="V311" s="40"/>
      <c r="W311" s="42" t="str">
        <f aca="false">IF(OR($B311="",$V311=""),"",IF(AND($I311&lt;&gt;"",$I311&lt;=DateRef),"",IF(AND($N311&lt;&gt;"",$N311&gt;=$V311),"Réalisé",IF(AND($N311&lt;&gt;"",$N311&gt;=EDATE($V311,-FenetreRetour)),"Dispensé (EPP récent)",IF($V311&gt;DateRef,"À prévoir à la reprise","À proposer (reprise passée)")))))</f>
        <v/>
      </c>
      <c r="X311" s="40"/>
      <c r="Y311" s="43" t="str">
        <f aca="false">IF(OR($B311="",$X311=""),"",EDATE($X311,DelaiMiCarriere))</f>
        <v/>
      </c>
      <c r="Z311" s="42" t="str">
        <f aca="false">IF(OR($B311="",$X311=""),"",IF(AND($I311&lt;&gt;"",$I311&lt;=DateRef),"",IF(AND($N311&lt;&gt;"",$N311&gt;=$X311),"Réalisé",IF($Y311&lt;DateRef,"En retard","À planifier"))))</f>
        <v/>
      </c>
      <c r="AA311" s="47" t="str">
        <f aca="false">IF(OR($B311="",$G311=""),"",IF($G311&gt;DateRef,"",DATEDIF($G311,DateRef,"y")))</f>
        <v/>
      </c>
      <c r="AB311" s="43" t="str">
        <f aca="false">IF(OR($B311="",$G311=""),"",EDATE($G311,AgeFinCarriere*12))</f>
        <v/>
      </c>
      <c r="AC311" s="42" t="str">
        <f aca="false">IF(OR($B311="",$G311="",$H311=""),"",IF(AND($I311&lt;&gt;"",$I311&lt;=DateRef),"",IF($AB311&lt;DateVigueur,"Non concerné",IF(AND($N311&lt;&gt;"",$N311&gt;=MAX(EDATE($AB311,-FenetreFinCarriere*12),DateVigueur),$N311&lt;=$AB311),"Réalisé",IF(DateRef&gt;$AB311,"Non réalisé",IF(AND($Q311&lt;&gt;"",$Q311&gt;=EDATE($AB311,-FenetreFinCarriere*12),$Q311&lt;=$AB311),"Planifié dans la fenêtre",IF(AND(MAX($P311,DateRef)&gt;=EDATE($AB311,-FenetreFinCarriere*12),MAX($P311,DateRef)&lt;=$AB311),"Prochain EPP dans la fenêtre",IF(MAX($P311,DateRef)&gt;$AB311,"À programmer avant 60 ans",""))))))))</f>
        <v/>
      </c>
      <c r="AD311" s="40"/>
      <c r="AE311" s="43" t="str">
        <f aca="false">IF(OR($B311="",$H311="",AND($I311&lt;&gt;"",$I311&lt;=DateRef)),"",MAX($H311,$AD311,IF($A311="",0,SUMPRODUCT(MAX((Journal!$A$6:$A$1005=$A311)*((Journal!$D$6:$D$1005=TypeEDL)+(Journal!$D$6:$D$1005=TypeBilan6))*Journal!$C$6:$C$1005)))))</f>
        <v/>
      </c>
      <c r="AF311" s="43" t="str">
        <f aca="false">IF($AE311="","",IF(AND(ReglesTransitoires="Oui",EDATE($AE311,AnciennePeriodiciteEDL*12)&lt;DateVigueur),EDATE($AE311,AnciennePeriodiciteEDL*12),EDATE($AE311,PeriodiciteEDL*12)))</f>
        <v/>
      </c>
      <c r="AG311" s="42" t="str">
        <f aca="false">IF($AF311="","",IF(AND($I311&lt;&gt;"",$I311&lt;=DateRef),"",IF($AF311&lt;DateRef,"En retard",IF($AF311-DateRef&lt;=SeuilAlerteEDL,"À prévoir","À jour"))))</f>
        <v/>
      </c>
      <c r="AH311" s="39"/>
      <c r="AI311" s="39"/>
      <c r="AJ311" s="42" t="str">
        <f aca="false">IF(OR($B311="",$H311=""),"",IF(AND($I311&lt;&gt;"",$I311&lt;=DateRef),"",IF(Effectif&lt;SeuilEffectif,"Non concerné (&lt; "&amp;SeuilEffectif&amp;" salariés)",IF($AH311="Oui","Pas de risque",IF(AND(OR($AI311="Non",$S311="En retard"),$AH311="Non"),"Risque abondement",IF(OR($AI311="Non",$S311="En retard"),"À vérifier (formation ?)",IF($AI311="Oui","Pas de risque","À compléter")))))))</f>
        <v/>
      </c>
      <c r="AK311" s="39"/>
    </row>
    <row r="312" customFormat="false" ht="15" hidden="false" customHeight="false" outlineLevel="0" collapsed="false">
      <c r="A312" s="39"/>
      <c r="B312" s="39"/>
      <c r="C312" s="39"/>
      <c r="D312" s="39"/>
      <c r="E312" s="39"/>
      <c r="F312" s="39"/>
      <c r="G312" s="40"/>
      <c r="H312" s="40"/>
      <c r="I312" s="40"/>
      <c r="J312" s="41" t="str">
        <f aca="false">IF(OR($B312="",$H312=""),"",IF($H312&gt;DateRef,0,YEARFRAC($H312,DateRef,1)))</f>
        <v/>
      </c>
      <c r="K312" s="42" t="str">
        <f aca="false">IF(OR($B312="",$H312=""),"",IF(EDATE($H312,12)&lt;=DateRef,"Plus d'un an","Moins d'un an"))</f>
        <v/>
      </c>
      <c r="L312" s="40"/>
      <c r="M312" s="43" t="str">
        <f aca="false">IF(OR($B312="",$A312=""),"",IF(SUMPRODUCT(MAX((Journal!$A$6:$A$1005=$A312)*Journal!$C$6:$C$1005))=0,"",SUMPRODUCT(MAX((Journal!$A$6:$A$1005=$A312)*Journal!$C$6:$C$1005))))</f>
        <v/>
      </c>
      <c r="N312" s="43" t="str">
        <f aca="false">IF($B312="","",IF(MAX($L312,$M312)=0,"",MAX($L312,$M312)))</f>
        <v/>
      </c>
      <c r="O312" s="44" t="str">
        <f aca="false">IF(OR($B312="",$H312=""),"",IF($N312="",IF(EDATE($H312,DelaiPremierEPP)&gt;DateRef,"1er EPP (1re année)","Aucun entretien renseigné"),IF(AND(ReglesTransitoires="Oui",EDATE($N312,AnciennePeriodiciteEP*12)&lt;DateVigueur),"Retard antérieur à la réforme","Périodicité "&amp;PeriodiciteEPP&amp;" ans")))</f>
        <v/>
      </c>
      <c r="P312" s="43" t="str">
        <f aca="false">IF(OR($B312="",$H312=""),"",IF($N312="",EDATE($H312,DelaiPremierEPP),IF(AND(ReglesTransitoires="Oui",EDATE($N312,AnciennePeriodiciteEP*12)&lt;DateVigueur),EDATE($N312,AnciennePeriodiciteEP*12),EDATE($N312,PeriodiciteEPP*12))))</f>
        <v/>
      </c>
      <c r="Q312" s="40"/>
      <c r="R312" s="45" t="str">
        <f aca="false">IF(OR($P312="",AND($I312&lt;&gt;"",$I312&lt;=DateRef)),"",$P312-DateRef)</f>
        <v/>
      </c>
      <c r="S312" s="42" t="str">
        <f aca="false">IF($B312="","",IF(AND($I312&lt;&gt;"",$I312&lt;=DateRef),"Sorti",IF($H312="","À compléter",IF(AND($Q312&lt;&gt;"",$Q312&gt;=DateRef,$Q312&lt;=$P312),"Planifié",IF($R312&lt;0,"En retard",IF($R312&lt;=SeuilAlerteEPP,"À planifier","À jour"))))))</f>
        <v/>
      </c>
      <c r="T312" s="46" t="str">
        <f aca="false">IF(OR($B312="",$S312="Sorti"),"",MID(IF($H312=""," | Date d'embauche manquante","")&amp;IF(AND($K312="Plus d'un an",$N312="")," | Précédent entretien à renseigner (ancienneté &gt; 1 an)","")&amp;IF($O312="Retard antérieur à la réforme"," | Ancien délai de 2 ans expiré avant la réforme","")&amp;IF(AND($N312&lt;&gt;"",$H312&lt;&gt;"",$N312&lt;$H312)," | Entretien antérieur à l'embauche ?","")&amp;IF(AND($N312&lt;&gt;"",$N312&gt;DateRef)," | Entretien daté dans le futur ?","")&amp;IF(AND($Q312&lt;&gt;"",$P312&lt;&gt;"",$Q312&gt;$P312)," | Date prévue après l'échéance","")&amp;IF(AND($Q312&lt;&gt;"",$Q312&lt;DateRef,OR($N312="",$N312&lt;$Q312))," | Entretien prévu passé : le consigner au Journal","")&amp;IF(AND($G312&lt;&gt;"",$X312="",YEAR(DateRef)-YEAR($G312)&gt;=AgeMiCarriere-1,YEAR(DateRef)-YEAR($G312)&lt;=AgeMiCarriere+1)," | Visite de mi-carrière à vérifier",""),4,1000))</f>
        <v/>
      </c>
      <c r="U312" s="39"/>
      <c r="V312" s="40"/>
      <c r="W312" s="42" t="str">
        <f aca="false">IF(OR($B312="",$V312=""),"",IF(AND($I312&lt;&gt;"",$I312&lt;=DateRef),"",IF(AND($N312&lt;&gt;"",$N312&gt;=$V312),"Réalisé",IF(AND($N312&lt;&gt;"",$N312&gt;=EDATE($V312,-FenetreRetour)),"Dispensé (EPP récent)",IF($V312&gt;DateRef,"À prévoir à la reprise","À proposer (reprise passée)")))))</f>
        <v/>
      </c>
      <c r="X312" s="40"/>
      <c r="Y312" s="43" t="str">
        <f aca="false">IF(OR($B312="",$X312=""),"",EDATE($X312,DelaiMiCarriere))</f>
        <v/>
      </c>
      <c r="Z312" s="42" t="str">
        <f aca="false">IF(OR($B312="",$X312=""),"",IF(AND($I312&lt;&gt;"",$I312&lt;=DateRef),"",IF(AND($N312&lt;&gt;"",$N312&gt;=$X312),"Réalisé",IF($Y312&lt;DateRef,"En retard","À planifier"))))</f>
        <v/>
      </c>
      <c r="AA312" s="47" t="str">
        <f aca="false">IF(OR($B312="",$G312=""),"",IF($G312&gt;DateRef,"",DATEDIF($G312,DateRef,"y")))</f>
        <v/>
      </c>
      <c r="AB312" s="43" t="str">
        <f aca="false">IF(OR($B312="",$G312=""),"",EDATE($G312,AgeFinCarriere*12))</f>
        <v/>
      </c>
      <c r="AC312" s="42" t="str">
        <f aca="false">IF(OR($B312="",$G312="",$H312=""),"",IF(AND($I312&lt;&gt;"",$I312&lt;=DateRef),"",IF($AB312&lt;DateVigueur,"Non concerné",IF(AND($N312&lt;&gt;"",$N312&gt;=MAX(EDATE($AB312,-FenetreFinCarriere*12),DateVigueur),$N312&lt;=$AB312),"Réalisé",IF(DateRef&gt;$AB312,"Non réalisé",IF(AND($Q312&lt;&gt;"",$Q312&gt;=EDATE($AB312,-FenetreFinCarriere*12),$Q312&lt;=$AB312),"Planifié dans la fenêtre",IF(AND(MAX($P312,DateRef)&gt;=EDATE($AB312,-FenetreFinCarriere*12),MAX($P312,DateRef)&lt;=$AB312),"Prochain EPP dans la fenêtre",IF(MAX($P312,DateRef)&gt;$AB312,"À programmer avant 60 ans",""))))))))</f>
        <v/>
      </c>
      <c r="AD312" s="40"/>
      <c r="AE312" s="43" t="str">
        <f aca="false">IF(OR($B312="",$H312="",AND($I312&lt;&gt;"",$I312&lt;=DateRef)),"",MAX($H312,$AD312,IF($A312="",0,SUMPRODUCT(MAX((Journal!$A$6:$A$1005=$A312)*((Journal!$D$6:$D$1005=TypeEDL)+(Journal!$D$6:$D$1005=TypeBilan6))*Journal!$C$6:$C$1005)))))</f>
        <v/>
      </c>
      <c r="AF312" s="43" t="str">
        <f aca="false">IF($AE312="","",IF(AND(ReglesTransitoires="Oui",EDATE($AE312,AnciennePeriodiciteEDL*12)&lt;DateVigueur),EDATE($AE312,AnciennePeriodiciteEDL*12),EDATE($AE312,PeriodiciteEDL*12)))</f>
        <v/>
      </c>
      <c r="AG312" s="42" t="str">
        <f aca="false">IF($AF312="","",IF(AND($I312&lt;&gt;"",$I312&lt;=DateRef),"",IF($AF312&lt;DateRef,"En retard",IF($AF312-DateRef&lt;=SeuilAlerteEDL,"À prévoir","À jour"))))</f>
        <v/>
      </c>
      <c r="AH312" s="39"/>
      <c r="AI312" s="39"/>
      <c r="AJ312" s="42" t="str">
        <f aca="false">IF(OR($B312="",$H312=""),"",IF(AND($I312&lt;&gt;"",$I312&lt;=DateRef),"",IF(Effectif&lt;SeuilEffectif,"Non concerné (&lt; "&amp;SeuilEffectif&amp;" salariés)",IF($AH312="Oui","Pas de risque",IF(AND(OR($AI312="Non",$S312="En retard"),$AH312="Non"),"Risque abondement",IF(OR($AI312="Non",$S312="En retard"),"À vérifier (formation ?)",IF($AI312="Oui","Pas de risque","À compléter")))))))</f>
        <v/>
      </c>
      <c r="AK312" s="39"/>
    </row>
    <row r="313" customFormat="false" ht="15" hidden="false" customHeight="false" outlineLevel="0" collapsed="false">
      <c r="A313" s="39"/>
      <c r="B313" s="39"/>
      <c r="C313" s="39"/>
      <c r="D313" s="39"/>
      <c r="E313" s="39"/>
      <c r="F313" s="39"/>
      <c r="G313" s="40"/>
      <c r="H313" s="40"/>
      <c r="I313" s="40"/>
      <c r="J313" s="41" t="str">
        <f aca="false">IF(OR($B313="",$H313=""),"",IF($H313&gt;DateRef,0,YEARFRAC($H313,DateRef,1)))</f>
        <v/>
      </c>
      <c r="K313" s="42" t="str">
        <f aca="false">IF(OR($B313="",$H313=""),"",IF(EDATE($H313,12)&lt;=DateRef,"Plus d'un an","Moins d'un an"))</f>
        <v/>
      </c>
      <c r="L313" s="40"/>
      <c r="M313" s="43" t="str">
        <f aca="false">IF(OR($B313="",$A313=""),"",IF(SUMPRODUCT(MAX((Journal!$A$6:$A$1005=$A313)*Journal!$C$6:$C$1005))=0,"",SUMPRODUCT(MAX((Journal!$A$6:$A$1005=$A313)*Journal!$C$6:$C$1005))))</f>
        <v/>
      </c>
      <c r="N313" s="43" t="str">
        <f aca="false">IF($B313="","",IF(MAX($L313,$M313)=0,"",MAX($L313,$M313)))</f>
        <v/>
      </c>
      <c r="O313" s="44" t="str">
        <f aca="false">IF(OR($B313="",$H313=""),"",IF($N313="",IF(EDATE($H313,DelaiPremierEPP)&gt;DateRef,"1er EPP (1re année)","Aucun entretien renseigné"),IF(AND(ReglesTransitoires="Oui",EDATE($N313,AnciennePeriodiciteEP*12)&lt;DateVigueur),"Retard antérieur à la réforme","Périodicité "&amp;PeriodiciteEPP&amp;" ans")))</f>
        <v/>
      </c>
      <c r="P313" s="43" t="str">
        <f aca="false">IF(OR($B313="",$H313=""),"",IF($N313="",EDATE($H313,DelaiPremierEPP),IF(AND(ReglesTransitoires="Oui",EDATE($N313,AnciennePeriodiciteEP*12)&lt;DateVigueur),EDATE($N313,AnciennePeriodiciteEP*12),EDATE($N313,PeriodiciteEPP*12))))</f>
        <v/>
      </c>
      <c r="Q313" s="40"/>
      <c r="R313" s="45" t="str">
        <f aca="false">IF(OR($P313="",AND($I313&lt;&gt;"",$I313&lt;=DateRef)),"",$P313-DateRef)</f>
        <v/>
      </c>
      <c r="S313" s="42" t="str">
        <f aca="false">IF($B313="","",IF(AND($I313&lt;&gt;"",$I313&lt;=DateRef),"Sorti",IF($H313="","À compléter",IF(AND($Q313&lt;&gt;"",$Q313&gt;=DateRef,$Q313&lt;=$P313),"Planifié",IF($R313&lt;0,"En retard",IF($R313&lt;=SeuilAlerteEPP,"À planifier","À jour"))))))</f>
        <v/>
      </c>
      <c r="T313" s="46" t="str">
        <f aca="false">IF(OR($B313="",$S313="Sorti"),"",MID(IF($H313=""," | Date d'embauche manquante","")&amp;IF(AND($K313="Plus d'un an",$N313="")," | Précédent entretien à renseigner (ancienneté &gt; 1 an)","")&amp;IF($O313="Retard antérieur à la réforme"," | Ancien délai de 2 ans expiré avant la réforme","")&amp;IF(AND($N313&lt;&gt;"",$H313&lt;&gt;"",$N313&lt;$H313)," | Entretien antérieur à l'embauche ?","")&amp;IF(AND($N313&lt;&gt;"",$N313&gt;DateRef)," | Entretien daté dans le futur ?","")&amp;IF(AND($Q313&lt;&gt;"",$P313&lt;&gt;"",$Q313&gt;$P313)," | Date prévue après l'échéance","")&amp;IF(AND($Q313&lt;&gt;"",$Q313&lt;DateRef,OR($N313="",$N313&lt;$Q313))," | Entretien prévu passé : le consigner au Journal","")&amp;IF(AND($G313&lt;&gt;"",$X313="",YEAR(DateRef)-YEAR($G313)&gt;=AgeMiCarriere-1,YEAR(DateRef)-YEAR($G313)&lt;=AgeMiCarriere+1)," | Visite de mi-carrière à vérifier",""),4,1000))</f>
        <v/>
      </c>
      <c r="U313" s="39"/>
      <c r="V313" s="40"/>
      <c r="W313" s="42" t="str">
        <f aca="false">IF(OR($B313="",$V313=""),"",IF(AND($I313&lt;&gt;"",$I313&lt;=DateRef),"",IF(AND($N313&lt;&gt;"",$N313&gt;=$V313),"Réalisé",IF(AND($N313&lt;&gt;"",$N313&gt;=EDATE($V313,-FenetreRetour)),"Dispensé (EPP récent)",IF($V313&gt;DateRef,"À prévoir à la reprise","À proposer (reprise passée)")))))</f>
        <v/>
      </c>
      <c r="X313" s="40"/>
      <c r="Y313" s="43" t="str">
        <f aca="false">IF(OR($B313="",$X313=""),"",EDATE($X313,DelaiMiCarriere))</f>
        <v/>
      </c>
      <c r="Z313" s="42" t="str">
        <f aca="false">IF(OR($B313="",$X313=""),"",IF(AND($I313&lt;&gt;"",$I313&lt;=DateRef),"",IF(AND($N313&lt;&gt;"",$N313&gt;=$X313),"Réalisé",IF($Y313&lt;DateRef,"En retard","À planifier"))))</f>
        <v/>
      </c>
      <c r="AA313" s="47" t="str">
        <f aca="false">IF(OR($B313="",$G313=""),"",IF($G313&gt;DateRef,"",DATEDIF($G313,DateRef,"y")))</f>
        <v/>
      </c>
      <c r="AB313" s="43" t="str">
        <f aca="false">IF(OR($B313="",$G313=""),"",EDATE($G313,AgeFinCarriere*12))</f>
        <v/>
      </c>
      <c r="AC313" s="42" t="str">
        <f aca="false">IF(OR($B313="",$G313="",$H313=""),"",IF(AND($I313&lt;&gt;"",$I313&lt;=DateRef),"",IF($AB313&lt;DateVigueur,"Non concerné",IF(AND($N313&lt;&gt;"",$N313&gt;=MAX(EDATE($AB313,-FenetreFinCarriere*12),DateVigueur),$N313&lt;=$AB313),"Réalisé",IF(DateRef&gt;$AB313,"Non réalisé",IF(AND($Q313&lt;&gt;"",$Q313&gt;=EDATE($AB313,-FenetreFinCarriere*12),$Q313&lt;=$AB313),"Planifié dans la fenêtre",IF(AND(MAX($P313,DateRef)&gt;=EDATE($AB313,-FenetreFinCarriere*12),MAX($P313,DateRef)&lt;=$AB313),"Prochain EPP dans la fenêtre",IF(MAX($P313,DateRef)&gt;$AB313,"À programmer avant 60 ans",""))))))))</f>
        <v/>
      </c>
      <c r="AD313" s="40"/>
      <c r="AE313" s="43" t="str">
        <f aca="false">IF(OR($B313="",$H313="",AND($I313&lt;&gt;"",$I313&lt;=DateRef)),"",MAX($H313,$AD313,IF($A313="",0,SUMPRODUCT(MAX((Journal!$A$6:$A$1005=$A313)*((Journal!$D$6:$D$1005=TypeEDL)+(Journal!$D$6:$D$1005=TypeBilan6))*Journal!$C$6:$C$1005)))))</f>
        <v/>
      </c>
      <c r="AF313" s="43" t="str">
        <f aca="false">IF($AE313="","",IF(AND(ReglesTransitoires="Oui",EDATE($AE313,AnciennePeriodiciteEDL*12)&lt;DateVigueur),EDATE($AE313,AnciennePeriodiciteEDL*12),EDATE($AE313,PeriodiciteEDL*12)))</f>
        <v/>
      </c>
      <c r="AG313" s="42" t="str">
        <f aca="false">IF($AF313="","",IF(AND($I313&lt;&gt;"",$I313&lt;=DateRef),"",IF($AF313&lt;DateRef,"En retard",IF($AF313-DateRef&lt;=SeuilAlerteEDL,"À prévoir","À jour"))))</f>
        <v/>
      </c>
      <c r="AH313" s="39"/>
      <c r="AI313" s="39"/>
      <c r="AJ313" s="42" t="str">
        <f aca="false">IF(OR($B313="",$H313=""),"",IF(AND($I313&lt;&gt;"",$I313&lt;=DateRef),"",IF(Effectif&lt;SeuilEffectif,"Non concerné (&lt; "&amp;SeuilEffectif&amp;" salariés)",IF($AH313="Oui","Pas de risque",IF(AND(OR($AI313="Non",$S313="En retard"),$AH313="Non"),"Risque abondement",IF(OR($AI313="Non",$S313="En retard"),"À vérifier (formation ?)",IF($AI313="Oui","Pas de risque","À compléter")))))))</f>
        <v/>
      </c>
      <c r="AK313" s="39"/>
    </row>
    <row r="314" customFormat="false" ht="15" hidden="false" customHeight="false" outlineLevel="0" collapsed="false">
      <c r="A314" s="39"/>
      <c r="B314" s="39"/>
      <c r="C314" s="39"/>
      <c r="D314" s="39"/>
      <c r="E314" s="39"/>
      <c r="F314" s="39"/>
      <c r="G314" s="40"/>
      <c r="H314" s="40"/>
      <c r="I314" s="40"/>
      <c r="J314" s="41" t="str">
        <f aca="false">IF(OR($B314="",$H314=""),"",IF($H314&gt;DateRef,0,YEARFRAC($H314,DateRef,1)))</f>
        <v/>
      </c>
      <c r="K314" s="42" t="str">
        <f aca="false">IF(OR($B314="",$H314=""),"",IF(EDATE($H314,12)&lt;=DateRef,"Plus d'un an","Moins d'un an"))</f>
        <v/>
      </c>
      <c r="L314" s="40"/>
      <c r="M314" s="43" t="str">
        <f aca="false">IF(OR($B314="",$A314=""),"",IF(SUMPRODUCT(MAX((Journal!$A$6:$A$1005=$A314)*Journal!$C$6:$C$1005))=0,"",SUMPRODUCT(MAX((Journal!$A$6:$A$1005=$A314)*Journal!$C$6:$C$1005))))</f>
        <v/>
      </c>
      <c r="N314" s="43" t="str">
        <f aca="false">IF($B314="","",IF(MAX($L314,$M314)=0,"",MAX($L314,$M314)))</f>
        <v/>
      </c>
      <c r="O314" s="44" t="str">
        <f aca="false">IF(OR($B314="",$H314=""),"",IF($N314="",IF(EDATE($H314,DelaiPremierEPP)&gt;DateRef,"1er EPP (1re année)","Aucun entretien renseigné"),IF(AND(ReglesTransitoires="Oui",EDATE($N314,AnciennePeriodiciteEP*12)&lt;DateVigueur),"Retard antérieur à la réforme","Périodicité "&amp;PeriodiciteEPP&amp;" ans")))</f>
        <v/>
      </c>
      <c r="P314" s="43" t="str">
        <f aca="false">IF(OR($B314="",$H314=""),"",IF($N314="",EDATE($H314,DelaiPremierEPP),IF(AND(ReglesTransitoires="Oui",EDATE($N314,AnciennePeriodiciteEP*12)&lt;DateVigueur),EDATE($N314,AnciennePeriodiciteEP*12),EDATE($N314,PeriodiciteEPP*12))))</f>
        <v/>
      </c>
      <c r="Q314" s="40"/>
      <c r="R314" s="45" t="str">
        <f aca="false">IF(OR($P314="",AND($I314&lt;&gt;"",$I314&lt;=DateRef)),"",$P314-DateRef)</f>
        <v/>
      </c>
      <c r="S314" s="42" t="str">
        <f aca="false">IF($B314="","",IF(AND($I314&lt;&gt;"",$I314&lt;=DateRef),"Sorti",IF($H314="","À compléter",IF(AND($Q314&lt;&gt;"",$Q314&gt;=DateRef,$Q314&lt;=$P314),"Planifié",IF($R314&lt;0,"En retard",IF($R314&lt;=SeuilAlerteEPP,"À planifier","À jour"))))))</f>
        <v/>
      </c>
      <c r="T314" s="46" t="str">
        <f aca="false">IF(OR($B314="",$S314="Sorti"),"",MID(IF($H314=""," | Date d'embauche manquante","")&amp;IF(AND($K314="Plus d'un an",$N314="")," | Précédent entretien à renseigner (ancienneté &gt; 1 an)","")&amp;IF($O314="Retard antérieur à la réforme"," | Ancien délai de 2 ans expiré avant la réforme","")&amp;IF(AND($N314&lt;&gt;"",$H314&lt;&gt;"",$N314&lt;$H314)," | Entretien antérieur à l'embauche ?","")&amp;IF(AND($N314&lt;&gt;"",$N314&gt;DateRef)," | Entretien daté dans le futur ?","")&amp;IF(AND($Q314&lt;&gt;"",$P314&lt;&gt;"",$Q314&gt;$P314)," | Date prévue après l'échéance","")&amp;IF(AND($Q314&lt;&gt;"",$Q314&lt;DateRef,OR($N314="",$N314&lt;$Q314))," | Entretien prévu passé : le consigner au Journal","")&amp;IF(AND($G314&lt;&gt;"",$X314="",YEAR(DateRef)-YEAR($G314)&gt;=AgeMiCarriere-1,YEAR(DateRef)-YEAR($G314)&lt;=AgeMiCarriere+1)," | Visite de mi-carrière à vérifier",""),4,1000))</f>
        <v/>
      </c>
      <c r="U314" s="39"/>
      <c r="V314" s="40"/>
      <c r="W314" s="42" t="str">
        <f aca="false">IF(OR($B314="",$V314=""),"",IF(AND($I314&lt;&gt;"",$I314&lt;=DateRef),"",IF(AND($N314&lt;&gt;"",$N314&gt;=$V314),"Réalisé",IF(AND($N314&lt;&gt;"",$N314&gt;=EDATE($V314,-FenetreRetour)),"Dispensé (EPP récent)",IF($V314&gt;DateRef,"À prévoir à la reprise","À proposer (reprise passée)")))))</f>
        <v/>
      </c>
      <c r="X314" s="40"/>
      <c r="Y314" s="43" t="str">
        <f aca="false">IF(OR($B314="",$X314=""),"",EDATE($X314,DelaiMiCarriere))</f>
        <v/>
      </c>
      <c r="Z314" s="42" t="str">
        <f aca="false">IF(OR($B314="",$X314=""),"",IF(AND($I314&lt;&gt;"",$I314&lt;=DateRef),"",IF(AND($N314&lt;&gt;"",$N314&gt;=$X314),"Réalisé",IF($Y314&lt;DateRef,"En retard","À planifier"))))</f>
        <v/>
      </c>
      <c r="AA314" s="47" t="str">
        <f aca="false">IF(OR($B314="",$G314=""),"",IF($G314&gt;DateRef,"",DATEDIF($G314,DateRef,"y")))</f>
        <v/>
      </c>
      <c r="AB314" s="43" t="str">
        <f aca="false">IF(OR($B314="",$G314=""),"",EDATE($G314,AgeFinCarriere*12))</f>
        <v/>
      </c>
      <c r="AC314" s="42" t="str">
        <f aca="false">IF(OR($B314="",$G314="",$H314=""),"",IF(AND($I314&lt;&gt;"",$I314&lt;=DateRef),"",IF($AB314&lt;DateVigueur,"Non concerné",IF(AND($N314&lt;&gt;"",$N314&gt;=MAX(EDATE($AB314,-FenetreFinCarriere*12),DateVigueur),$N314&lt;=$AB314),"Réalisé",IF(DateRef&gt;$AB314,"Non réalisé",IF(AND($Q314&lt;&gt;"",$Q314&gt;=EDATE($AB314,-FenetreFinCarriere*12),$Q314&lt;=$AB314),"Planifié dans la fenêtre",IF(AND(MAX($P314,DateRef)&gt;=EDATE($AB314,-FenetreFinCarriere*12),MAX($P314,DateRef)&lt;=$AB314),"Prochain EPP dans la fenêtre",IF(MAX($P314,DateRef)&gt;$AB314,"À programmer avant 60 ans",""))))))))</f>
        <v/>
      </c>
      <c r="AD314" s="40"/>
      <c r="AE314" s="43" t="str">
        <f aca="false">IF(OR($B314="",$H314="",AND($I314&lt;&gt;"",$I314&lt;=DateRef)),"",MAX($H314,$AD314,IF($A314="",0,SUMPRODUCT(MAX((Journal!$A$6:$A$1005=$A314)*((Journal!$D$6:$D$1005=TypeEDL)+(Journal!$D$6:$D$1005=TypeBilan6))*Journal!$C$6:$C$1005)))))</f>
        <v/>
      </c>
      <c r="AF314" s="43" t="str">
        <f aca="false">IF($AE314="","",IF(AND(ReglesTransitoires="Oui",EDATE($AE314,AnciennePeriodiciteEDL*12)&lt;DateVigueur),EDATE($AE314,AnciennePeriodiciteEDL*12),EDATE($AE314,PeriodiciteEDL*12)))</f>
        <v/>
      </c>
      <c r="AG314" s="42" t="str">
        <f aca="false">IF($AF314="","",IF(AND($I314&lt;&gt;"",$I314&lt;=DateRef),"",IF($AF314&lt;DateRef,"En retard",IF($AF314-DateRef&lt;=SeuilAlerteEDL,"À prévoir","À jour"))))</f>
        <v/>
      </c>
      <c r="AH314" s="39"/>
      <c r="AI314" s="39"/>
      <c r="AJ314" s="42" t="str">
        <f aca="false">IF(OR($B314="",$H314=""),"",IF(AND($I314&lt;&gt;"",$I314&lt;=DateRef),"",IF(Effectif&lt;SeuilEffectif,"Non concerné (&lt; "&amp;SeuilEffectif&amp;" salariés)",IF($AH314="Oui","Pas de risque",IF(AND(OR($AI314="Non",$S314="En retard"),$AH314="Non"),"Risque abondement",IF(OR($AI314="Non",$S314="En retard"),"À vérifier (formation ?)",IF($AI314="Oui","Pas de risque","À compléter")))))))</f>
        <v/>
      </c>
      <c r="AK314" s="39"/>
    </row>
    <row r="315" customFormat="false" ht="15" hidden="false" customHeight="false" outlineLevel="0" collapsed="false">
      <c r="A315" s="39"/>
      <c r="B315" s="39"/>
      <c r="C315" s="39"/>
      <c r="D315" s="39"/>
      <c r="E315" s="39"/>
      <c r="F315" s="39"/>
      <c r="G315" s="40"/>
      <c r="H315" s="40"/>
      <c r="I315" s="40"/>
      <c r="J315" s="41" t="str">
        <f aca="false">IF(OR($B315="",$H315=""),"",IF($H315&gt;DateRef,0,YEARFRAC($H315,DateRef,1)))</f>
        <v/>
      </c>
      <c r="K315" s="42" t="str">
        <f aca="false">IF(OR($B315="",$H315=""),"",IF(EDATE($H315,12)&lt;=DateRef,"Plus d'un an","Moins d'un an"))</f>
        <v/>
      </c>
      <c r="L315" s="40"/>
      <c r="M315" s="43" t="str">
        <f aca="false">IF(OR($B315="",$A315=""),"",IF(SUMPRODUCT(MAX((Journal!$A$6:$A$1005=$A315)*Journal!$C$6:$C$1005))=0,"",SUMPRODUCT(MAX((Journal!$A$6:$A$1005=$A315)*Journal!$C$6:$C$1005))))</f>
        <v/>
      </c>
      <c r="N315" s="43" t="str">
        <f aca="false">IF($B315="","",IF(MAX($L315,$M315)=0,"",MAX($L315,$M315)))</f>
        <v/>
      </c>
      <c r="O315" s="44" t="str">
        <f aca="false">IF(OR($B315="",$H315=""),"",IF($N315="",IF(EDATE($H315,DelaiPremierEPP)&gt;DateRef,"1er EPP (1re année)","Aucun entretien renseigné"),IF(AND(ReglesTransitoires="Oui",EDATE($N315,AnciennePeriodiciteEP*12)&lt;DateVigueur),"Retard antérieur à la réforme","Périodicité "&amp;PeriodiciteEPP&amp;" ans")))</f>
        <v/>
      </c>
      <c r="P315" s="43" t="str">
        <f aca="false">IF(OR($B315="",$H315=""),"",IF($N315="",EDATE($H315,DelaiPremierEPP),IF(AND(ReglesTransitoires="Oui",EDATE($N315,AnciennePeriodiciteEP*12)&lt;DateVigueur),EDATE($N315,AnciennePeriodiciteEP*12),EDATE($N315,PeriodiciteEPP*12))))</f>
        <v/>
      </c>
      <c r="Q315" s="40"/>
      <c r="R315" s="45" t="str">
        <f aca="false">IF(OR($P315="",AND($I315&lt;&gt;"",$I315&lt;=DateRef)),"",$P315-DateRef)</f>
        <v/>
      </c>
      <c r="S315" s="42" t="str">
        <f aca="false">IF($B315="","",IF(AND($I315&lt;&gt;"",$I315&lt;=DateRef),"Sorti",IF($H315="","À compléter",IF(AND($Q315&lt;&gt;"",$Q315&gt;=DateRef,$Q315&lt;=$P315),"Planifié",IF($R315&lt;0,"En retard",IF($R315&lt;=SeuilAlerteEPP,"À planifier","À jour"))))))</f>
        <v/>
      </c>
      <c r="T315" s="46" t="str">
        <f aca="false">IF(OR($B315="",$S315="Sorti"),"",MID(IF($H315=""," | Date d'embauche manquante","")&amp;IF(AND($K315="Plus d'un an",$N315="")," | Précédent entretien à renseigner (ancienneté &gt; 1 an)","")&amp;IF($O315="Retard antérieur à la réforme"," | Ancien délai de 2 ans expiré avant la réforme","")&amp;IF(AND($N315&lt;&gt;"",$H315&lt;&gt;"",$N315&lt;$H315)," | Entretien antérieur à l'embauche ?","")&amp;IF(AND($N315&lt;&gt;"",$N315&gt;DateRef)," | Entretien daté dans le futur ?","")&amp;IF(AND($Q315&lt;&gt;"",$P315&lt;&gt;"",$Q315&gt;$P315)," | Date prévue après l'échéance","")&amp;IF(AND($Q315&lt;&gt;"",$Q315&lt;DateRef,OR($N315="",$N315&lt;$Q315))," | Entretien prévu passé : le consigner au Journal","")&amp;IF(AND($G315&lt;&gt;"",$X315="",YEAR(DateRef)-YEAR($G315)&gt;=AgeMiCarriere-1,YEAR(DateRef)-YEAR($G315)&lt;=AgeMiCarriere+1)," | Visite de mi-carrière à vérifier",""),4,1000))</f>
        <v/>
      </c>
      <c r="U315" s="39"/>
      <c r="V315" s="40"/>
      <c r="W315" s="42" t="str">
        <f aca="false">IF(OR($B315="",$V315=""),"",IF(AND($I315&lt;&gt;"",$I315&lt;=DateRef),"",IF(AND($N315&lt;&gt;"",$N315&gt;=$V315),"Réalisé",IF(AND($N315&lt;&gt;"",$N315&gt;=EDATE($V315,-FenetreRetour)),"Dispensé (EPP récent)",IF($V315&gt;DateRef,"À prévoir à la reprise","À proposer (reprise passée)")))))</f>
        <v/>
      </c>
      <c r="X315" s="40"/>
      <c r="Y315" s="43" t="str">
        <f aca="false">IF(OR($B315="",$X315=""),"",EDATE($X315,DelaiMiCarriere))</f>
        <v/>
      </c>
      <c r="Z315" s="42" t="str">
        <f aca="false">IF(OR($B315="",$X315=""),"",IF(AND($I315&lt;&gt;"",$I315&lt;=DateRef),"",IF(AND($N315&lt;&gt;"",$N315&gt;=$X315),"Réalisé",IF($Y315&lt;DateRef,"En retard","À planifier"))))</f>
        <v/>
      </c>
      <c r="AA315" s="47" t="str">
        <f aca="false">IF(OR($B315="",$G315=""),"",IF($G315&gt;DateRef,"",DATEDIF($G315,DateRef,"y")))</f>
        <v/>
      </c>
      <c r="AB315" s="43" t="str">
        <f aca="false">IF(OR($B315="",$G315=""),"",EDATE($G315,AgeFinCarriere*12))</f>
        <v/>
      </c>
      <c r="AC315" s="42" t="str">
        <f aca="false">IF(OR($B315="",$G315="",$H315=""),"",IF(AND($I315&lt;&gt;"",$I315&lt;=DateRef),"",IF($AB315&lt;DateVigueur,"Non concerné",IF(AND($N315&lt;&gt;"",$N315&gt;=MAX(EDATE($AB315,-FenetreFinCarriere*12),DateVigueur),$N315&lt;=$AB315),"Réalisé",IF(DateRef&gt;$AB315,"Non réalisé",IF(AND($Q315&lt;&gt;"",$Q315&gt;=EDATE($AB315,-FenetreFinCarriere*12),$Q315&lt;=$AB315),"Planifié dans la fenêtre",IF(AND(MAX($P315,DateRef)&gt;=EDATE($AB315,-FenetreFinCarriere*12),MAX($P315,DateRef)&lt;=$AB315),"Prochain EPP dans la fenêtre",IF(MAX($P315,DateRef)&gt;$AB315,"À programmer avant 60 ans",""))))))))</f>
        <v/>
      </c>
      <c r="AD315" s="40"/>
      <c r="AE315" s="43" t="str">
        <f aca="false">IF(OR($B315="",$H315="",AND($I315&lt;&gt;"",$I315&lt;=DateRef)),"",MAX($H315,$AD315,IF($A315="",0,SUMPRODUCT(MAX((Journal!$A$6:$A$1005=$A315)*((Journal!$D$6:$D$1005=TypeEDL)+(Journal!$D$6:$D$1005=TypeBilan6))*Journal!$C$6:$C$1005)))))</f>
        <v/>
      </c>
      <c r="AF315" s="43" t="str">
        <f aca="false">IF($AE315="","",IF(AND(ReglesTransitoires="Oui",EDATE($AE315,AnciennePeriodiciteEDL*12)&lt;DateVigueur),EDATE($AE315,AnciennePeriodiciteEDL*12),EDATE($AE315,PeriodiciteEDL*12)))</f>
        <v/>
      </c>
      <c r="AG315" s="42" t="str">
        <f aca="false">IF($AF315="","",IF(AND($I315&lt;&gt;"",$I315&lt;=DateRef),"",IF($AF315&lt;DateRef,"En retard",IF($AF315-DateRef&lt;=SeuilAlerteEDL,"À prévoir","À jour"))))</f>
        <v/>
      </c>
      <c r="AH315" s="39"/>
      <c r="AI315" s="39"/>
      <c r="AJ315" s="42" t="str">
        <f aca="false">IF(OR($B315="",$H315=""),"",IF(AND($I315&lt;&gt;"",$I315&lt;=DateRef),"",IF(Effectif&lt;SeuilEffectif,"Non concerné (&lt; "&amp;SeuilEffectif&amp;" salariés)",IF($AH315="Oui","Pas de risque",IF(AND(OR($AI315="Non",$S315="En retard"),$AH315="Non"),"Risque abondement",IF(OR($AI315="Non",$S315="En retard"),"À vérifier (formation ?)",IF($AI315="Oui","Pas de risque","À compléter")))))))</f>
        <v/>
      </c>
      <c r="AK315" s="39"/>
    </row>
    <row r="316" customFormat="false" ht="15" hidden="false" customHeight="false" outlineLevel="0" collapsed="false">
      <c r="A316" s="39"/>
      <c r="B316" s="39"/>
      <c r="C316" s="39"/>
      <c r="D316" s="39"/>
      <c r="E316" s="39"/>
      <c r="F316" s="39"/>
      <c r="G316" s="40"/>
      <c r="H316" s="40"/>
      <c r="I316" s="40"/>
      <c r="J316" s="41" t="str">
        <f aca="false">IF(OR($B316="",$H316=""),"",IF($H316&gt;DateRef,0,YEARFRAC($H316,DateRef,1)))</f>
        <v/>
      </c>
      <c r="K316" s="42" t="str">
        <f aca="false">IF(OR($B316="",$H316=""),"",IF(EDATE($H316,12)&lt;=DateRef,"Plus d'un an","Moins d'un an"))</f>
        <v/>
      </c>
      <c r="L316" s="40"/>
      <c r="M316" s="43" t="str">
        <f aca="false">IF(OR($B316="",$A316=""),"",IF(SUMPRODUCT(MAX((Journal!$A$6:$A$1005=$A316)*Journal!$C$6:$C$1005))=0,"",SUMPRODUCT(MAX((Journal!$A$6:$A$1005=$A316)*Journal!$C$6:$C$1005))))</f>
        <v/>
      </c>
      <c r="N316" s="43" t="str">
        <f aca="false">IF($B316="","",IF(MAX($L316,$M316)=0,"",MAX($L316,$M316)))</f>
        <v/>
      </c>
      <c r="O316" s="44" t="str">
        <f aca="false">IF(OR($B316="",$H316=""),"",IF($N316="",IF(EDATE($H316,DelaiPremierEPP)&gt;DateRef,"1er EPP (1re année)","Aucun entretien renseigné"),IF(AND(ReglesTransitoires="Oui",EDATE($N316,AnciennePeriodiciteEP*12)&lt;DateVigueur),"Retard antérieur à la réforme","Périodicité "&amp;PeriodiciteEPP&amp;" ans")))</f>
        <v/>
      </c>
      <c r="P316" s="43" t="str">
        <f aca="false">IF(OR($B316="",$H316=""),"",IF($N316="",EDATE($H316,DelaiPremierEPP),IF(AND(ReglesTransitoires="Oui",EDATE($N316,AnciennePeriodiciteEP*12)&lt;DateVigueur),EDATE($N316,AnciennePeriodiciteEP*12),EDATE($N316,PeriodiciteEPP*12))))</f>
        <v/>
      </c>
      <c r="Q316" s="40"/>
      <c r="R316" s="45" t="str">
        <f aca="false">IF(OR($P316="",AND($I316&lt;&gt;"",$I316&lt;=DateRef)),"",$P316-DateRef)</f>
        <v/>
      </c>
      <c r="S316" s="42" t="str">
        <f aca="false">IF($B316="","",IF(AND($I316&lt;&gt;"",$I316&lt;=DateRef),"Sorti",IF($H316="","À compléter",IF(AND($Q316&lt;&gt;"",$Q316&gt;=DateRef,$Q316&lt;=$P316),"Planifié",IF($R316&lt;0,"En retard",IF($R316&lt;=SeuilAlerteEPP,"À planifier","À jour"))))))</f>
        <v/>
      </c>
      <c r="T316" s="46" t="str">
        <f aca="false">IF(OR($B316="",$S316="Sorti"),"",MID(IF($H316=""," | Date d'embauche manquante","")&amp;IF(AND($K316="Plus d'un an",$N316="")," | Précédent entretien à renseigner (ancienneté &gt; 1 an)","")&amp;IF($O316="Retard antérieur à la réforme"," | Ancien délai de 2 ans expiré avant la réforme","")&amp;IF(AND($N316&lt;&gt;"",$H316&lt;&gt;"",$N316&lt;$H316)," | Entretien antérieur à l'embauche ?","")&amp;IF(AND($N316&lt;&gt;"",$N316&gt;DateRef)," | Entretien daté dans le futur ?","")&amp;IF(AND($Q316&lt;&gt;"",$P316&lt;&gt;"",$Q316&gt;$P316)," | Date prévue après l'échéance","")&amp;IF(AND($Q316&lt;&gt;"",$Q316&lt;DateRef,OR($N316="",$N316&lt;$Q316))," | Entretien prévu passé : le consigner au Journal","")&amp;IF(AND($G316&lt;&gt;"",$X316="",YEAR(DateRef)-YEAR($G316)&gt;=AgeMiCarriere-1,YEAR(DateRef)-YEAR($G316)&lt;=AgeMiCarriere+1)," | Visite de mi-carrière à vérifier",""),4,1000))</f>
        <v/>
      </c>
      <c r="U316" s="39"/>
      <c r="V316" s="40"/>
      <c r="W316" s="42" t="str">
        <f aca="false">IF(OR($B316="",$V316=""),"",IF(AND($I316&lt;&gt;"",$I316&lt;=DateRef),"",IF(AND($N316&lt;&gt;"",$N316&gt;=$V316),"Réalisé",IF(AND($N316&lt;&gt;"",$N316&gt;=EDATE($V316,-FenetreRetour)),"Dispensé (EPP récent)",IF($V316&gt;DateRef,"À prévoir à la reprise","À proposer (reprise passée)")))))</f>
        <v/>
      </c>
      <c r="X316" s="40"/>
      <c r="Y316" s="43" t="str">
        <f aca="false">IF(OR($B316="",$X316=""),"",EDATE($X316,DelaiMiCarriere))</f>
        <v/>
      </c>
      <c r="Z316" s="42" t="str">
        <f aca="false">IF(OR($B316="",$X316=""),"",IF(AND($I316&lt;&gt;"",$I316&lt;=DateRef),"",IF(AND($N316&lt;&gt;"",$N316&gt;=$X316),"Réalisé",IF($Y316&lt;DateRef,"En retard","À planifier"))))</f>
        <v/>
      </c>
      <c r="AA316" s="47" t="str">
        <f aca="false">IF(OR($B316="",$G316=""),"",IF($G316&gt;DateRef,"",DATEDIF($G316,DateRef,"y")))</f>
        <v/>
      </c>
      <c r="AB316" s="43" t="str">
        <f aca="false">IF(OR($B316="",$G316=""),"",EDATE($G316,AgeFinCarriere*12))</f>
        <v/>
      </c>
      <c r="AC316" s="42" t="str">
        <f aca="false">IF(OR($B316="",$G316="",$H316=""),"",IF(AND($I316&lt;&gt;"",$I316&lt;=DateRef),"",IF($AB316&lt;DateVigueur,"Non concerné",IF(AND($N316&lt;&gt;"",$N316&gt;=MAX(EDATE($AB316,-FenetreFinCarriere*12),DateVigueur),$N316&lt;=$AB316),"Réalisé",IF(DateRef&gt;$AB316,"Non réalisé",IF(AND($Q316&lt;&gt;"",$Q316&gt;=EDATE($AB316,-FenetreFinCarriere*12),$Q316&lt;=$AB316),"Planifié dans la fenêtre",IF(AND(MAX($P316,DateRef)&gt;=EDATE($AB316,-FenetreFinCarriere*12),MAX($P316,DateRef)&lt;=$AB316),"Prochain EPP dans la fenêtre",IF(MAX($P316,DateRef)&gt;$AB316,"À programmer avant 60 ans",""))))))))</f>
        <v/>
      </c>
      <c r="AD316" s="40"/>
      <c r="AE316" s="43" t="str">
        <f aca="false">IF(OR($B316="",$H316="",AND($I316&lt;&gt;"",$I316&lt;=DateRef)),"",MAX($H316,$AD316,IF($A316="",0,SUMPRODUCT(MAX((Journal!$A$6:$A$1005=$A316)*((Journal!$D$6:$D$1005=TypeEDL)+(Journal!$D$6:$D$1005=TypeBilan6))*Journal!$C$6:$C$1005)))))</f>
        <v/>
      </c>
      <c r="AF316" s="43" t="str">
        <f aca="false">IF($AE316="","",IF(AND(ReglesTransitoires="Oui",EDATE($AE316,AnciennePeriodiciteEDL*12)&lt;DateVigueur),EDATE($AE316,AnciennePeriodiciteEDL*12),EDATE($AE316,PeriodiciteEDL*12)))</f>
        <v/>
      </c>
      <c r="AG316" s="42" t="str">
        <f aca="false">IF($AF316="","",IF(AND($I316&lt;&gt;"",$I316&lt;=DateRef),"",IF($AF316&lt;DateRef,"En retard",IF($AF316-DateRef&lt;=SeuilAlerteEDL,"À prévoir","À jour"))))</f>
        <v/>
      </c>
      <c r="AH316" s="39"/>
      <c r="AI316" s="39"/>
      <c r="AJ316" s="42" t="str">
        <f aca="false">IF(OR($B316="",$H316=""),"",IF(AND($I316&lt;&gt;"",$I316&lt;=DateRef),"",IF(Effectif&lt;SeuilEffectif,"Non concerné (&lt; "&amp;SeuilEffectif&amp;" salariés)",IF($AH316="Oui","Pas de risque",IF(AND(OR($AI316="Non",$S316="En retard"),$AH316="Non"),"Risque abondement",IF(OR($AI316="Non",$S316="En retard"),"À vérifier (formation ?)",IF($AI316="Oui","Pas de risque","À compléter")))))))</f>
        <v/>
      </c>
      <c r="AK316" s="39"/>
    </row>
    <row r="317" customFormat="false" ht="15" hidden="false" customHeight="false" outlineLevel="0" collapsed="false">
      <c r="A317" s="39"/>
      <c r="B317" s="39"/>
      <c r="C317" s="39"/>
      <c r="D317" s="39"/>
      <c r="E317" s="39"/>
      <c r="F317" s="39"/>
      <c r="G317" s="40"/>
      <c r="H317" s="40"/>
      <c r="I317" s="40"/>
      <c r="J317" s="41" t="str">
        <f aca="false">IF(OR($B317="",$H317=""),"",IF($H317&gt;DateRef,0,YEARFRAC($H317,DateRef,1)))</f>
        <v/>
      </c>
      <c r="K317" s="42" t="str">
        <f aca="false">IF(OR($B317="",$H317=""),"",IF(EDATE($H317,12)&lt;=DateRef,"Plus d'un an","Moins d'un an"))</f>
        <v/>
      </c>
      <c r="L317" s="40"/>
      <c r="M317" s="43" t="str">
        <f aca="false">IF(OR($B317="",$A317=""),"",IF(SUMPRODUCT(MAX((Journal!$A$6:$A$1005=$A317)*Journal!$C$6:$C$1005))=0,"",SUMPRODUCT(MAX((Journal!$A$6:$A$1005=$A317)*Journal!$C$6:$C$1005))))</f>
        <v/>
      </c>
      <c r="N317" s="43" t="str">
        <f aca="false">IF($B317="","",IF(MAX($L317,$M317)=0,"",MAX($L317,$M317)))</f>
        <v/>
      </c>
      <c r="O317" s="44" t="str">
        <f aca="false">IF(OR($B317="",$H317=""),"",IF($N317="",IF(EDATE($H317,DelaiPremierEPP)&gt;DateRef,"1er EPP (1re année)","Aucun entretien renseigné"),IF(AND(ReglesTransitoires="Oui",EDATE($N317,AnciennePeriodiciteEP*12)&lt;DateVigueur),"Retard antérieur à la réforme","Périodicité "&amp;PeriodiciteEPP&amp;" ans")))</f>
        <v/>
      </c>
      <c r="P317" s="43" t="str">
        <f aca="false">IF(OR($B317="",$H317=""),"",IF($N317="",EDATE($H317,DelaiPremierEPP),IF(AND(ReglesTransitoires="Oui",EDATE($N317,AnciennePeriodiciteEP*12)&lt;DateVigueur),EDATE($N317,AnciennePeriodiciteEP*12),EDATE($N317,PeriodiciteEPP*12))))</f>
        <v/>
      </c>
      <c r="Q317" s="40"/>
      <c r="R317" s="45" t="str">
        <f aca="false">IF(OR($P317="",AND($I317&lt;&gt;"",$I317&lt;=DateRef)),"",$P317-DateRef)</f>
        <v/>
      </c>
      <c r="S317" s="42" t="str">
        <f aca="false">IF($B317="","",IF(AND($I317&lt;&gt;"",$I317&lt;=DateRef),"Sorti",IF($H317="","À compléter",IF(AND($Q317&lt;&gt;"",$Q317&gt;=DateRef,$Q317&lt;=$P317),"Planifié",IF($R317&lt;0,"En retard",IF($R317&lt;=SeuilAlerteEPP,"À planifier","À jour"))))))</f>
        <v/>
      </c>
      <c r="T317" s="46" t="str">
        <f aca="false">IF(OR($B317="",$S317="Sorti"),"",MID(IF($H317=""," | Date d'embauche manquante","")&amp;IF(AND($K317="Plus d'un an",$N317="")," | Précédent entretien à renseigner (ancienneté &gt; 1 an)","")&amp;IF($O317="Retard antérieur à la réforme"," | Ancien délai de 2 ans expiré avant la réforme","")&amp;IF(AND($N317&lt;&gt;"",$H317&lt;&gt;"",$N317&lt;$H317)," | Entretien antérieur à l'embauche ?","")&amp;IF(AND($N317&lt;&gt;"",$N317&gt;DateRef)," | Entretien daté dans le futur ?","")&amp;IF(AND($Q317&lt;&gt;"",$P317&lt;&gt;"",$Q317&gt;$P317)," | Date prévue après l'échéance","")&amp;IF(AND($Q317&lt;&gt;"",$Q317&lt;DateRef,OR($N317="",$N317&lt;$Q317))," | Entretien prévu passé : le consigner au Journal","")&amp;IF(AND($G317&lt;&gt;"",$X317="",YEAR(DateRef)-YEAR($G317)&gt;=AgeMiCarriere-1,YEAR(DateRef)-YEAR($G317)&lt;=AgeMiCarriere+1)," | Visite de mi-carrière à vérifier",""),4,1000))</f>
        <v/>
      </c>
      <c r="U317" s="39"/>
      <c r="V317" s="40"/>
      <c r="W317" s="42" t="str">
        <f aca="false">IF(OR($B317="",$V317=""),"",IF(AND($I317&lt;&gt;"",$I317&lt;=DateRef),"",IF(AND($N317&lt;&gt;"",$N317&gt;=$V317),"Réalisé",IF(AND($N317&lt;&gt;"",$N317&gt;=EDATE($V317,-FenetreRetour)),"Dispensé (EPP récent)",IF($V317&gt;DateRef,"À prévoir à la reprise","À proposer (reprise passée)")))))</f>
        <v/>
      </c>
      <c r="X317" s="40"/>
      <c r="Y317" s="43" t="str">
        <f aca="false">IF(OR($B317="",$X317=""),"",EDATE($X317,DelaiMiCarriere))</f>
        <v/>
      </c>
      <c r="Z317" s="42" t="str">
        <f aca="false">IF(OR($B317="",$X317=""),"",IF(AND($I317&lt;&gt;"",$I317&lt;=DateRef),"",IF(AND($N317&lt;&gt;"",$N317&gt;=$X317),"Réalisé",IF($Y317&lt;DateRef,"En retard","À planifier"))))</f>
        <v/>
      </c>
      <c r="AA317" s="47" t="str">
        <f aca="false">IF(OR($B317="",$G317=""),"",IF($G317&gt;DateRef,"",DATEDIF($G317,DateRef,"y")))</f>
        <v/>
      </c>
      <c r="AB317" s="43" t="str">
        <f aca="false">IF(OR($B317="",$G317=""),"",EDATE($G317,AgeFinCarriere*12))</f>
        <v/>
      </c>
      <c r="AC317" s="42" t="str">
        <f aca="false">IF(OR($B317="",$G317="",$H317=""),"",IF(AND($I317&lt;&gt;"",$I317&lt;=DateRef),"",IF($AB317&lt;DateVigueur,"Non concerné",IF(AND($N317&lt;&gt;"",$N317&gt;=MAX(EDATE($AB317,-FenetreFinCarriere*12),DateVigueur),$N317&lt;=$AB317),"Réalisé",IF(DateRef&gt;$AB317,"Non réalisé",IF(AND($Q317&lt;&gt;"",$Q317&gt;=EDATE($AB317,-FenetreFinCarriere*12),$Q317&lt;=$AB317),"Planifié dans la fenêtre",IF(AND(MAX($P317,DateRef)&gt;=EDATE($AB317,-FenetreFinCarriere*12),MAX($P317,DateRef)&lt;=$AB317),"Prochain EPP dans la fenêtre",IF(MAX($P317,DateRef)&gt;$AB317,"À programmer avant 60 ans",""))))))))</f>
        <v/>
      </c>
      <c r="AD317" s="40"/>
      <c r="AE317" s="43" t="str">
        <f aca="false">IF(OR($B317="",$H317="",AND($I317&lt;&gt;"",$I317&lt;=DateRef)),"",MAX($H317,$AD317,IF($A317="",0,SUMPRODUCT(MAX((Journal!$A$6:$A$1005=$A317)*((Journal!$D$6:$D$1005=TypeEDL)+(Journal!$D$6:$D$1005=TypeBilan6))*Journal!$C$6:$C$1005)))))</f>
        <v/>
      </c>
      <c r="AF317" s="43" t="str">
        <f aca="false">IF($AE317="","",IF(AND(ReglesTransitoires="Oui",EDATE($AE317,AnciennePeriodiciteEDL*12)&lt;DateVigueur),EDATE($AE317,AnciennePeriodiciteEDL*12),EDATE($AE317,PeriodiciteEDL*12)))</f>
        <v/>
      </c>
      <c r="AG317" s="42" t="str">
        <f aca="false">IF($AF317="","",IF(AND($I317&lt;&gt;"",$I317&lt;=DateRef),"",IF($AF317&lt;DateRef,"En retard",IF($AF317-DateRef&lt;=SeuilAlerteEDL,"À prévoir","À jour"))))</f>
        <v/>
      </c>
      <c r="AH317" s="39"/>
      <c r="AI317" s="39"/>
      <c r="AJ317" s="42" t="str">
        <f aca="false">IF(OR($B317="",$H317=""),"",IF(AND($I317&lt;&gt;"",$I317&lt;=DateRef),"",IF(Effectif&lt;SeuilEffectif,"Non concerné (&lt; "&amp;SeuilEffectif&amp;" salariés)",IF($AH317="Oui","Pas de risque",IF(AND(OR($AI317="Non",$S317="En retard"),$AH317="Non"),"Risque abondement",IF(OR($AI317="Non",$S317="En retard"),"À vérifier (formation ?)",IF($AI317="Oui","Pas de risque","À compléter")))))))</f>
        <v/>
      </c>
      <c r="AK317" s="39"/>
    </row>
    <row r="318" customFormat="false" ht="15" hidden="false" customHeight="false" outlineLevel="0" collapsed="false">
      <c r="A318" s="39"/>
      <c r="B318" s="39"/>
      <c r="C318" s="39"/>
      <c r="D318" s="39"/>
      <c r="E318" s="39"/>
      <c r="F318" s="39"/>
      <c r="G318" s="40"/>
      <c r="H318" s="40"/>
      <c r="I318" s="40"/>
      <c r="J318" s="41" t="str">
        <f aca="false">IF(OR($B318="",$H318=""),"",IF($H318&gt;DateRef,0,YEARFRAC($H318,DateRef,1)))</f>
        <v/>
      </c>
      <c r="K318" s="42" t="str">
        <f aca="false">IF(OR($B318="",$H318=""),"",IF(EDATE($H318,12)&lt;=DateRef,"Plus d'un an","Moins d'un an"))</f>
        <v/>
      </c>
      <c r="L318" s="40"/>
      <c r="M318" s="43" t="str">
        <f aca="false">IF(OR($B318="",$A318=""),"",IF(SUMPRODUCT(MAX((Journal!$A$6:$A$1005=$A318)*Journal!$C$6:$C$1005))=0,"",SUMPRODUCT(MAX((Journal!$A$6:$A$1005=$A318)*Journal!$C$6:$C$1005))))</f>
        <v/>
      </c>
      <c r="N318" s="43" t="str">
        <f aca="false">IF($B318="","",IF(MAX($L318,$M318)=0,"",MAX($L318,$M318)))</f>
        <v/>
      </c>
      <c r="O318" s="44" t="str">
        <f aca="false">IF(OR($B318="",$H318=""),"",IF($N318="",IF(EDATE($H318,DelaiPremierEPP)&gt;DateRef,"1er EPP (1re année)","Aucun entretien renseigné"),IF(AND(ReglesTransitoires="Oui",EDATE($N318,AnciennePeriodiciteEP*12)&lt;DateVigueur),"Retard antérieur à la réforme","Périodicité "&amp;PeriodiciteEPP&amp;" ans")))</f>
        <v/>
      </c>
      <c r="P318" s="43" t="str">
        <f aca="false">IF(OR($B318="",$H318=""),"",IF($N318="",EDATE($H318,DelaiPremierEPP),IF(AND(ReglesTransitoires="Oui",EDATE($N318,AnciennePeriodiciteEP*12)&lt;DateVigueur),EDATE($N318,AnciennePeriodiciteEP*12),EDATE($N318,PeriodiciteEPP*12))))</f>
        <v/>
      </c>
      <c r="Q318" s="40"/>
      <c r="R318" s="45" t="str">
        <f aca="false">IF(OR($P318="",AND($I318&lt;&gt;"",$I318&lt;=DateRef)),"",$P318-DateRef)</f>
        <v/>
      </c>
      <c r="S318" s="42" t="str">
        <f aca="false">IF($B318="","",IF(AND($I318&lt;&gt;"",$I318&lt;=DateRef),"Sorti",IF($H318="","À compléter",IF(AND($Q318&lt;&gt;"",$Q318&gt;=DateRef,$Q318&lt;=$P318),"Planifié",IF($R318&lt;0,"En retard",IF($R318&lt;=SeuilAlerteEPP,"À planifier","À jour"))))))</f>
        <v/>
      </c>
      <c r="T318" s="46" t="str">
        <f aca="false">IF(OR($B318="",$S318="Sorti"),"",MID(IF($H318=""," | Date d'embauche manquante","")&amp;IF(AND($K318="Plus d'un an",$N318="")," | Précédent entretien à renseigner (ancienneté &gt; 1 an)","")&amp;IF($O318="Retard antérieur à la réforme"," | Ancien délai de 2 ans expiré avant la réforme","")&amp;IF(AND($N318&lt;&gt;"",$H318&lt;&gt;"",$N318&lt;$H318)," | Entretien antérieur à l'embauche ?","")&amp;IF(AND($N318&lt;&gt;"",$N318&gt;DateRef)," | Entretien daté dans le futur ?","")&amp;IF(AND($Q318&lt;&gt;"",$P318&lt;&gt;"",$Q318&gt;$P318)," | Date prévue après l'échéance","")&amp;IF(AND($Q318&lt;&gt;"",$Q318&lt;DateRef,OR($N318="",$N318&lt;$Q318))," | Entretien prévu passé : le consigner au Journal","")&amp;IF(AND($G318&lt;&gt;"",$X318="",YEAR(DateRef)-YEAR($G318)&gt;=AgeMiCarriere-1,YEAR(DateRef)-YEAR($G318)&lt;=AgeMiCarriere+1)," | Visite de mi-carrière à vérifier",""),4,1000))</f>
        <v/>
      </c>
      <c r="U318" s="39"/>
      <c r="V318" s="40"/>
      <c r="W318" s="42" t="str">
        <f aca="false">IF(OR($B318="",$V318=""),"",IF(AND($I318&lt;&gt;"",$I318&lt;=DateRef),"",IF(AND($N318&lt;&gt;"",$N318&gt;=$V318),"Réalisé",IF(AND($N318&lt;&gt;"",$N318&gt;=EDATE($V318,-FenetreRetour)),"Dispensé (EPP récent)",IF($V318&gt;DateRef,"À prévoir à la reprise","À proposer (reprise passée)")))))</f>
        <v/>
      </c>
      <c r="X318" s="40"/>
      <c r="Y318" s="43" t="str">
        <f aca="false">IF(OR($B318="",$X318=""),"",EDATE($X318,DelaiMiCarriere))</f>
        <v/>
      </c>
      <c r="Z318" s="42" t="str">
        <f aca="false">IF(OR($B318="",$X318=""),"",IF(AND($I318&lt;&gt;"",$I318&lt;=DateRef),"",IF(AND($N318&lt;&gt;"",$N318&gt;=$X318),"Réalisé",IF($Y318&lt;DateRef,"En retard","À planifier"))))</f>
        <v/>
      </c>
      <c r="AA318" s="47" t="str">
        <f aca="false">IF(OR($B318="",$G318=""),"",IF($G318&gt;DateRef,"",DATEDIF($G318,DateRef,"y")))</f>
        <v/>
      </c>
      <c r="AB318" s="43" t="str">
        <f aca="false">IF(OR($B318="",$G318=""),"",EDATE($G318,AgeFinCarriere*12))</f>
        <v/>
      </c>
      <c r="AC318" s="42" t="str">
        <f aca="false">IF(OR($B318="",$G318="",$H318=""),"",IF(AND($I318&lt;&gt;"",$I318&lt;=DateRef),"",IF($AB318&lt;DateVigueur,"Non concerné",IF(AND($N318&lt;&gt;"",$N318&gt;=MAX(EDATE($AB318,-FenetreFinCarriere*12),DateVigueur),$N318&lt;=$AB318),"Réalisé",IF(DateRef&gt;$AB318,"Non réalisé",IF(AND($Q318&lt;&gt;"",$Q318&gt;=EDATE($AB318,-FenetreFinCarriere*12),$Q318&lt;=$AB318),"Planifié dans la fenêtre",IF(AND(MAX($P318,DateRef)&gt;=EDATE($AB318,-FenetreFinCarriere*12),MAX($P318,DateRef)&lt;=$AB318),"Prochain EPP dans la fenêtre",IF(MAX($P318,DateRef)&gt;$AB318,"À programmer avant 60 ans",""))))))))</f>
        <v/>
      </c>
      <c r="AD318" s="40"/>
      <c r="AE318" s="43" t="str">
        <f aca="false">IF(OR($B318="",$H318="",AND($I318&lt;&gt;"",$I318&lt;=DateRef)),"",MAX($H318,$AD318,IF($A318="",0,SUMPRODUCT(MAX((Journal!$A$6:$A$1005=$A318)*((Journal!$D$6:$D$1005=TypeEDL)+(Journal!$D$6:$D$1005=TypeBilan6))*Journal!$C$6:$C$1005)))))</f>
        <v/>
      </c>
      <c r="AF318" s="43" t="str">
        <f aca="false">IF($AE318="","",IF(AND(ReglesTransitoires="Oui",EDATE($AE318,AnciennePeriodiciteEDL*12)&lt;DateVigueur),EDATE($AE318,AnciennePeriodiciteEDL*12),EDATE($AE318,PeriodiciteEDL*12)))</f>
        <v/>
      </c>
      <c r="AG318" s="42" t="str">
        <f aca="false">IF($AF318="","",IF(AND($I318&lt;&gt;"",$I318&lt;=DateRef),"",IF($AF318&lt;DateRef,"En retard",IF($AF318-DateRef&lt;=SeuilAlerteEDL,"À prévoir","À jour"))))</f>
        <v/>
      </c>
      <c r="AH318" s="39"/>
      <c r="AI318" s="39"/>
      <c r="AJ318" s="42" t="str">
        <f aca="false">IF(OR($B318="",$H318=""),"",IF(AND($I318&lt;&gt;"",$I318&lt;=DateRef),"",IF(Effectif&lt;SeuilEffectif,"Non concerné (&lt; "&amp;SeuilEffectif&amp;" salariés)",IF($AH318="Oui","Pas de risque",IF(AND(OR($AI318="Non",$S318="En retard"),$AH318="Non"),"Risque abondement",IF(OR($AI318="Non",$S318="En retard"),"À vérifier (formation ?)",IF($AI318="Oui","Pas de risque","À compléter")))))))</f>
        <v/>
      </c>
      <c r="AK318" s="39"/>
    </row>
    <row r="319" customFormat="false" ht="15" hidden="false" customHeight="false" outlineLevel="0" collapsed="false">
      <c r="A319" s="39"/>
      <c r="B319" s="39"/>
      <c r="C319" s="39"/>
      <c r="D319" s="39"/>
      <c r="E319" s="39"/>
      <c r="F319" s="39"/>
      <c r="G319" s="40"/>
      <c r="H319" s="40"/>
      <c r="I319" s="40"/>
      <c r="J319" s="41" t="str">
        <f aca="false">IF(OR($B319="",$H319=""),"",IF($H319&gt;DateRef,0,YEARFRAC($H319,DateRef,1)))</f>
        <v/>
      </c>
      <c r="K319" s="42" t="str">
        <f aca="false">IF(OR($B319="",$H319=""),"",IF(EDATE($H319,12)&lt;=DateRef,"Plus d'un an","Moins d'un an"))</f>
        <v/>
      </c>
      <c r="L319" s="40"/>
      <c r="M319" s="43" t="str">
        <f aca="false">IF(OR($B319="",$A319=""),"",IF(SUMPRODUCT(MAX((Journal!$A$6:$A$1005=$A319)*Journal!$C$6:$C$1005))=0,"",SUMPRODUCT(MAX((Journal!$A$6:$A$1005=$A319)*Journal!$C$6:$C$1005))))</f>
        <v/>
      </c>
      <c r="N319" s="43" t="str">
        <f aca="false">IF($B319="","",IF(MAX($L319,$M319)=0,"",MAX($L319,$M319)))</f>
        <v/>
      </c>
      <c r="O319" s="44" t="str">
        <f aca="false">IF(OR($B319="",$H319=""),"",IF($N319="",IF(EDATE($H319,DelaiPremierEPP)&gt;DateRef,"1er EPP (1re année)","Aucun entretien renseigné"),IF(AND(ReglesTransitoires="Oui",EDATE($N319,AnciennePeriodiciteEP*12)&lt;DateVigueur),"Retard antérieur à la réforme","Périodicité "&amp;PeriodiciteEPP&amp;" ans")))</f>
        <v/>
      </c>
      <c r="P319" s="43" t="str">
        <f aca="false">IF(OR($B319="",$H319=""),"",IF($N319="",EDATE($H319,DelaiPremierEPP),IF(AND(ReglesTransitoires="Oui",EDATE($N319,AnciennePeriodiciteEP*12)&lt;DateVigueur),EDATE($N319,AnciennePeriodiciteEP*12),EDATE($N319,PeriodiciteEPP*12))))</f>
        <v/>
      </c>
      <c r="Q319" s="40"/>
      <c r="R319" s="45" t="str">
        <f aca="false">IF(OR($P319="",AND($I319&lt;&gt;"",$I319&lt;=DateRef)),"",$P319-DateRef)</f>
        <v/>
      </c>
      <c r="S319" s="42" t="str">
        <f aca="false">IF($B319="","",IF(AND($I319&lt;&gt;"",$I319&lt;=DateRef),"Sorti",IF($H319="","À compléter",IF(AND($Q319&lt;&gt;"",$Q319&gt;=DateRef,$Q319&lt;=$P319),"Planifié",IF($R319&lt;0,"En retard",IF($R319&lt;=SeuilAlerteEPP,"À planifier","À jour"))))))</f>
        <v/>
      </c>
      <c r="T319" s="46" t="str">
        <f aca="false">IF(OR($B319="",$S319="Sorti"),"",MID(IF($H319=""," | Date d'embauche manquante","")&amp;IF(AND($K319="Plus d'un an",$N319="")," | Précédent entretien à renseigner (ancienneté &gt; 1 an)","")&amp;IF($O319="Retard antérieur à la réforme"," | Ancien délai de 2 ans expiré avant la réforme","")&amp;IF(AND($N319&lt;&gt;"",$H319&lt;&gt;"",$N319&lt;$H319)," | Entretien antérieur à l'embauche ?","")&amp;IF(AND($N319&lt;&gt;"",$N319&gt;DateRef)," | Entretien daté dans le futur ?","")&amp;IF(AND($Q319&lt;&gt;"",$P319&lt;&gt;"",$Q319&gt;$P319)," | Date prévue après l'échéance","")&amp;IF(AND($Q319&lt;&gt;"",$Q319&lt;DateRef,OR($N319="",$N319&lt;$Q319))," | Entretien prévu passé : le consigner au Journal","")&amp;IF(AND($G319&lt;&gt;"",$X319="",YEAR(DateRef)-YEAR($G319)&gt;=AgeMiCarriere-1,YEAR(DateRef)-YEAR($G319)&lt;=AgeMiCarriere+1)," | Visite de mi-carrière à vérifier",""),4,1000))</f>
        <v/>
      </c>
      <c r="U319" s="39"/>
      <c r="V319" s="40"/>
      <c r="W319" s="42" t="str">
        <f aca="false">IF(OR($B319="",$V319=""),"",IF(AND($I319&lt;&gt;"",$I319&lt;=DateRef),"",IF(AND($N319&lt;&gt;"",$N319&gt;=$V319),"Réalisé",IF(AND($N319&lt;&gt;"",$N319&gt;=EDATE($V319,-FenetreRetour)),"Dispensé (EPP récent)",IF($V319&gt;DateRef,"À prévoir à la reprise","À proposer (reprise passée)")))))</f>
        <v/>
      </c>
      <c r="X319" s="40"/>
      <c r="Y319" s="43" t="str">
        <f aca="false">IF(OR($B319="",$X319=""),"",EDATE($X319,DelaiMiCarriere))</f>
        <v/>
      </c>
      <c r="Z319" s="42" t="str">
        <f aca="false">IF(OR($B319="",$X319=""),"",IF(AND($I319&lt;&gt;"",$I319&lt;=DateRef),"",IF(AND($N319&lt;&gt;"",$N319&gt;=$X319),"Réalisé",IF($Y319&lt;DateRef,"En retard","À planifier"))))</f>
        <v/>
      </c>
      <c r="AA319" s="47" t="str">
        <f aca="false">IF(OR($B319="",$G319=""),"",IF($G319&gt;DateRef,"",DATEDIF($G319,DateRef,"y")))</f>
        <v/>
      </c>
      <c r="AB319" s="43" t="str">
        <f aca="false">IF(OR($B319="",$G319=""),"",EDATE($G319,AgeFinCarriere*12))</f>
        <v/>
      </c>
      <c r="AC319" s="42" t="str">
        <f aca="false">IF(OR($B319="",$G319="",$H319=""),"",IF(AND($I319&lt;&gt;"",$I319&lt;=DateRef),"",IF($AB319&lt;DateVigueur,"Non concerné",IF(AND($N319&lt;&gt;"",$N319&gt;=MAX(EDATE($AB319,-FenetreFinCarriere*12),DateVigueur),$N319&lt;=$AB319),"Réalisé",IF(DateRef&gt;$AB319,"Non réalisé",IF(AND($Q319&lt;&gt;"",$Q319&gt;=EDATE($AB319,-FenetreFinCarriere*12),$Q319&lt;=$AB319),"Planifié dans la fenêtre",IF(AND(MAX($P319,DateRef)&gt;=EDATE($AB319,-FenetreFinCarriere*12),MAX($P319,DateRef)&lt;=$AB319),"Prochain EPP dans la fenêtre",IF(MAX($P319,DateRef)&gt;$AB319,"À programmer avant 60 ans",""))))))))</f>
        <v/>
      </c>
      <c r="AD319" s="40"/>
      <c r="AE319" s="43" t="str">
        <f aca="false">IF(OR($B319="",$H319="",AND($I319&lt;&gt;"",$I319&lt;=DateRef)),"",MAX($H319,$AD319,IF($A319="",0,SUMPRODUCT(MAX((Journal!$A$6:$A$1005=$A319)*((Journal!$D$6:$D$1005=TypeEDL)+(Journal!$D$6:$D$1005=TypeBilan6))*Journal!$C$6:$C$1005)))))</f>
        <v/>
      </c>
      <c r="AF319" s="43" t="str">
        <f aca="false">IF($AE319="","",IF(AND(ReglesTransitoires="Oui",EDATE($AE319,AnciennePeriodiciteEDL*12)&lt;DateVigueur),EDATE($AE319,AnciennePeriodiciteEDL*12),EDATE($AE319,PeriodiciteEDL*12)))</f>
        <v/>
      </c>
      <c r="AG319" s="42" t="str">
        <f aca="false">IF($AF319="","",IF(AND($I319&lt;&gt;"",$I319&lt;=DateRef),"",IF($AF319&lt;DateRef,"En retard",IF($AF319-DateRef&lt;=SeuilAlerteEDL,"À prévoir","À jour"))))</f>
        <v/>
      </c>
      <c r="AH319" s="39"/>
      <c r="AI319" s="39"/>
      <c r="AJ319" s="42" t="str">
        <f aca="false">IF(OR($B319="",$H319=""),"",IF(AND($I319&lt;&gt;"",$I319&lt;=DateRef),"",IF(Effectif&lt;SeuilEffectif,"Non concerné (&lt; "&amp;SeuilEffectif&amp;" salariés)",IF($AH319="Oui","Pas de risque",IF(AND(OR($AI319="Non",$S319="En retard"),$AH319="Non"),"Risque abondement",IF(OR($AI319="Non",$S319="En retard"),"À vérifier (formation ?)",IF($AI319="Oui","Pas de risque","À compléter")))))))</f>
        <v/>
      </c>
      <c r="AK319" s="39"/>
    </row>
    <row r="320" customFormat="false" ht="15" hidden="false" customHeight="false" outlineLevel="0" collapsed="false">
      <c r="A320" s="39"/>
      <c r="B320" s="39"/>
      <c r="C320" s="39"/>
      <c r="D320" s="39"/>
      <c r="E320" s="39"/>
      <c r="F320" s="39"/>
      <c r="G320" s="40"/>
      <c r="H320" s="40"/>
      <c r="I320" s="40"/>
      <c r="J320" s="41" t="str">
        <f aca="false">IF(OR($B320="",$H320=""),"",IF($H320&gt;DateRef,0,YEARFRAC($H320,DateRef,1)))</f>
        <v/>
      </c>
      <c r="K320" s="42" t="str">
        <f aca="false">IF(OR($B320="",$H320=""),"",IF(EDATE($H320,12)&lt;=DateRef,"Plus d'un an","Moins d'un an"))</f>
        <v/>
      </c>
      <c r="L320" s="40"/>
      <c r="M320" s="43" t="str">
        <f aca="false">IF(OR($B320="",$A320=""),"",IF(SUMPRODUCT(MAX((Journal!$A$6:$A$1005=$A320)*Journal!$C$6:$C$1005))=0,"",SUMPRODUCT(MAX((Journal!$A$6:$A$1005=$A320)*Journal!$C$6:$C$1005))))</f>
        <v/>
      </c>
      <c r="N320" s="43" t="str">
        <f aca="false">IF($B320="","",IF(MAX($L320,$M320)=0,"",MAX($L320,$M320)))</f>
        <v/>
      </c>
      <c r="O320" s="44" t="str">
        <f aca="false">IF(OR($B320="",$H320=""),"",IF($N320="",IF(EDATE($H320,DelaiPremierEPP)&gt;DateRef,"1er EPP (1re année)","Aucun entretien renseigné"),IF(AND(ReglesTransitoires="Oui",EDATE($N320,AnciennePeriodiciteEP*12)&lt;DateVigueur),"Retard antérieur à la réforme","Périodicité "&amp;PeriodiciteEPP&amp;" ans")))</f>
        <v/>
      </c>
      <c r="P320" s="43" t="str">
        <f aca="false">IF(OR($B320="",$H320=""),"",IF($N320="",EDATE($H320,DelaiPremierEPP),IF(AND(ReglesTransitoires="Oui",EDATE($N320,AnciennePeriodiciteEP*12)&lt;DateVigueur),EDATE($N320,AnciennePeriodiciteEP*12),EDATE($N320,PeriodiciteEPP*12))))</f>
        <v/>
      </c>
      <c r="Q320" s="40"/>
      <c r="R320" s="45" t="str">
        <f aca="false">IF(OR($P320="",AND($I320&lt;&gt;"",$I320&lt;=DateRef)),"",$P320-DateRef)</f>
        <v/>
      </c>
      <c r="S320" s="42" t="str">
        <f aca="false">IF($B320="","",IF(AND($I320&lt;&gt;"",$I320&lt;=DateRef),"Sorti",IF($H320="","À compléter",IF(AND($Q320&lt;&gt;"",$Q320&gt;=DateRef,$Q320&lt;=$P320),"Planifié",IF($R320&lt;0,"En retard",IF($R320&lt;=SeuilAlerteEPP,"À planifier","À jour"))))))</f>
        <v/>
      </c>
      <c r="T320" s="46" t="str">
        <f aca="false">IF(OR($B320="",$S320="Sorti"),"",MID(IF($H320=""," | Date d'embauche manquante","")&amp;IF(AND($K320="Plus d'un an",$N320="")," | Précédent entretien à renseigner (ancienneté &gt; 1 an)","")&amp;IF($O320="Retard antérieur à la réforme"," | Ancien délai de 2 ans expiré avant la réforme","")&amp;IF(AND($N320&lt;&gt;"",$H320&lt;&gt;"",$N320&lt;$H320)," | Entretien antérieur à l'embauche ?","")&amp;IF(AND($N320&lt;&gt;"",$N320&gt;DateRef)," | Entretien daté dans le futur ?","")&amp;IF(AND($Q320&lt;&gt;"",$P320&lt;&gt;"",$Q320&gt;$P320)," | Date prévue après l'échéance","")&amp;IF(AND($Q320&lt;&gt;"",$Q320&lt;DateRef,OR($N320="",$N320&lt;$Q320))," | Entretien prévu passé : le consigner au Journal","")&amp;IF(AND($G320&lt;&gt;"",$X320="",YEAR(DateRef)-YEAR($G320)&gt;=AgeMiCarriere-1,YEAR(DateRef)-YEAR($G320)&lt;=AgeMiCarriere+1)," | Visite de mi-carrière à vérifier",""),4,1000))</f>
        <v/>
      </c>
      <c r="U320" s="39"/>
      <c r="V320" s="40"/>
      <c r="W320" s="42" t="str">
        <f aca="false">IF(OR($B320="",$V320=""),"",IF(AND($I320&lt;&gt;"",$I320&lt;=DateRef),"",IF(AND($N320&lt;&gt;"",$N320&gt;=$V320),"Réalisé",IF(AND($N320&lt;&gt;"",$N320&gt;=EDATE($V320,-FenetreRetour)),"Dispensé (EPP récent)",IF($V320&gt;DateRef,"À prévoir à la reprise","À proposer (reprise passée)")))))</f>
        <v/>
      </c>
      <c r="X320" s="40"/>
      <c r="Y320" s="43" t="str">
        <f aca="false">IF(OR($B320="",$X320=""),"",EDATE($X320,DelaiMiCarriere))</f>
        <v/>
      </c>
      <c r="Z320" s="42" t="str">
        <f aca="false">IF(OR($B320="",$X320=""),"",IF(AND($I320&lt;&gt;"",$I320&lt;=DateRef),"",IF(AND($N320&lt;&gt;"",$N320&gt;=$X320),"Réalisé",IF($Y320&lt;DateRef,"En retard","À planifier"))))</f>
        <v/>
      </c>
      <c r="AA320" s="47" t="str">
        <f aca="false">IF(OR($B320="",$G320=""),"",IF($G320&gt;DateRef,"",DATEDIF($G320,DateRef,"y")))</f>
        <v/>
      </c>
      <c r="AB320" s="43" t="str">
        <f aca="false">IF(OR($B320="",$G320=""),"",EDATE($G320,AgeFinCarriere*12))</f>
        <v/>
      </c>
      <c r="AC320" s="42" t="str">
        <f aca="false">IF(OR($B320="",$G320="",$H320=""),"",IF(AND($I320&lt;&gt;"",$I320&lt;=DateRef),"",IF($AB320&lt;DateVigueur,"Non concerné",IF(AND($N320&lt;&gt;"",$N320&gt;=MAX(EDATE($AB320,-FenetreFinCarriere*12),DateVigueur),$N320&lt;=$AB320),"Réalisé",IF(DateRef&gt;$AB320,"Non réalisé",IF(AND($Q320&lt;&gt;"",$Q320&gt;=EDATE($AB320,-FenetreFinCarriere*12),$Q320&lt;=$AB320),"Planifié dans la fenêtre",IF(AND(MAX($P320,DateRef)&gt;=EDATE($AB320,-FenetreFinCarriere*12),MAX($P320,DateRef)&lt;=$AB320),"Prochain EPP dans la fenêtre",IF(MAX($P320,DateRef)&gt;$AB320,"À programmer avant 60 ans",""))))))))</f>
        <v/>
      </c>
      <c r="AD320" s="40"/>
      <c r="AE320" s="43" t="str">
        <f aca="false">IF(OR($B320="",$H320="",AND($I320&lt;&gt;"",$I320&lt;=DateRef)),"",MAX($H320,$AD320,IF($A320="",0,SUMPRODUCT(MAX((Journal!$A$6:$A$1005=$A320)*((Journal!$D$6:$D$1005=TypeEDL)+(Journal!$D$6:$D$1005=TypeBilan6))*Journal!$C$6:$C$1005)))))</f>
        <v/>
      </c>
      <c r="AF320" s="43" t="str">
        <f aca="false">IF($AE320="","",IF(AND(ReglesTransitoires="Oui",EDATE($AE320,AnciennePeriodiciteEDL*12)&lt;DateVigueur),EDATE($AE320,AnciennePeriodiciteEDL*12),EDATE($AE320,PeriodiciteEDL*12)))</f>
        <v/>
      </c>
      <c r="AG320" s="42" t="str">
        <f aca="false">IF($AF320="","",IF(AND($I320&lt;&gt;"",$I320&lt;=DateRef),"",IF($AF320&lt;DateRef,"En retard",IF($AF320-DateRef&lt;=SeuilAlerteEDL,"À prévoir","À jour"))))</f>
        <v/>
      </c>
      <c r="AH320" s="39"/>
      <c r="AI320" s="39"/>
      <c r="AJ320" s="42" t="str">
        <f aca="false">IF(OR($B320="",$H320=""),"",IF(AND($I320&lt;&gt;"",$I320&lt;=DateRef),"",IF(Effectif&lt;SeuilEffectif,"Non concerné (&lt; "&amp;SeuilEffectif&amp;" salariés)",IF($AH320="Oui","Pas de risque",IF(AND(OR($AI320="Non",$S320="En retard"),$AH320="Non"),"Risque abondement",IF(OR($AI320="Non",$S320="En retard"),"À vérifier (formation ?)",IF($AI320="Oui","Pas de risque","À compléter")))))))</f>
        <v/>
      </c>
      <c r="AK320" s="39"/>
    </row>
    <row r="321" customFormat="false" ht="15" hidden="false" customHeight="false" outlineLevel="0" collapsed="false">
      <c r="A321" s="39"/>
      <c r="B321" s="39"/>
      <c r="C321" s="39"/>
      <c r="D321" s="39"/>
      <c r="E321" s="39"/>
      <c r="F321" s="39"/>
      <c r="G321" s="40"/>
      <c r="H321" s="40"/>
      <c r="I321" s="40"/>
      <c r="J321" s="41" t="str">
        <f aca="false">IF(OR($B321="",$H321=""),"",IF($H321&gt;DateRef,0,YEARFRAC($H321,DateRef,1)))</f>
        <v/>
      </c>
      <c r="K321" s="42" t="str">
        <f aca="false">IF(OR($B321="",$H321=""),"",IF(EDATE($H321,12)&lt;=DateRef,"Plus d'un an","Moins d'un an"))</f>
        <v/>
      </c>
      <c r="L321" s="40"/>
      <c r="M321" s="43" t="str">
        <f aca="false">IF(OR($B321="",$A321=""),"",IF(SUMPRODUCT(MAX((Journal!$A$6:$A$1005=$A321)*Journal!$C$6:$C$1005))=0,"",SUMPRODUCT(MAX((Journal!$A$6:$A$1005=$A321)*Journal!$C$6:$C$1005))))</f>
        <v/>
      </c>
      <c r="N321" s="43" t="str">
        <f aca="false">IF($B321="","",IF(MAX($L321,$M321)=0,"",MAX($L321,$M321)))</f>
        <v/>
      </c>
      <c r="O321" s="44" t="str">
        <f aca="false">IF(OR($B321="",$H321=""),"",IF($N321="",IF(EDATE($H321,DelaiPremierEPP)&gt;DateRef,"1er EPP (1re année)","Aucun entretien renseigné"),IF(AND(ReglesTransitoires="Oui",EDATE($N321,AnciennePeriodiciteEP*12)&lt;DateVigueur),"Retard antérieur à la réforme","Périodicité "&amp;PeriodiciteEPP&amp;" ans")))</f>
        <v/>
      </c>
      <c r="P321" s="43" t="str">
        <f aca="false">IF(OR($B321="",$H321=""),"",IF($N321="",EDATE($H321,DelaiPremierEPP),IF(AND(ReglesTransitoires="Oui",EDATE($N321,AnciennePeriodiciteEP*12)&lt;DateVigueur),EDATE($N321,AnciennePeriodiciteEP*12),EDATE($N321,PeriodiciteEPP*12))))</f>
        <v/>
      </c>
      <c r="Q321" s="40"/>
      <c r="R321" s="45" t="str">
        <f aca="false">IF(OR($P321="",AND($I321&lt;&gt;"",$I321&lt;=DateRef)),"",$P321-DateRef)</f>
        <v/>
      </c>
      <c r="S321" s="42" t="str">
        <f aca="false">IF($B321="","",IF(AND($I321&lt;&gt;"",$I321&lt;=DateRef),"Sorti",IF($H321="","À compléter",IF(AND($Q321&lt;&gt;"",$Q321&gt;=DateRef,$Q321&lt;=$P321),"Planifié",IF($R321&lt;0,"En retard",IF($R321&lt;=SeuilAlerteEPP,"À planifier","À jour"))))))</f>
        <v/>
      </c>
      <c r="T321" s="46" t="str">
        <f aca="false">IF(OR($B321="",$S321="Sorti"),"",MID(IF($H321=""," | Date d'embauche manquante","")&amp;IF(AND($K321="Plus d'un an",$N321="")," | Précédent entretien à renseigner (ancienneté &gt; 1 an)","")&amp;IF($O321="Retard antérieur à la réforme"," | Ancien délai de 2 ans expiré avant la réforme","")&amp;IF(AND($N321&lt;&gt;"",$H321&lt;&gt;"",$N321&lt;$H321)," | Entretien antérieur à l'embauche ?","")&amp;IF(AND($N321&lt;&gt;"",$N321&gt;DateRef)," | Entretien daté dans le futur ?","")&amp;IF(AND($Q321&lt;&gt;"",$P321&lt;&gt;"",$Q321&gt;$P321)," | Date prévue après l'échéance","")&amp;IF(AND($Q321&lt;&gt;"",$Q321&lt;DateRef,OR($N321="",$N321&lt;$Q321))," | Entretien prévu passé : le consigner au Journal","")&amp;IF(AND($G321&lt;&gt;"",$X321="",YEAR(DateRef)-YEAR($G321)&gt;=AgeMiCarriere-1,YEAR(DateRef)-YEAR($G321)&lt;=AgeMiCarriere+1)," | Visite de mi-carrière à vérifier",""),4,1000))</f>
        <v/>
      </c>
      <c r="U321" s="39"/>
      <c r="V321" s="40"/>
      <c r="W321" s="42" t="str">
        <f aca="false">IF(OR($B321="",$V321=""),"",IF(AND($I321&lt;&gt;"",$I321&lt;=DateRef),"",IF(AND($N321&lt;&gt;"",$N321&gt;=$V321),"Réalisé",IF(AND($N321&lt;&gt;"",$N321&gt;=EDATE($V321,-FenetreRetour)),"Dispensé (EPP récent)",IF($V321&gt;DateRef,"À prévoir à la reprise","À proposer (reprise passée)")))))</f>
        <v/>
      </c>
      <c r="X321" s="40"/>
      <c r="Y321" s="43" t="str">
        <f aca="false">IF(OR($B321="",$X321=""),"",EDATE($X321,DelaiMiCarriere))</f>
        <v/>
      </c>
      <c r="Z321" s="42" t="str">
        <f aca="false">IF(OR($B321="",$X321=""),"",IF(AND($I321&lt;&gt;"",$I321&lt;=DateRef),"",IF(AND($N321&lt;&gt;"",$N321&gt;=$X321),"Réalisé",IF($Y321&lt;DateRef,"En retard","À planifier"))))</f>
        <v/>
      </c>
      <c r="AA321" s="47" t="str">
        <f aca="false">IF(OR($B321="",$G321=""),"",IF($G321&gt;DateRef,"",DATEDIF($G321,DateRef,"y")))</f>
        <v/>
      </c>
      <c r="AB321" s="43" t="str">
        <f aca="false">IF(OR($B321="",$G321=""),"",EDATE($G321,AgeFinCarriere*12))</f>
        <v/>
      </c>
      <c r="AC321" s="42" t="str">
        <f aca="false">IF(OR($B321="",$G321="",$H321=""),"",IF(AND($I321&lt;&gt;"",$I321&lt;=DateRef),"",IF($AB321&lt;DateVigueur,"Non concerné",IF(AND($N321&lt;&gt;"",$N321&gt;=MAX(EDATE($AB321,-FenetreFinCarriere*12),DateVigueur),$N321&lt;=$AB321),"Réalisé",IF(DateRef&gt;$AB321,"Non réalisé",IF(AND($Q321&lt;&gt;"",$Q321&gt;=EDATE($AB321,-FenetreFinCarriere*12),$Q321&lt;=$AB321),"Planifié dans la fenêtre",IF(AND(MAX($P321,DateRef)&gt;=EDATE($AB321,-FenetreFinCarriere*12),MAX($P321,DateRef)&lt;=$AB321),"Prochain EPP dans la fenêtre",IF(MAX($P321,DateRef)&gt;$AB321,"À programmer avant 60 ans",""))))))))</f>
        <v/>
      </c>
      <c r="AD321" s="40"/>
      <c r="AE321" s="43" t="str">
        <f aca="false">IF(OR($B321="",$H321="",AND($I321&lt;&gt;"",$I321&lt;=DateRef)),"",MAX($H321,$AD321,IF($A321="",0,SUMPRODUCT(MAX((Journal!$A$6:$A$1005=$A321)*((Journal!$D$6:$D$1005=TypeEDL)+(Journal!$D$6:$D$1005=TypeBilan6))*Journal!$C$6:$C$1005)))))</f>
        <v/>
      </c>
      <c r="AF321" s="43" t="str">
        <f aca="false">IF($AE321="","",IF(AND(ReglesTransitoires="Oui",EDATE($AE321,AnciennePeriodiciteEDL*12)&lt;DateVigueur),EDATE($AE321,AnciennePeriodiciteEDL*12),EDATE($AE321,PeriodiciteEDL*12)))</f>
        <v/>
      </c>
      <c r="AG321" s="42" t="str">
        <f aca="false">IF($AF321="","",IF(AND($I321&lt;&gt;"",$I321&lt;=DateRef),"",IF($AF321&lt;DateRef,"En retard",IF($AF321-DateRef&lt;=SeuilAlerteEDL,"À prévoir","À jour"))))</f>
        <v/>
      </c>
      <c r="AH321" s="39"/>
      <c r="AI321" s="39"/>
      <c r="AJ321" s="42" t="str">
        <f aca="false">IF(OR($B321="",$H321=""),"",IF(AND($I321&lt;&gt;"",$I321&lt;=DateRef),"",IF(Effectif&lt;SeuilEffectif,"Non concerné (&lt; "&amp;SeuilEffectif&amp;" salariés)",IF($AH321="Oui","Pas de risque",IF(AND(OR($AI321="Non",$S321="En retard"),$AH321="Non"),"Risque abondement",IF(OR($AI321="Non",$S321="En retard"),"À vérifier (formation ?)",IF($AI321="Oui","Pas de risque","À compléter")))))))</f>
        <v/>
      </c>
      <c r="AK321" s="39"/>
    </row>
    <row r="322" customFormat="false" ht="15" hidden="false" customHeight="false" outlineLevel="0" collapsed="false">
      <c r="A322" s="39"/>
      <c r="B322" s="39"/>
      <c r="C322" s="39"/>
      <c r="D322" s="39"/>
      <c r="E322" s="39"/>
      <c r="F322" s="39"/>
      <c r="G322" s="40"/>
      <c r="H322" s="40"/>
      <c r="I322" s="40"/>
      <c r="J322" s="41" t="str">
        <f aca="false">IF(OR($B322="",$H322=""),"",IF($H322&gt;DateRef,0,YEARFRAC($H322,DateRef,1)))</f>
        <v/>
      </c>
      <c r="K322" s="42" t="str">
        <f aca="false">IF(OR($B322="",$H322=""),"",IF(EDATE($H322,12)&lt;=DateRef,"Plus d'un an","Moins d'un an"))</f>
        <v/>
      </c>
      <c r="L322" s="40"/>
      <c r="M322" s="43" t="str">
        <f aca="false">IF(OR($B322="",$A322=""),"",IF(SUMPRODUCT(MAX((Journal!$A$6:$A$1005=$A322)*Journal!$C$6:$C$1005))=0,"",SUMPRODUCT(MAX((Journal!$A$6:$A$1005=$A322)*Journal!$C$6:$C$1005))))</f>
        <v/>
      </c>
      <c r="N322" s="43" t="str">
        <f aca="false">IF($B322="","",IF(MAX($L322,$M322)=0,"",MAX($L322,$M322)))</f>
        <v/>
      </c>
      <c r="O322" s="44" t="str">
        <f aca="false">IF(OR($B322="",$H322=""),"",IF($N322="",IF(EDATE($H322,DelaiPremierEPP)&gt;DateRef,"1er EPP (1re année)","Aucun entretien renseigné"),IF(AND(ReglesTransitoires="Oui",EDATE($N322,AnciennePeriodiciteEP*12)&lt;DateVigueur),"Retard antérieur à la réforme","Périodicité "&amp;PeriodiciteEPP&amp;" ans")))</f>
        <v/>
      </c>
      <c r="P322" s="43" t="str">
        <f aca="false">IF(OR($B322="",$H322=""),"",IF($N322="",EDATE($H322,DelaiPremierEPP),IF(AND(ReglesTransitoires="Oui",EDATE($N322,AnciennePeriodiciteEP*12)&lt;DateVigueur),EDATE($N322,AnciennePeriodiciteEP*12),EDATE($N322,PeriodiciteEPP*12))))</f>
        <v/>
      </c>
      <c r="Q322" s="40"/>
      <c r="R322" s="45" t="str">
        <f aca="false">IF(OR($P322="",AND($I322&lt;&gt;"",$I322&lt;=DateRef)),"",$P322-DateRef)</f>
        <v/>
      </c>
      <c r="S322" s="42" t="str">
        <f aca="false">IF($B322="","",IF(AND($I322&lt;&gt;"",$I322&lt;=DateRef),"Sorti",IF($H322="","À compléter",IF(AND($Q322&lt;&gt;"",$Q322&gt;=DateRef,$Q322&lt;=$P322),"Planifié",IF($R322&lt;0,"En retard",IF($R322&lt;=SeuilAlerteEPP,"À planifier","À jour"))))))</f>
        <v/>
      </c>
      <c r="T322" s="46" t="str">
        <f aca="false">IF(OR($B322="",$S322="Sorti"),"",MID(IF($H322=""," | Date d'embauche manquante","")&amp;IF(AND($K322="Plus d'un an",$N322="")," | Précédent entretien à renseigner (ancienneté &gt; 1 an)","")&amp;IF($O322="Retard antérieur à la réforme"," | Ancien délai de 2 ans expiré avant la réforme","")&amp;IF(AND($N322&lt;&gt;"",$H322&lt;&gt;"",$N322&lt;$H322)," | Entretien antérieur à l'embauche ?","")&amp;IF(AND($N322&lt;&gt;"",$N322&gt;DateRef)," | Entretien daté dans le futur ?","")&amp;IF(AND($Q322&lt;&gt;"",$P322&lt;&gt;"",$Q322&gt;$P322)," | Date prévue après l'échéance","")&amp;IF(AND($Q322&lt;&gt;"",$Q322&lt;DateRef,OR($N322="",$N322&lt;$Q322))," | Entretien prévu passé : le consigner au Journal","")&amp;IF(AND($G322&lt;&gt;"",$X322="",YEAR(DateRef)-YEAR($G322)&gt;=AgeMiCarriere-1,YEAR(DateRef)-YEAR($G322)&lt;=AgeMiCarriere+1)," | Visite de mi-carrière à vérifier",""),4,1000))</f>
        <v/>
      </c>
      <c r="U322" s="39"/>
      <c r="V322" s="40"/>
      <c r="W322" s="42" t="str">
        <f aca="false">IF(OR($B322="",$V322=""),"",IF(AND($I322&lt;&gt;"",$I322&lt;=DateRef),"",IF(AND($N322&lt;&gt;"",$N322&gt;=$V322),"Réalisé",IF(AND($N322&lt;&gt;"",$N322&gt;=EDATE($V322,-FenetreRetour)),"Dispensé (EPP récent)",IF($V322&gt;DateRef,"À prévoir à la reprise","À proposer (reprise passée)")))))</f>
        <v/>
      </c>
      <c r="X322" s="40"/>
      <c r="Y322" s="43" t="str">
        <f aca="false">IF(OR($B322="",$X322=""),"",EDATE($X322,DelaiMiCarriere))</f>
        <v/>
      </c>
      <c r="Z322" s="42" t="str">
        <f aca="false">IF(OR($B322="",$X322=""),"",IF(AND($I322&lt;&gt;"",$I322&lt;=DateRef),"",IF(AND($N322&lt;&gt;"",$N322&gt;=$X322),"Réalisé",IF($Y322&lt;DateRef,"En retard","À planifier"))))</f>
        <v/>
      </c>
      <c r="AA322" s="47" t="str">
        <f aca="false">IF(OR($B322="",$G322=""),"",IF($G322&gt;DateRef,"",DATEDIF($G322,DateRef,"y")))</f>
        <v/>
      </c>
      <c r="AB322" s="43" t="str">
        <f aca="false">IF(OR($B322="",$G322=""),"",EDATE($G322,AgeFinCarriere*12))</f>
        <v/>
      </c>
      <c r="AC322" s="42" t="str">
        <f aca="false">IF(OR($B322="",$G322="",$H322=""),"",IF(AND($I322&lt;&gt;"",$I322&lt;=DateRef),"",IF($AB322&lt;DateVigueur,"Non concerné",IF(AND($N322&lt;&gt;"",$N322&gt;=MAX(EDATE($AB322,-FenetreFinCarriere*12),DateVigueur),$N322&lt;=$AB322),"Réalisé",IF(DateRef&gt;$AB322,"Non réalisé",IF(AND($Q322&lt;&gt;"",$Q322&gt;=EDATE($AB322,-FenetreFinCarriere*12),$Q322&lt;=$AB322),"Planifié dans la fenêtre",IF(AND(MAX($P322,DateRef)&gt;=EDATE($AB322,-FenetreFinCarriere*12),MAX($P322,DateRef)&lt;=$AB322),"Prochain EPP dans la fenêtre",IF(MAX($P322,DateRef)&gt;$AB322,"À programmer avant 60 ans",""))))))))</f>
        <v/>
      </c>
      <c r="AD322" s="40"/>
      <c r="AE322" s="43" t="str">
        <f aca="false">IF(OR($B322="",$H322="",AND($I322&lt;&gt;"",$I322&lt;=DateRef)),"",MAX($H322,$AD322,IF($A322="",0,SUMPRODUCT(MAX((Journal!$A$6:$A$1005=$A322)*((Journal!$D$6:$D$1005=TypeEDL)+(Journal!$D$6:$D$1005=TypeBilan6))*Journal!$C$6:$C$1005)))))</f>
        <v/>
      </c>
      <c r="AF322" s="43" t="str">
        <f aca="false">IF($AE322="","",IF(AND(ReglesTransitoires="Oui",EDATE($AE322,AnciennePeriodiciteEDL*12)&lt;DateVigueur),EDATE($AE322,AnciennePeriodiciteEDL*12),EDATE($AE322,PeriodiciteEDL*12)))</f>
        <v/>
      </c>
      <c r="AG322" s="42" t="str">
        <f aca="false">IF($AF322="","",IF(AND($I322&lt;&gt;"",$I322&lt;=DateRef),"",IF($AF322&lt;DateRef,"En retard",IF($AF322-DateRef&lt;=SeuilAlerteEDL,"À prévoir","À jour"))))</f>
        <v/>
      </c>
      <c r="AH322" s="39"/>
      <c r="AI322" s="39"/>
      <c r="AJ322" s="42" t="str">
        <f aca="false">IF(OR($B322="",$H322=""),"",IF(AND($I322&lt;&gt;"",$I322&lt;=DateRef),"",IF(Effectif&lt;SeuilEffectif,"Non concerné (&lt; "&amp;SeuilEffectif&amp;" salariés)",IF($AH322="Oui","Pas de risque",IF(AND(OR($AI322="Non",$S322="En retard"),$AH322="Non"),"Risque abondement",IF(OR($AI322="Non",$S322="En retard"),"À vérifier (formation ?)",IF($AI322="Oui","Pas de risque","À compléter")))))))</f>
        <v/>
      </c>
      <c r="AK322" s="39"/>
    </row>
    <row r="323" customFormat="false" ht="15" hidden="false" customHeight="false" outlineLevel="0" collapsed="false">
      <c r="A323" s="39"/>
      <c r="B323" s="39"/>
      <c r="C323" s="39"/>
      <c r="D323" s="39"/>
      <c r="E323" s="39"/>
      <c r="F323" s="39"/>
      <c r="G323" s="40"/>
      <c r="H323" s="40"/>
      <c r="I323" s="40"/>
      <c r="J323" s="41" t="str">
        <f aca="false">IF(OR($B323="",$H323=""),"",IF($H323&gt;DateRef,0,YEARFRAC($H323,DateRef,1)))</f>
        <v/>
      </c>
      <c r="K323" s="42" t="str">
        <f aca="false">IF(OR($B323="",$H323=""),"",IF(EDATE($H323,12)&lt;=DateRef,"Plus d'un an","Moins d'un an"))</f>
        <v/>
      </c>
      <c r="L323" s="40"/>
      <c r="M323" s="43" t="str">
        <f aca="false">IF(OR($B323="",$A323=""),"",IF(SUMPRODUCT(MAX((Journal!$A$6:$A$1005=$A323)*Journal!$C$6:$C$1005))=0,"",SUMPRODUCT(MAX((Journal!$A$6:$A$1005=$A323)*Journal!$C$6:$C$1005))))</f>
        <v/>
      </c>
      <c r="N323" s="43" t="str">
        <f aca="false">IF($B323="","",IF(MAX($L323,$M323)=0,"",MAX($L323,$M323)))</f>
        <v/>
      </c>
      <c r="O323" s="44" t="str">
        <f aca="false">IF(OR($B323="",$H323=""),"",IF($N323="",IF(EDATE($H323,DelaiPremierEPP)&gt;DateRef,"1er EPP (1re année)","Aucun entretien renseigné"),IF(AND(ReglesTransitoires="Oui",EDATE($N323,AnciennePeriodiciteEP*12)&lt;DateVigueur),"Retard antérieur à la réforme","Périodicité "&amp;PeriodiciteEPP&amp;" ans")))</f>
        <v/>
      </c>
      <c r="P323" s="43" t="str">
        <f aca="false">IF(OR($B323="",$H323=""),"",IF($N323="",EDATE($H323,DelaiPremierEPP),IF(AND(ReglesTransitoires="Oui",EDATE($N323,AnciennePeriodiciteEP*12)&lt;DateVigueur),EDATE($N323,AnciennePeriodiciteEP*12),EDATE($N323,PeriodiciteEPP*12))))</f>
        <v/>
      </c>
      <c r="Q323" s="40"/>
      <c r="R323" s="45" t="str">
        <f aca="false">IF(OR($P323="",AND($I323&lt;&gt;"",$I323&lt;=DateRef)),"",$P323-DateRef)</f>
        <v/>
      </c>
      <c r="S323" s="42" t="str">
        <f aca="false">IF($B323="","",IF(AND($I323&lt;&gt;"",$I323&lt;=DateRef),"Sorti",IF($H323="","À compléter",IF(AND($Q323&lt;&gt;"",$Q323&gt;=DateRef,$Q323&lt;=$P323),"Planifié",IF($R323&lt;0,"En retard",IF($R323&lt;=SeuilAlerteEPP,"À planifier","À jour"))))))</f>
        <v/>
      </c>
      <c r="T323" s="46" t="str">
        <f aca="false">IF(OR($B323="",$S323="Sorti"),"",MID(IF($H323=""," | Date d'embauche manquante","")&amp;IF(AND($K323="Plus d'un an",$N323="")," | Précédent entretien à renseigner (ancienneté &gt; 1 an)","")&amp;IF($O323="Retard antérieur à la réforme"," | Ancien délai de 2 ans expiré avant la réforme","")&amp;IF(AND($N323&lt;&gt;"",$H323&lt;&gt;"",$N323&lt;$H323)," | Entretien antérieur à l'embauche ?","")&amp;IF(AND($N323&lt;&gt;"",$N323&gt;DateRef)," | Entretien daté dans le futur ?","")&amp;IF(AND($Q323&lt;&gt;"",$P323&lt;&gt;"",$Q323&gt;$P323)," | Date prévue après l'échéance","")&amp;IF(AND($Q323&lt;&gt;"",$Q323&lt;DateRef,OR($N323="",$N323&lt;$Q323))," | Entretien prévu passé : le consigner au Journal","")&amp;IF(AND($G323&lt;&gt;"",$X323="",YEAR(DateRef)-YEAR($G323)&gt;=AgeMiCarriere-1,YEAR(DateRef)-YEAR($G323)&lt;=AgeMiCarriere+1)," | Visite de mi-carrière à vérifier",""),4,1000))</f>
        <v/>
      </c>
      <c r="U323" s="39"/>
      <c r="V323" s="40"/>
      <c r="W323" s="42" t="str">
        <f aca="false">IF(OR($B323="",$V323=""),"",IF(AND($I323&lt;&gt;"",$I323&lt;=DateRef),"",IF(AND($N323&lt;&gt;"",$N323&gt;=$V323),"Réalisé",IF(AND($N323&lt;&gt;"",$N323&gt;=EDATE($V323,-FenetreRetour)),"Dispensé (EPP récent)",IF($V323&gt;DateRef,"À prévoir à la reprise","À proposer (reprise passée)")))))</f>
        <v/>
      </c>
      <c r="X323" s="40"/>
      <c r="Y323" s="43" t="str">
        <f aca="false">IF(OR($B323="",$X323=""),"",EDATE($X323,DelaiMiCarriere))</f>
        <v/>
      </c>
      <c r="Z323" s="42" t="str">
        <f aca="false">IF(OR($B323="",$X323=""),"",IF(AND($I323&lt;&gt;"",$I323&lt;=DateRef),"",IF(AND($N323&lt;&gt;"",$N323&gt;=$X323),"Réalisé",IF($Y323&lt;DateRef,"En retard","À planifier"))))</f>
        <v/>
      </c>
      <c r="AA323" s="47" t="str">
        <f aca="false">IF(OR($B323="",$G323=""),"",IF($G323&gt;DateRef,"",DATEDIF($G323,DateRef,"y")))</f>
        <v/>
      </c>
      <c r="AB323" s="43" t="str">
        <f aca="false">IF(OR($B323="",$G323=""),"",EDATE($G323,AgeFinCarriere*12))</f>
        <v/>
      </c>
      <c r="AC323" s="42" t="str">
        <f aca="false">IF(OR($B323="",$G323="",$H323=""),"",IF(AND($I323&lt;&gt;"",$I323&lt;=DateRef),"",IF($AB323&lt;DateVigueur,"Non concerné",IF(AND($N323&lt;&gt;"",$N323&gt;=MAX(EDATE($AB323,-FenetreFinCarriere*12),DateVigueur),$N323&lt;=$AB323),"Réalisé",IF(DateRef&gt;$AB323,"Non réalisé",IF(AND($Q323&lt;&gt;"",$Q323&gt;=EDATE($AB323,-FenetreFinCarriere*12),$Q323&lt;=$AB323),"Planifié dans la fenêtre",IF(AND(MAX($P323,DateRef)&gt;=EDATE($AB323,-FenetreFinCarriere*12),MAX($P323,DateRef)&lt;=$AB323),"Prochain EPP dans la fenêtre",IF(MAX($P323,DateRef)&gt;$AB323,"À programmer avant 60 ans",""))))))))</f>
        <v/>
      </c>
      <c r="AD323" s="40"/>
      <c r="AE323" s="43" t="str">
        <f aca="false">IF(OR($B323="",$H323="",AND($I323&lt;&gt;"",$I323&lt;=DateRef)),"",MAX($H323,$AD323,IF($A323="",0,SUMPRODUCT(MAX((Journal!$A$6:$A$1005=$A323)*((Journal!$D$6:$D$1005=TypeEDL)+(Journal!$D$6:$D$1005=TypeBilan6))*Journal!$C$6:$C$1005)))))</f>
        <v/>
      </c>
      <c r="AF323" s="43" t="str">
        <f aca="false">IF($AE323="","",IF(AND(ReglesTransitoires="Oui",EDATE($AE323,AnciennePeriodiciteEDL*12)&lt;DateVigueur),EDATE($AE323,AnciennePeriodiciteEDL*12),EDATE($AE323,PeriodiciteEDL*12)))</f>
        <v/>
      </c>
      <c r="AG323" s="42" t="str">
        <f aca="false">IF($AF323="","",IF(AND($I323&lt;&gt;"",$I323&lt;=DateRef),"",IF($AF323&lt;DateRef,"En retard",IF($AF323-DateRef&lt;=SeuilAlerteEDL,"À prévoir","À jour"))))</f>
        <v/>
      </c>
      <c r="AH323" s="39"/>
      <c r="AI323" s="39"/>
      <c r="AJ323" s="42" t="str">
        <f aca="false">IF(OR($B323="",$H323=""),"",IF(AND($I323&lt;&gt;"",$I323&lt;=DateRef),"",IF(Effectif&lt;SeuilEffectif,"Non concerné (&lt; "&amp;SeuilEffectif&amp;" salariés)",IF($AH323="Oui","Pas de risque",IF(AND(OR($AI323="Non",$S323="En retard"),$AH323="Non"),"Risque abondement",IF(OR($AI323="Non",$S323="En retard"),"À vérifier (formation ?)",IF($AI323="Oui","Pas de risque","À compléter")))))))</f>
        <v/>
      </c>
      <c r="AK323" s="39"/>
    </row>
    <row r="324" customFormat="false" ht="15" hidden="false" customHeight="false" outlineLevel="0" collapsed="false">
      <c r="A324" s="39"/>
      <c r="B324" s="39"/>
      <c r="C324" s="39"/>
      <c r="D324" s="39"/>
      <c r="E324" s="39"/>
      <c r="F324" s="39"/>
      <c r="G324" s="40"/>
      <c r="H324" s="40"/>
      <c r="I324" s="40"/>
      <c r="J324" s="41" t="str">
        <f aca="false">IF(OR($B324="",$H324=""),"",IF($H324&gt;DateRef,0,YEARFRAC($H324,DateRef,1)))</f>
        <v/>
      </c>
      <c r="K324" s="42" t="str">
        <f aca="false">IF(OR($B324="",$H324=""),"",IF(EDATE($H324,12)&lt;=DateRef,"Plus d'un an","Moins d'un an"))</f>
        <v/>
      </c>
      <c r="L324" s="40"/>
      <c r="M324" s="43" t="str">
        <f aca="false">IF(OR($B324="",$A324=""),"",IF(SUMPRODUCT(MAX((Journal!$A$6:$A$1005=$A324)*Journal!$C$6:$C$1005))=0,"",SUMPRODUCT(MAX((Journal!$A$6:$A$1005=$A324)*Journal!$C$6:$C$1005))))</f>
        <v/>
      </c>
      <c r="N324" s="43" t="str">
        <f aca="false">IF($B324="","",IF(MAX($L324,$M324)=0,"",MAX($L324,$M324)))</f>
        <v/>
      </c>
      <c r="O324" s="44" t="str">
        <f aca="false">IF(OR($B324="",$H324=""),"",IF($N324="",IF(EDATE($H324,DelaiPremierEPP)&gt;DateRef,"1er EPP (1re année)","Aucun entretien renseigné"),IF(AND(ReglesTransitoires="Oui",EDATE($N324,AnciennePeriodiciteEP*12)&lt;DateVigueur),"Retard antérieur à la réforme","Périodicité "&amp;PeriodiciteEPP&amp;" ans")))</f>
        <v/>
      </c>
      <c r="P324" s="43" t="str">
        <f aca="false">IF(OR($B324="",$H324=""),"",IF($N324="",EDATE($H324,DelaiPremierEPP),IF(AND(ReglesTransitoires="Oui",EDATE($N324,AnciennePeriodiciteEP*12)&lt;DateVigueur),EDATE($N324,AnciennePeriodiciteEP*12),EDATE($N324,PeriodiciteEPP*12))))</f>
        <v/>
      </c>
      <c r="Q324" s="40"/>
      <c r="R324" s="45" t="str">
        <f aca="false">IF(OR($P324="",AND($I324&lt;&gt;"",$I324&lt;=DateRef)),"",$P324-DateRef)</f>
        <v/>
      </c>
      <c r="S324" s="42" t="str">
        <f aca="false">IF($B324="","",IF(AND($I324&lt;&gt;"",$I324&lt;=DateRef),"Sorti",IF($H324="","À compléter",IF(AND($Q324&lt;&gt;"",$Q324&gt;=DateRef,$Q324&lt;=$P324),"Planifié",IF($R324&lt;0,"En retard",IF($R324&lt;=SeuilAlerteEPP,"À planifier","À jour"))))))</f>
        <v/>
      </c>
      <c r="T324" s="46" t="str">
        <f aca="false">IF(OR($B324="",$S324="Sorti"),"",MID(IF($H324=""," | Date d'embauche manquante","")&amp;IF(AND($K324="Plus d'un an",$N324="")," | Précédent entretien à renseigner (ancienneté &gt; 1 an)","")&amp;IF($O324="Retard antérieur à la réforme"," | Ancien délai de 2 ans expiré avant la réforme","")&amp;IF(AND($N324&lt;&gt;"",$H324&lt;&gt;"",$N324&lt;$H324)," | Entretien antérieur à l'embauche ?","")&amp;IF(AND($N324&lt;&gt;"",$N324&gt;DateRef)," | Entretien daté dans le futur ?","")&amp;IF(AND($Q324&lt;&gt;"",$P324&lt;&gt;"",$Q324&gt;$P324)," | Date prévue après l'échéance","")&amp;IF(AND($Q324&lt;&gt;"",$Q324&lt;DateRef,OR($N324="",$N324&lt;$Q324))," | Entretien prévu passé : le consigner au Journal","")&amp;IF(AND($G324&lt;&gt;"",$X324="",YEAR(DateRef)-YEAR($G324)&gt;=AgeMiCarriere-1,YEAR(DateRef)-YEAR($G324)&lt;=AgeMiCarriere+1)," | Visite de mi-carrière à vérifier",""),4,1000))</f>
        <v/>
      </c>
      <c r="U324" s="39"/>
      <c r="V324" s="40"/>
      <c r="W324" s="42" t="str">
        <f aca="false">IF(OR($B324="",$V324=""),"",IF(AND($I324&lt;&gt;"",$I324&lt;=DateRef),"",IF(AND($N324&lt;&gt;"",$N324&gt;=$V324),"Réalisé",IF(AND($N324&lt;&gt;"",$N324&gt;=EDATE($V324,-FenetreRetour)),"Dispensé (EPP récent)",IF($V324&gt;DateRef,"À prévoir à la reprise","À proposer (reprise passée)")))))</f>
        <v/>
      </c>
      <c r="X324" s="40"/>
      <c r="Y324" s="43" t="str">
        <f aca="false">IF(OR($B324="",$X324=""),"",EDATE($X324,DelaiMiCarriere))</f>
        <v/>
      </c>
      <c r="Z324" s="42" t="str">
        <f aca="false">IF(OR($B324="",$X324=""),"",IF(AND($I324&lt;&gt;"",$I324&lt;=DateRef),"",IF(AND($N324&lt;&gt;"",$N324&gt;=$X324),"Réalisé",IF($Y324&lt;DateRef,"En retard","À planifier"))))</f>
        <v/>
      </c>
      <c r="AA324" s="47" t="str">
        <f aca="false">IF(OR($B324="",$G324=""),"",IF($G324&gt;DateRef,"",DATEDIF($G324,DateRef,"y")))</f>
        <v/>
      </c>
      <c r="AB324" s="43" t="str">
        <f aca="false">IF(OR($B324="",$G324=""),"",EDATE($G324,AgeFinCarriere*12))</f>
        <v/>
      </c>
      <c r="AC324" s="42" t="str">
        <f aca="false">IF(OR($B324="",$G324="",$H324=""),"",IF(AND($I324&lt;&gt;"",$I324&lt;=DateRef),"",IF($AB324&lt;DateVigueur,"Non concerné",IF(AND($N324&lt;&gt;"",$N324&gt;=MAX(EDATE($AB324,-FenetreFinCarriere*12),DateVigueur),$N324&lt;=$AB324),"Réalisé",IF(DateRef&gt;$AB324,"Non réalisé",IF(AND($Q324&lt;&gt;"",$Q324&gt;=EDATE($AB324,-FenetreFinCarriere*12),$Q324&lt;=$AB324),"Planifié dans la fenêtre",IF(AND(MAX($P324,DateRef)&gt;=EDATE($AB324,-FenetreFinCarriere*12),MAX($P324,DateRef)&lt;=$AB324),"Prochain EPP dans la fenêtre",IF(MAX($P324,DateRef)&gt;$AB324,"À programmer avant 60 ans",""))))))))</f>
        <v/>
      </c>
      <c r="AD324" s="40"/>
      <c r="AE324" s="43" t="str">
        <f aca="false">IF(OR($B324="",$H324="",AND($I324&lt;&gt;"",$I324&lt;=DateRef)),"",MAX($H324,$AD324,IF($A324="",0,SUMPRODUCT(MAX((Journal!$A$6:$A$1005=$A324)*((Journal!$D$6:$D$1005=TypeEDL)+(Journal!$D$6:$D$1005=TypeBilan6))*Journal!$C$6:$C$1005)))))</f>
        <v/>
      </c>
      <c r="AF324" s="43" t="str">
        <f aca="false">IF($AE324="","",IF(AND(ReglesTransitoires="Oui",EDATE($AE324,AnciennePeriodiciteEDL*12)&lt;DateVigueur),EDATE($AE324,AnciennePeriodiciteEDL*12),EDATE($AE324,PeriodiciteEDL*12)))</f>
        <v/>
      </c>
      <c r="AG324" s="42" t="str">
        <f aca="false">IF($AF324="","",IF(AND($I324&lt;&gt;"",$I324&lt;=DateRef),"",IF($AF324&lt;DateRef,"En retard",IF($AF324-DateRef&lt;=SeuilAlerteEDL,"À prévoir","À jour"))))</f>
        <v/>
      </c>
      <c r="AH324" s="39"/>
      <c r="AI324" s="39"/>
      <c r="AJ324" s="42" t="str">
        <f aca="false">IF(OR($B324="",$H324=""),"",IF(AND($I324&lt;&gt;"",$I324&lt;=DateRef),"",IF(Effectif&lt;SeuilEffectif,"Non concerné (&lt; "&amp;SeuilEffectif&amp;" salariés)",IF($AH324="Oui","Pas de risque",IF(AND(OR($AI324="Non",$S324="En retard"),$AH324="Non"),"Risque abondement",IF(OR($AI324="Non",$S324="En retard"),"À vérifier (formation ?)",IF($AI324="Oui","Pas de risque","À compléter")))))))</f>
        <v/>
      </c>
      <c r="AK324" s="39"/>
    </row>
    <row r="325" customFormat="false" ht="15" hidden="false" customHeight="false" outlineLevel="0" collapsed="false">
      <c r="A325" s="39"/>
      <c r="B325" s="39"/>
      <c r="C325" s="39"/>
      <c r="D325" s="39"/>
      <c r="E325" s="39"/>
      <c r="F325" s="39"/>
      <c r="G325" s="40"/>
      <c r="H325" s="40"/>
      <c r="I325" s="40"/>
      <c r="J325" s="41" t="str">
        <f aca="false">IF(OR($B325="",$H325=""),"",IF($H325&gt;DateRef,0,YEARFRAC($H325,DateRef,1)))</f>
        <v/>
      </c>
      <c r="K325" s="42" t="str">
        <f aca="false">IF(OR($B325="",$H325=""),"",IF(EDATE($H325,12)&lt;=DateRef,"Plus d'un an","Moins d'un an"))</f>
        <v/>
      </c>
      <c r="L325" s="40"/>
      <c r="M325" s="43" t="str">
        <f aca="false">IF(OR($B325="",$A325=""),"",IF(SUMPRODUCT(MAX((Journal!$A$6:$A$1005=$A325)*Journal!$C$6:$C$1005))=0,"",SUMPRODUCT(MAX((Journal!$A$6:$A$1005=$A325)*Journal!$C$6:$C$1005))))</f>
        <v/>
      </c>
      <c r="N325" s="43" t="str">
        <f aca="false">IF($B325="","",IF(MAX($L325,$M325)=0,"",MAX($L325,$M325)))</f>
        <v/>
      </c>
      <c r="O325" s="44" t="str">
        <f aca="false">IF(OR($B325="",$H325=""),"",IF($N325="",IF(EDATE($H325,DelaiPremierEPP)&gt;DateRef,"1er EPP (1re année)","Aucun entretien renseigné"),IF(AND(ReglesTransitoires="Oui",EDATE($N325,AnciennePeriodiciteEP*12)&lt;DateVigueur),"Retard antérieur à la réforme","Périodicité "&amp;PeriodiciteEPP&amp;" ans")))</f>
        <v/>
      </c>
      <c r="P325" s="43" t="str">
        <f aca="false">IF(OR($B325="",$H325=""),"",IF($N325="",EDATE($H325,DelaiPremierEPP),IF(AND(ReglesTransitoires="Oui",EDATE($N325,AnciennePeriodiciteEP*12)&lt;DateVigueur),EDATE($N325,AnciennePeriodiciteEP*12),EDATE($N325,PeriodiciteEPP*12))))</f>
        <v/>
      </c>
      <c r="Q325" s="40"/>
      <c r="R325" s="45" t="str">
        <f aca="false">IF(OR($P325="",AND($I325&lt;&gt;"",$I325&lt;=DateRef)),"",$P325-DateRef)</f>
        <v/>
      </c>
      <c r="S325" s="42" t="str">
        <f aca="false">IF($B325="","",IF(AND($I325&lt;&gt;"",$I325&lt;=DateRef),"Sorti",IF($H325="","À compléter",IF(AND($Q325&lt;&gt;"",$Q325&gt;=DateRef,$Q325&lt;=$P325),"Planifié",IF($R325&lt;0,"En retard",IF($R325&lt;=SeuilAlerteEPP,"À planifier","À jour"))))))</f>
        <v/>
      </c>
      <c r="T325" s="46" t="str">
        <f aca="false">IF(OR($B325="",$S325="Sorti"),"",MID(IF($H325=""," | Date d'embauche manquante","")&amp;IF(AND($K325="Plus d'un an",$N325="")," | Précédent entretien à renseigner (ancienneté &gt; 1 an)","")&amp;IF($O325="Retard antérieur à la réforme"," | Ancien délai de 2 ans expiré avant la réforme","")&amp;IF(AND($N325&lt;&gt;"",$H325&lt;&gt;"",$N325&lt;$H325)," | Entretien antérieur à l'embauche ?","")&amp;IF(AND($N325&lt;&gt;"",$N325&gt;DateRef)," | Entretien daté dans le futur ?","")&amp;IF(AND($Q325&lt;&gt;"",$P325&lt;&gt;"",$Q325&gt;$P325)," | Date prévue après l'échéance","")&amp;IF(AND($Q325&lt;&gt;"",$Q325&lt;DateRef,OR($N325="",$N325&lt;$Q325))," | Entretien prévu passé : le consigner au Journal","")&amp;IF(AND($G325&lt;&gt;"",$X325="",YEAR(DateRef)-YEAR($G325)&gt;=AgeMiCarriere-1,YEAR(DateRef)-YEAR($G325)&lt;=AgeMiCarriere+1)," | Visite de mi-carrière à vérifier",""),4,1000))</f>
        <v/>
      </c>
      <c r="U325" s="39"/>
      <c r="V325" s="40"/>
      <c r="W325" s="42" t="str">
        <f aca="false">IF(OR($B325="",$V325=""),"",IF(AND($I325&lt;&gt;"",$I325&lt;=DateRef),"",IF(AND($N325&lt;&gt;"",$N325&gt;=$V325),"Réalisé",IF(AND($N325&lt;&gt;"",$N325&gt;=EDATE($V325,-FenetreRetour)),"Dispensé (EPP récent)",IF($V325&gt;DateRef,"À prévoir à la reprise","À proposer (reprise passée)")))))</f>
        <v/>
      </c>
      <c r="X325" s="40"/>
      <c r="Y325" s="43" t="str">
        <f aca="false">IF(OR($B325="",$X325=""),"",EDATE($X325,DelaiMiCarriere))</f>
        <v/>
      </c>
      <c r="Z325" s="42" t="str">
        <f aca="false">IF(OR($B325="",$X325=""),"",IF(AND($I325&lt;&gt;"",$I325&lt;=DateRef),"",IF(AND($N325&lt;&gt;"",$N325&gt;=$X325),"Réalisé",IF($Y325&lt;DateRef,"En retard","À planifier"))))</f>
        <v/>
      </c>
      <c r="AA325" s="47" t="str">
        <f aca="false">IF(OR($B325="",$G325=""),"",IF($G325&gt;DateRef,"",DATEDIF($G325,DateRef,"y")))</f>
        <v/>
      </c>
      <c r="AB325" s="43" t="str">
        <f aca="false">IF(OR($B325="",$G325=""),"",EDATE($G325,AgeFinCarriere*12))</f>
        <v/>
      </c>
      <c r="AC325" s="42" t="str">
        <f aca="false">IF(OR($B325="",$G325="",$H325=""),"",IF(AND($I325&lt;&gt;"",$I325&lt;=DateRef),"",IF($AB325&lt;DateVigueur,"Non concerné",IF(AND($N325&lt;&gt;"",$N325&gt;=MAX(EDATE($AB325,-FenetreFinCarriere*12),DateVigueur),$N325&lt;=$AB325),"Réalisé",IF(DateRef&gt;$AB325,"Non réalisé",IF(AND($Q325&lt;&gt;"",$Q325&gt;=EDATE($AB325,-FenetreFinCarriere*12),$Q325&lt;=$AB325),"Planifié dans la fenêtre",IF(AND(MAX($P325,DateRef)&gt;=EDATE($AB325,-FenetreFinCarriere*12),MAX($P325,DateRef)&lt;=$AB325),"Prochain EPP dans la fenêtre",IF(MAX($P325,DateRef)&gt;$AB325,"À programmer avant 60 ans",""))))))))</f>
        <v/>
      </c>
      <c r="AD325" s="40"/>
      <c r="AE325" s="43" t="str">
        <f aca="false">IF(OR($B325="",$H325="",AND($I325&lt;&gt;"",$I325&lt;=DateRef)),"",MAX($H325,$AD325,IF($A325="",0,SUMPRODUCT(MAX((Journal!$A$6:$A$1005=$A325)*((Journal!$D$6:$D$1005=TypeEDL)+(Journal!$D$6:$D$1005=TypeBilan6))*Journal!$C$6:$C$1005)))))</f>
        <v/>
      </c>
      <c r="AF325" s="43" t="str">
        <f aca="false">IF($AE325="","",IF(AND(ReglesTransitoires="Oui",EDATE($AE325,AnciennePeriodiciteEDL*12)&lt;DateVigueur),EDATE($AE325,AnciennePeriodiciteEDL*12),EDATE($AE325,PeriodiciteEDL*12)))</f>
        <v/>
      </c>
      <c r="AG325" s="42" t="str">
        <f aca="false">IF($AF325="","",IF(AND($I325&lt;&gt;"",$I325&lt;=DateRef),"",IF($AF325&lt;DateRef,"En retard",IF($AF325-DateRef&lt;=SeuilAlerteEDL,"À prévoir","À jour"))))</f>
        <v/>
      </c>
      <c r="AH325" s="39"/>
      <c r="AI325" s="39"/>
      <c r="AJ325" s="42" t="str">
        <f aca="false">IF(OR($B325="",$H325=""),"",IF(AND($I325&lt;&gt;"",$I325&lt;=DateRef),"",IF(Effectif&lt;SeuilEffectif,"Non concerné (&lt; "&amp;SeuilEffectif&amp;" salariés)",IF($AH325="Oui","Pas de risque",IF(AND(OR($AI325="Non",$S325="En retard"),$AH325="Non"),"Risque abondement",IF(OR($AI325="Non",$S325="En retard"),"À vérifier (formation ?)",IF($AI325="Oui","Pas de risque","À compléter")))))))</f>
        <v/>
      </c>
      <c r="AK325" s="39"/>
    </row>
    <row r="326" customFormat="false" ht="15" hidden="false" customHeight="false" outlineLevel="0" collapsed="false">
      <c r="A326" s="39"/>
      <c r="B326" s="39"/>
      <c r="C326" s="39"/>
      <c r="D326" s="39"/>
      <c r="E326" s="39"/>
      <c r="F326" s="39"/>
      <c r="G326" s="40"/>
      <c r="H326" s="40"/>
      <c r="I326" s="40"/>
      <c r="J326" s="41" t="str">
        <f aca="false">IF(OR($B326="",$H326=""),"",IF($H326&gt;DateRef,0,YEARFRAC($H326,DateRef,1)))</f>
        <v/>
      </c>
      <c r="K326" s="42" t="str">
        <f aca="false">IF(OR($B326="",$H326=""),"",IF(EDATE($H326,12)&lt;=DateRef,"Plus d'un an","Moins d'un an"))</f>
        <v/>
      </c>
      <c r="L326" s="40"/>
      <c r="M326" s="43" t="str">
        <f aca="false">IF(OR($B326="",$A326=""),"",IF(SUMPRODUCT(MAX((Journal!$A$6:$A$1005=$A326)*Journal!$C$6:$C$1005))=0,"",SUMPRODUCT(MAX((Journal!$A$6:$A$1005=$A326)*Journal!$C$6:$C$1005))))</f>
        <v/>
      </c>
      <c r="N326" s="43" t="str">
        <f aca="false">IF($B326="","",IF(MAX($L326,$M326)=0,"",MAX($L326,$M326)))</f>
        <v/>
      </c>
      <c r="O326" s="44" t="str">
        <f aca="false">IF(OR($B326="",$H326=""),"",IF($N326="",IF(EDATE($H326,DelaiPremierEPP)&gt;DateRef,"1er EPP (1re année)","Aucun entretien renseigné"),IF(AND(ReglesTransitoires="Oui",EDATE($N326,AnciennePeriodiciteEP*12)&lt;DateVigueur),"Retard antérieur à la réforme","Périodicité "&amp;PeriodiciteEPP&amp;" ans")))</f>
        <v/>
      </c>
      <c r="P326" s="43" t="str">
        <f aca="false">IF(OR($B326="",$H326=""),"",IF($N326="",EDATE($H326,DelaiPremierEPP),IF(AND(ReglesTransitoires="Oui",EDATE($N326,AnciennePeriodiciteEP*12)&lt;DateVigueur),EDATE($N326,AnciennePeriodiciteEP*12),EDATE($N326,PeriodiciteEPP*12))))</f>
        <v/>
      </c>
      <c r="Q326" s="40"/>
      <c r="R326" s="45" t="str">
        <f aca="false">IF(OR($P326="",AND($I326&lt;&gt;"",$I326&lt;=DateRef)),"",$P326-DateRef)</f>
        <v/>
      </c>
      <c r="S326" s="42" t="str">
        <f aca="false">IF($B326="","",IF(AND($I326&lt;&gt;"",$I326&lt;=DateRef),"Sorti",IF($H326="","À compléter",IF(AND($Q326&lt;&gt;"",$Q326&gt;=DateRef,$Q326&lt;=$P326),"Planifié",IF($R326&lt;0,"En retard",IF($R326&lt;=SeuilAlerteEPP,"À planifier","À jour"))))))</f>
        <v/>
      </c>
      <c r="T326" s="46" t="str">
        <f aca="false">IF(OR($B326="",$S326="Sorti"),"",MID(IF($H326=""," | Date d'embauche manquante","")&amp;IF(AND($K326="Plus d'un an",$N326="")," | Précédent entretien à renseigner (ancienneté &gt; 1 an)","")&amp;IF($O326="Retard antérieur à la réforme"," | Ancien délai de 2 ans expiré avant la réforme","")&amp;IF(AND($N326&lt;&gt;"",$H326&lt;&gt;"",$N326&lt;$H326)," | Entretien antérieur à l'embauche ?","")&amp;IF(AND($N326&lt;&gt;"",$N326&gt;DateRef)," | Entretien daté dans le futur ?","")&amp;IF(AND($Q326&lt;&gt;"",$P326&lt;&gt;"",$Q326&gt;$P326)," | Date prévue après l'échéance","")&amp;IF(AND($Q326&lt;&gt;"",$Q326&lt;DateRef,OR($N326="",$N326&lt;$Q326))," | Entretien prévu passé : le consigner au Journal","")&amp;IF(AND($G326&lt;&gt;"",$X326="",YEAR(DateRef)-YEAR($G326)&gt;=AgeMiCarriere-1,YEAR(DateRef)-YEAR($G326)&lt;=AgeMiCarriere+1)," | Visite de mi-carrière à vérifier",""),4,1000))</f>
        <v/>
      </c>
      <c r="U326" s="39"/>
      <c r="V326" s="40"/>
      <c r="W326" s="42" t="str">
        <f aca="false">IF(OR($B326="",$V326=""),"",IF(AND($I326&lt;&gt;"",$I326&lt;=DateRef),"",IF(AND($N326&lt;&gt;"",$N326&gt;=$V326),"Réalisé",IF(AND($N326&lt;&gt;"",$N326&gt;=EDATE($V326,-FenetreRetour)),"Dispensé (EPP récent)",IF($V326&gt;DateRef,"À prévoir à la reprise","À proposer (reprise passée)")))))</f>
        <v/>
      </c>
      <c r="X326" s="40"/>
      <c r="Y326" s="43" t="str">
        <f aca="false">IF(OR($B326="",$X326=""),"",EDATE($X326,DelaiMiCarriere))</f>
        <v/>
      </c>
      <c r="Z326" s="42" t="str">
        <f aca="false">IF(OR($B326="",$X326=""),"",IF(AND($I326&lt;&gt;"",$I326&lt;=DateRef),"",IF(AND($N326&lt;&gt;"",$N326&gt;=$X326),"Réalisé",IF($Y326&lt;DateRef,"En retard","À planifier"))))</f>
        <v/>
      </c>
      <c r="AA326" s="47" t="str">
        <f aca="false">IF(OR($B326="",$G326=""),"",IF($G326&gt;DateRef,"",DATEDIF($G326,DateRef,"y")))</f>
        <v/>
      </c>
      <c r="AB326" s="43" t="str">
        <f aca="false">IF(OR($B326="",$G326=""),"",EDATE($G326,AgeFinCarriere*12))</f>
        <v/>
      </c>
      <c r="AC326" s="42" t="str">
        <f aca="false">IF(OR($B326="",$G326="",$H326=""),"",IF(AND($I326&lt;&gt;"",$I326&lt;=DateRef),"",IF($AB326&lt;DateVigueur,"Non concerné",IF(AND($N326&lt;&gt;"",$N326&gt;=MAX(EDATE($AB326,-FenetreFinCarriere*12),DateVigueur),$N326&lt;=$AB326),"Réalisé",IF(DateRef&gt;$AB326,"Non réalisé",IF(AND($Q326&lt;&gt;"",$Q326&gt;=EDATE($AB326,-FenetreFinCarriere*12),$Q326&lt;=$AB326),"Planifié dans la fenêtre",IF(AND(MAX($P326,DateRef)&gt;=EDATE($AB326,-FenetreFinCarriere*12),MAX($P326,DateRef)&lt;=$AB326),"Prochain EPP dans la fenêtre",IF(MAX($P326,DateRef)&gt;$AB326,"À programmer avant 60 ans",""))))))))</f>
        <v/>
      </c>
      <c r="AD326" s="40"/>
      <c r="AE326" s="43" t="str">
        <f aca="false">IF(OR($B326="",$H326="",AND($I326&lt;&gt;"",$I326&lt;=DateRef)),"",MAX($H326,$AD326,IF($A326="",0,SUMPRODUCT(MAX((Journal!$A$6:$A$1005=$A326)*((Journal!$D$6:$D$1005=TypeEDL)+(Journal!$D$6:$D$1005=TypeBilan6))*Journal!$C$6:$C$1005)))))</f>
        <v/>
      </c>
      <c r="AF326" s="43" t="str">
        <f aca="false">IF($AE326="","",IF(AND(ReglesTransitoires="Oui",EDATE($AE326,AnciennePeriodiciteEDL*12)&lt;DateVigueur),EDATE($AE326,AnciennePeriodiciteEDL*12),EDATE($AE326,PeriodiciteEDL*12)))</f>
        <v/>
      </c>
      <c r="AG326" s="42" t="str">
        <f aca="false">IF($AF326="","",IF(AND($I326&lt;&gt;"",$I326&lt;=DateRef),"",IF($AF326&lt;DateRef,"En retard",IF($AF326-DateRef&lt;=SeuilAlerteEDL,"À prévoir","À jour"))))</f>
        <v/>
      </c>
      <c r="AH326" s="39"/>
      <c r="AI326" s="39"/>
      <c r="AJ326" s="42" t="str">
        <f aca="false">IF(OR($B326="",$H326=""),"",IF(AND($I326&lt;&gt;"",$I326&lt;=DateRef),"",IF(Effectif&lt;SeuilEffectif,"Non concerné (&lt; "&amp;SeuilEffectif&amp;" salariés)",IF($AH326="Oui","Pas de risque",IF(AND(OR($AI326="Non",$S326="En retard"),$AH326="Non"),"Risque abondement",IF(OR($AI326="Non",$S326="En retard"),"À vérifier (formation ?)",IF($AI326="Oui","Pas de risque","À compléter")))))))</f>
        <v/>
      </c>
      <c r="AK326" s="39"/>
    </row>
    <row r="327" customFormat="false" ht="15" hidden="false" customHeight="false" outlineLevel="0" collapsed="false">
      <c r="A327" s="39"/>
      <c r="B327" s="39"/>
      <c r="C327" s="39"/>
      <c r="D327" s="39"/>
      <c r="E327" s="39"/>
      <c r="F327" s="39"/>
      <c r="G327" s="40"/>
      <c r="H327" s="40"/>
      <c r="I327" s="40"/>
      <c r="J327" s="41" t="str">
        <f aca="false">IF(OR($B327="",$H327=""),"",IF($H327&gt;DateRef,0,YEARFRAC($H327,DateRef,1)))</f>
        <v/>
      </c>
      <c r="K327" s="42" t="str">
        <f aca="false">IF(OR($B327="",$H327=""),"",IF(EDATE($H327,12)&lt;=DateRef,"Plus d'un an","Moins d'un an"))</f>
        <v/>
      </c>
      <c r="L327" s="40"/>
      <c r="M327" s="43" t="str">
        <f aca="false">IF(OR($B327="",$A327=""),"",IF(SUMPRODUCT(MAX((Journal!$A$6:$A$1005=$A327)*Journal!$C$6:$C$1005))=0,"",SUMPRODUCT(MAX((Journal!$A$6:$A$1005=$A327)*Journal!$C$6:$C$1005))))</f>
        <v/>
      </c>
      <c r="N327" s="43" t="str">
        <f aca="false">IF($B327="","",IF(MAX($L327,$M327)=0,"",MAX($L327,$M327)))</f>
        <v/>
      </c>
      <c r="O327" s="44" t="str">
        <f aca="false">IF(OR($B327="",$H327=""),"",IF($N327="",IF(EDATE($H327,DelaiPremierEPP)&gt;DateRef,"1er EPP (1re année)","Aucun entretien renseigné"),IF(AND(ReglesTransitoires="Oui",EDATE($N327,AnciennePeriodiciteEP*12)&lt;DateVigueur),"Retard antérieur à la réforme","Périodicité "&amp;PeriodiciteEPP&amp;" ans")))</f>
        <v/>
      </c>
      <c r="P327" s="43" t="str">
        <f aca="false">IF(OR($B327="",$H327=""),"",IF($N327="",EDATE($H327,DelaiPremierEPP),IF(AND(ReglesTransitoires="Oui",EDATE($N327,AnciennePeriodiciteEP*12)&lt;DateVigueur),EDATE($N327,AnciennePeriodiciteEP*12),EDATE($N327,PeriodiciteEPP*12))))</f>
        <v/>
      </c>
      <c r="Q327" s="40"/>
      <c r="R327" s="45" t="str">
        <f aca="false">IF(OR($P327="",AND($I327&lt;&gt;"",$I327&lt;=DateRef)),"",$P327-DateRef)</f>
        <v/>
      </c>
      <c r="S327" s="42" t="str">
        <f aca="false">IF($B327="","",IF(AND($I327&lt;&gt;"",$I327&lt;=DateRef),"Sorti",IF($H327="","À compléter",IF(AND($Q327&lt;&gt;"",$Q327&gt;=DateRef,$Q327&lt;=$P327),"Planifié",IF($R327&lt;0,"En retard",IF($R327&lt;=SeuilAlerteEPP,"À planifier","À jour"))))))</f>
        <v/>
      </c>
      <c r="T327" s="46" t="str">
        <f aca="false">IF(OR($B327="",$S327="Sorti"),"",MID(IF($H327=""," | Date d'embauche manquante","")&amp;IF(AND($K327="Plus d'un an",$N327="")," | Précédent entretien à renseigner (ancienneté &gt; 1 an)","")&amp;IF($O327="Retard antérieur à la réforme"," | Ancien délai de 2 ans expiré avant la réforme","")&amp;IF(AND($N327&lt;&gt;"",$H327&lt;&gt;"",$N327&lt;$H327)," | Entretien antérieur à l'embauche ?","")&amp;IF(AND($N327&lt;&gt;"",$N327&gt;DateRef)," | Entretien daté dans le futur ?","")&amp;IF(AND($Q327&lt;&gt;"",$P327&lt;&gt;"",$Q327&gt;$P327)," | Date prévue après l'échéance","")&amp;IF(AND($Q327&lt;&gt;"",$Q327&lt;DateRef,OR($N327="",$N327&lt;$Q327))," | Entretien prévu passé : le consigner au Journal","")&amp;IF(AND($G327&lt;&gt;"",$X327="",YEAR(DateRef)-YEAR($G327)&gt;=AgeMiCarriere-1,YEAR(DateRef)-YEAR($G327)&lt;=AgeMiCarriere+1)," | Visite de mi-carrière à vérifier",""),4,1000))</f>
        <v/>
      </c>
      <c r="U327" s="39"/>
      <c r="V327" s="40"/>
      <c r="W327" s="42" t="str">
        <f aca="false">IF(OR($B327="",$V327=""),"",IF(AND($I327&lt;&gt;"",$I327&lt;=DateRef),"",IF(AND($N327&lt;&gt;"",$N327&gt;=$V327),"Réalisé",IF(AND($N327&lt;&gt;"",$N327&gt;=EDATE($V327,-FenetreRetour)),"Dispensé (EPP récent)",IF($V327&gt;DateRef,"À prévoir à la reprise","À proposer (reprise passée)")))))</f>
        <v/>
      </c>
      <c r="X327" s="40"/>
      <c r="Y327" s="43" t="str">
        <f aca="false">IF(OR($B327="",$X327=""),"",EDATE($X327,DelaiMiCarriere))</f>
        <v/>
      </c>
      <c r="Z327" s="42" t="str">
        <f aca="false">IF(OR($B327="",$X327=""),"",IF(AND($I327&lt;&gt;"",$I327&lt;=DateRef),"",IF(AND($N327&lt;&gt;"",$N327&gt;=$X327),"Réalisé",IF($Y327&lt;DateRef,"En retard","À planifier"))))</f>
        <v/>
      </c>
      <c r="AA327" s="47" t="str">
        <f aca="false">IF(OR($B327="",$G327=""),"",IF($G327&gt;DateRef,"",DATEDIF($G327,DateRef,"y")))</f>
        <v/>
      </c>
      <c r="AB327" s="43" t="str">
        <f aca="false">IF(OR($B327="",$G327=""),"",EDATE($G327,AgeFinCarriere*12))</f>
        <v/>
      </c>
      <c r="AC327" s="42" t="str">
        <f aca="false">IF(OR($B327="",$G327="",$H327=""),"",IF(AND($I327&lt;&gt;"",$I327&lt;=DateRef),"",IF($AB327&lt;DateVigueur,"Non concerné",IF(AND($N327&lt;&gt;"",$N327&gt;=MAX(EDATE($AB327,-FenetreFinCarriere*12),DateVigueur),$N327&lt;=$AB327),"Réalisé",IF(DateRef&gt;$AB327,"Non réalisé",IF(AND($Q327&lt;&gt;"",$Q327&gt;=EDATE($AB327,-FenetreFinCarriere*12),$Q327&lt;=$AB327),"Planifié dans la fenêtre",IF(AND(MAX($P327,DateRef)&gt;=EDATE($AB327,-FenetreFinCarriere*12),MAX($P327,DateRef)&lt;=$AB327),"Prochain EPP dans la fenêtre",IF(MAX($P327,DateRef)&gt;$AB327,"À programmer avant 60 ans",""))))))))</f>
        <v/>
      </c>
      <c r="AD327" s="40"/>
      <c r="AE327" s="43" t="str">
        <f aca="false">IF(OR($B327="",$H327="",AND($I327&lt;&gt;"",$I327&lt;=DateRef)),"",MAX($H327,$AD327,IF($A327="",0,SUMPRODUCT(MAX((Journal!$A$6:$A$1005=$A327)*((Journal!$D$6:$D$1005=TypeEDL)+(Journal!$D$6:$D$1005=TypeBilan6))*Journal!$C$6:$C$1005)))))</f>
        <v/>
      </c>
      <c r="AF327" s="43" t="str">
        <f aca="false">IF($AE327="","",IF(AND(ReglesTransitoires="Oui",EDATE($AE327,AnciennePeriodiciteEDL*12)&lt;DateVigueur),EDATE($AE327,AnciennePeriodiciteEDL*12),EDATE($AE327,PeriodiciteEDL*12)))</f>
        <v/>
      </c>
      <c r="AG327" s="42" t="str">
        <f aca="false">IF($AF327="","",IF(AND($I327&lt;&gt;"",$I327&lt;=DateRef),"",IF($AF327&lt;DateRef,"En retard",IF($AF327-DateRef&lt;=SeuilAlerteEDL,"À prévoir","À jour"))))</f>
        <v/>
      </c>
      <c r="AH327" s="39"/>
      <c r="AI327" s="39"/>
      <c r="AJ327" s="42" t="str">
        <f aca="false">IF(OR($B327="",$H327=""),"",IF(AND($I327&lt;&gt;"",$I327&lt;=DateRef),"",IF(Effectif&lt;SeuilEffectif,"Non concerné (&lt; "&amp;SeuilEffectif&amp;" salariés)",IF($AH327="Oui","Pas de risque",IF(AND(OR($AI327="Non",$S327="En retard"),$AH327="Non"),"Risque abondement",IF(OR($AI327="Non",$S327="En retard"),"À vérifier (formation ?)",IF($AI327="Oui","Pas de risque","À compléter")))))))</f>
        <v/>
      </c>
      <c r="AK327" s="39"/>
    </row>
    <row r="328" customFormat="false" ht="15" hidden="false" customHeight="false" outlineLevel="0" collapsed="false">
      <c r="A328" s="39"/>
      <c r="B328" s="39"/>
      <c r="C328" s="39"/>
      <c r="D328" s="39"/>
      <c r="E328" s="39"/>
      <c r="F328" s="39"/>
      <c r="G328" s="40"/>
      <c r="H328" s="40"/>
      <c r="I328" s="40"/>
      <c r="J328" s="41" t="str">
        <f aca="false">IF(OR($B328="",$H328=""),"",IF($H328&gt;DateRef,0,YEARFRAC($H328,DateRef,1)))</f>
        <v/>
      </c>
      <c r="K328" s="42" t="str">
        <f aca="false">IF(OR($B328="",$H328=""),"",IF(EDATE($H328,12)&lt;=DateRef,"Plus d'un an","Moins d'un an"))</f>
        <v/>
      </c>
      <c r="L328" s="40"/>
      <c r="M328" s="43" t="str">
        <f aca="false">IF(OR($B328="",$A328=""),"",IF(SUMPRODUCT(MAX((Journal!$A$6:$A$1005=$A328)*Journal!$C$6:$C$1005))=0,"",SUMPRODUCT(MAX((Journal!$A$6:$A$1005=$A328)*Journal!$C$6:$C$1005))))</f>
        <v/>
      </c>
      <c r="N328" s="43" t="str">
        <f aca="false">IF($B328="","",IF(MAX($L328,$M328)=0,"",MAX($L328,$M328)))</f>
        <v/>
      </c>
      <c r="O328" s="44" t="str">
        <f aca="false">IF(OR($B328="",$H328=""),"",IF($N328="",IF(EDATE($H328,DelaiPremierEPP)&gt;DateRef,"1er EPP (1re année)","Aucun entretien renseigné"),IF(AND(ReglesTransitoires="Oui",EDATE($N328,AnciennePeriodiciteEP*12)&lt;DateVigueur),"Retard antérieur à la réforme","Périodicité "&amp;PeriodiciteEPP&amp;" ans")))</f>
        <v/>
      </c>
      <c r="P328" s="43" t="str">
        <f aca="false">IF(OR($B328="",$H328=""),"",IF($N328="",EDATE($H328,DelaiPremierEPP),IF(AND(ReglesTransitoires="Oui",EDATE($N328,AnciennePeriodiciteEP*12)&lt;DateVigueur),EDATE($N328,AnciennePeriodiciteEP*12),EDATE($N328,PeriodiciteEPP*12))))</f>
        <v/>
      </c>
      <c r="Q328" s="40"/>
      <c r="R328" s="45" t="str">
        <f aca="false">IF(OR($P328="",AND($I328&lt;&gt;"",$I328&lt;=DateRef)),"",$P328-DateRef)</f>
        <v/>
      </c>
      <c r="S328" s="42" t="str">
        <f aca="false">IF($B328="","",IF(AND($I328&lt;&gt;"",$I328&lt;=DateRef),"Sorti",IF($H328="","À compléter",IF(AND($Q328&lt;&gt;"",$Q328&gt;=DateRef,$Q328&lt;=$P328),"Planifié",IF($R328&lt;0,"En retard",IF($R328&lt;=SeuilAlerteEPP,"À planifier","À jour"))))))</f>
        <v/>
      </c>
      <c r="T328" s="46" t="str">
        <f aca="false">IF(OR($B328="",$S328="Sorti"),"",MID(IF($H328=""," | Date d'embauche manquante","")&amp;IF(AND($K328="Plus d'un an",$N328="")," | Précédent entretien à renseigner (ancienneté &gt; 1 an)","")&amp;IF($O328="Retard antérieur à la réforme"," | Ancien délai de 2 ans expiré avant la réforme","")&amp;IF(AND($N328&lt;&gt;"",$H328&lt;&gt;"",$N328&lt;$H328)," | Entretien antérieur à l'embauche ?","")&amp;IF(AND($N328&lt;&gt;"",$N328&gt;DateRef)," | Entretien daté dans le futur ?","")&amp;IF(AND($Q328&lt;&gt;"",$P328&lt;&gt;"",$Q328&gt;$P328)," | Date prévue après l'échéance","")&amp;IF(AND($Q328&lt;&gt;"",$Q328&lt;DateRef,OR($N328="",$N328&lt;$Q328))," | Entretien prévu passé : le consigner au Journal","")&amp;IF(AND($G328&lt;&gt;"",$X328="",YEAR(DateRef)-YEAR($G328)&gt;=AgeMiCarriere-1,YEAR(DateRef)-YEAR($G328)&lt;=AgeMiCarriere+1)," | Visite de mi-carrière à vérifier",""),4,1000))</f>
        <v/>
      </c>
      <c r="U328" s="39"/>
      <c r="V328" s="40"/>
      <c r="W328" s="42" t="str">
        <f aca="false">IF(OR($B328="",$V328=""),"",IF(AND($I328&lt;&gt;"",$I328&lt;=DateRef),"",IF(AND($N328&lt;&gt;"",$N328&gt;=$V328),"Réalisé",IF(AND($N328&lt;&gt;"",$N328&gt;=EDATE($V328,-FenetreRetour)),"Dispensé (EPP récent)",IF($V328&gt;DateRef,"À prévoir à la reprise","À proposer (reprise passée)")))))</f>
        <v/>
      </c>
      <c r="X328" s="40"/>
      <c r="Y328" s="43" t="str">
        <f aca="false">IF(OR($B328="",$X328=""),"",EDATE($X328,DelaiMiCarriere))</f>
        <v/>
      </c>
      <c r="Z328" s="42" t="str">
        <f aca="false">IF(OR($B328="",$X328=""),"",IF(AND($I328&lt;&gt;"",$I328&lt;=DateRef),"",IF(AND($N328&lt;&gt;"",$N328&gt;=$X328),"Réalisé",IF($Y328&lt;DateRef,"En retard","À planifier"))))</f>
        <v/>
      </c>
      <c r="AA328" s="47" t="str">
        <f aca="false">IF(OR($B328="",$G328=""),"",IF($G328&gt;DateRef,"",DATEDIF($G328,DateRef,"y")))</f>
        <v/>
      </c>
      <c r="AB328" s="43" t="str">
        <f aca="false">IF(OR($B328="",$G328=""),"",EDATE($G328,AgeFinCarriere*12))</f>
        <v/>
      </c>
      <c r="AC328" s="42" t="str">
        <f aca="false">IF(OR($B328="",$G328="",$H328=""),"",IF(AND($I328&lt;&gt;"",$I328&lt;=DateRef),"",IF($AB328&lt;DateVigueur,"Non concerné",IF(AND($N328&lt;&gt;"",$N328&gt;=MAX(EDATE($AB328,-FenetreFinCarriere*12),DateVigueur),$N328&lt;=$AB328),"Réalisé",IF(DateRef&gt;$AB328,"Non réalisé",IF(AND($Q328&lt;&gt;"",$Q328&gt;=EDATE($AB328,-FenetreFinCarriere*12),$Q328&lt;=$AB328),"Planifié dans la fenêtre",IF(AND(MAX($P328,DateRef)&gt;=EDATE($AB328,-FenetreFinCarriere*12),MAX($P328,DateRef)&lt;=$AB328),"Prochain EPP dans la fenêtre",IF(MAX($P328,DateRef)&gt;$AB328,"À programmer avant 60 ans",""))))))))</f>
        <v/>
      </c>
      <c r="AD328" s="40"/>
      <c r="AE328" s="43" t="str">
        <f aca="false">IF(OR($B328="",$H328="",AND($I328&lt;&gt;"",$I328&lt;=DateRef)),"",MAX($H328,$AD328,IF($A328="",0,SUMPRODUCT(MAX((Journal!$A$6:$A$1005=$A328)*((Journal!$D$6:$D$1005=TypeEDL)+(Journal!$D$6:$D$1005=TypeBilan6))*Journal!$C$6:$C$1005)))))</f>
        <v/>
      </c>
      <c r="AF328" s="43" t="str">
        <f aca="false">IF($AE328="","",IF(AND(ReglesTransitoires="Oui",EDATE($AE328,AnciennePeriodiciteEDL*12)&lt;DateVigueur),EDATE($AE328,AnciennePeriodiciteEDL*12),EDATE($AE328,PeriodiciteEDL*12)))</f>
        <v/>
      </c>
      <c r="AG328" s="42" t="str">
        <f aca="false">IF($AF328="","",IF(AND($I328&lt;&gt;"",$I328&lt;=DateRef),"",IF($AF328&lt;DateRef,"En retard",IF($AF328-DateRef&lt;=SeuilAlerteEDL,"À prévoir","À jour"))))</f>
        <v/>
      </c>
      <c r="AH328" s="39"/>
      <c r="AI328" s="39"/>
      <c r="AJ328" s="42" t="str">
        <f aca="false">IF(OR($B328="",$H328=""),"",IF(AND($I328&lt;&gt;"",$I328&lt;=DateRef),"",IF(Effectif&lt;SeuilEffectif,"Non concerné (&lt; "&amp;SeuilEffectif&amp;" salariés)",IF($AH328="Oui","Pas de risque",IF(AND(OR($AI328="Non",$S328="En retard"),$AH328="Non"),"Risque abondement",IF(OR($AI328="Non",$S328="En retard"),"À vérifier (formation ?)",IF($AI328="Oui","Pas de risque","À compléter")))))))</f>
        <v/>
      </c>
      <c r="AK328" s="39"/>
    </row>
    <row r="329" customFormat="false" ht="15" hidden="false" customHeight="false" outlineLevel="0" collapsed="false">
      <c r="A329" s="39"/>
      <c r="B329" s="39"/>
      <c r="C329" s="39"/>
      <c r="D329" s="39"/>
      <c r="E329" s="39"/>
      <c r="F329" s="39"/>
      <c r="G329" s="40"/>
      <c r="H329" s="40"/>
      <c r="I329" s="40"/>
      <c r="J329" s="41" t="str">
        <f aca="false">IF(OR($B329="",$H329=""),"",IF($H329&gt;DateRef,0,YEARFRAC($H329,DateRef,1)))</f>
        <v/>
      </c>
      <c r="K329" s="42" t="str">
        <f aca="false">IF(OR($B329="",$H329=""),"",IF(EDATE($H329,12)&lt;=DateRef,"Plus d'un an","Moins d'un an"))</f>
        <v/>
      </c>
      <c r="L329" s="40"/>
      <c r="M329" s="43" t="str">
        <f aca="false">IF(OR($B329="",$A329=""),"",IF(SUMPRODUCT(MAX((Journal!$A$6:$A$1005=$A329)*Journal!$C$6:$C$1005))=0,"",SUMPRODUCT(MAX((Journal!$A$6:$A$1005=$A329)*Journal!$C$6:$C$1005))))</f>
        <v/>
      </c>
      <c r="N329" s="43" t="str">
        <f aca="false">IF($B329="","",IF(MAX($L329,$M329)=0,"",MAX($L329,$M329)))</f>
        <v/>
      </c>
      <c r="O329" s="44" t="str">
        <f aca="false">IF(OR($B329="",$H329=""),"",IF($N329="",IF(EDATE($H329,DelaiPremierEPP)&gt;DateRef,"1er EPP (1re année)","Aucun entretien renseigné"),IF(AND(ReglesTransitoires="Oui",EDATE($N329,AnciennePeriodiciteEP*12)&lt;DateVigueur),"Retard antérieur à la réforme","Périodicité "&amp;PeriodiciteEPP&amp;" ans")))</f>
        <v/>
      </c>
      <c r="P329" s="43" t="str">
        <f aca="false">IF(OR($B329="",$H329=""),"",IF($N329="",EDATE($H329,DelaiPremierEPP),IF(AND(ReglesTransitoires="Oui",EDATE($N329,AnciennePeriodiciteEP*12)&lt;DateVigueur),EDATE($N329,AnciennePeriodiciteEP*12),EDATE($N329,PeriodiciteEPP*12))))</f>
        <v/>
      </c>
      <c r="Q329" s="40"/>
      <c r="R329" s="45" t="str">
        <f aca="false">IF(OR($P329="",AND($I329&lt;&gt;"",$I329&lt;=DateRef)),"",$P329-DateRef)</f>
        <v/>
      </c>
      <c r="S329" s="42" t="str">
        <f aca="false">IF($B329="","",IF(AND($I329&lt;&gt;"",$I329&lt;=DateRef),"Sorti",IF($H329="","À compléter",IF(AND($Q329&lt;&gt;"",$Q329&gt;=DateRef,$Q329&lt;=$P329),"Planifié",IF($R329&lt;0,"En retard",IF($R329&lt;=SeuilAlerteEPP,"À planifier","À jour"))))))</f>
        <v/>
      </c>
      <c r="T329" s="46" t="str">
        <f aca="false">IF(OR($B329="",$S329="Sorti"),"",MID(IF($H329=""," | Date d'embauche manquante","")&amp;IF(AND($K329="Plus d'un an",$N329="")," | Précédent entretien à renseigner (ancienneté &gt; 1 an)","")&amp;IF($O329="Retard antérieur à la réforme"," | Ancien délai de 2 ans expiré avant la réforme","")&amp;IF(AND($N329&lt;&gt;"",$H329&lt;&gt;"",$N329&lt;$H329)," | Entretien antérieur à l'embauche ?","")&amp;IF(AND($N329&lt;&gt;"",$N329&gt;DateRef)," | Entretien daté dans le futur ?","")&amp;IF(AND($Q329&lt;&gt;"",$P329&lt;&gt;"",$Q329&gt;$P329)," | Date prévue après l'échéance","")&amp;IF(AND($Q329&lt;&gt;"",$Q329&lt;DateRef,OR($N329="",$N329&lt;$Q329))," | Entretien prévu passé : le consigner au Journal","")&amp;IF(AND($G329&lt;&gt;"",$X329="",YEAR(DateRef)-YEAR($G329)&gt;=AgeMiCarriere-1,YEAR(DateRef)-YEAR($G329)&lt;=AgeMiCarriere+1)," | Visite de mi-carrière à vérifier",""),4,1000))</f>
        <v/>
      </c>
      <c r="U329" s="39"/>
      <c r="V329" s="40"/>
      <c r="W329" s="42" t="str">
        <f aca="false">IF(OR($B329="",$V329=""),"",IF(AND($I329&lt;&gt;"",$I329&lt;=DateRef),"",IF(AND($N329&lt;&gt;"",$N329&gt;=$V329),"Réalisé",IF(AND($N329&lt;&gt;"",$N329&gt;=EDATE($V329,-FenetreRetour)),"Dispensé (EPP récent)",IF($V329&gt;DateRef,"À prévoir à la reprise","À proposer (reprise passée)")))))</f>
        <v/>
      </c>
      <c r="X329" s="40"/>
      <c r="Y329" s="43" t="str">
        <f aca="false">IF(OR($B329="",$X329=""),"",EDATE($X329,DelaiMiCarriere))</f>
        <v/>
      </c>
      <c r="Z329" s="42" t="str">
        <f aca="false">IF(OR($B329="",$X329=""),"",IF(AND($I329&lt;&gt;"",$I329&lt;=DateRef),"",IF(AND($N329&lt;&gt;"",$N329&gt;=$X329),"Réalisé",IF($Y329&lt;DateRef,"En retard","À planifier"))))</f>
        <v/>
      </c>
      <c r="AA329" s="47" t="str">
        <f aca="false">IF(OR($B329="",$G329=""),"",IF($G329&gt;DateRef,"",DATEDIF($G329,DateRef,"y")))</f>
        <v/>
      </c>
      <c r="AB329" s="43" t="str">
        <f aca="false">IF(OR($B329="",$G329=""),"",EDATE($G329,AgeFinCarriere*12))</f>
        <v/>
      </c>
      <c r="AC329" s="42" t="str">
        <f aca="false">IF(OR($B329="",$G329="",$H329=""),"",IF(AND($I329&lt;&gt;"",$I329&lt;=DateRef),"",IF($AB329&lt;DateVigueur,"Non concerné",IF(AND($N329&lt;&gt;"",$N329&gt;=MAX(EDATE($AB329,-FenetreFinCarriere*12),DateVigueur),$N329&lt;=$AB329),"Réalisé",IF(DateRef&gt;$AB329,"Non réalisé",IF(AND($Q329&lt;&gt;"",$Q329&gt;=EDATE($AB329,-FenetreFinCarriere*12),$Q329&lt;=$AB329),"Planifié dans la fenêtre",IF(AND(MAX($P329,DateRef)&gt;=EDATE($AB329,-FenetreFinCarriere*12),MAX($P329,DateRef)&lt;=$AB329),"Prochain EPP dans la fenêtre",IF(MAX($P329,DateRef)&gt;$AB329,"À programmer avant 60 ans",""))))))))</f>
        <v/>
      </c>
      <c r="AD329" s="40"/>
      <c r="AE329" s="43" t="str">
        <f aca="false">IF(OR($B329="",$H329="",AND($I329&lt;&gt;"",$I329&lt;=DateRef)),"",MAX($H329,$AD329,IF($A329="",0,SUMPRODUCT(MAX((Journal!$A$6:$A$1005=$A329)*((Journal!$D$6:$D$1005=TypeEDL)+(Journal!$D$6:$D$1005=TypeBilan6))*Journal!$C$6:$C$1005)))))</f>
        <v/>
      </c>
      <c r="AF329" s="43" t="str">
        <f aca="false">IF($AE329="","",IF(AND(ReglesTransitoires="Oui",EDATE($AE329,AnciennePeriodiciteEDL*12)&lt;DateVigueur),EDATE($AE329,AnciennePeriodiciteEDL*12),EDATE($AE329,PeriodiciteEDL*12)))</f>
        <v/>
      </c>
      <c r="AG329" s="42" t="str">
        <f aca="false">IF($AF329="","",IF(AND($I329&lt;&gt;"",$I329&lt;=DateRef),"",IF($AF329&lt;DateRef,"En retard",IF($AF329-DateRef&lt;=SeuilAlerteEDL,"À prévoir","À jour"))))</f>
        <v/>
      </c>
      <c r="AH329" s="39"/>
      <c r="AI329" s="39"/>
      <c r="AJ329" s="42" t="str">
        <f aca="false">IF(OR($B329="",$H329=""),"",IF(AND($I329&lt;&gt;"",$I329&lt;=DateRef),"",IF(Effectif&lt;SeuilEffectif,"Non concerné (&lt; "&amp;SeuilEffectif&amp;" salariés)",IF($AH329="Oui","Pas de risque",IF(AND(OR($AI329="Non",$S329="En retard"),$AH329="Non"),"Risque abondement",IF(OR($AI329="Non",$S329="En retard"),"À vérifier (formation ?)",IF($AI329="Oui","Pas de risque","À compléter")))))))</f>
        <v/>
      </c>
      <c r="AK329" s="39"/>
    </row>
    <row r="330" customFormat="false" ht="15" hidden="false" customHeight="false" outlineLevel="0" collapsed="false">
      <c r="A330" s="39"/>
      <c r="B330" s="39"/>
      <c r="C330" s="39"/>
      <c r="D330" s="39"/>
      <c r="E330" s="39"/>
      <c r="F330" s="39"/>
      <c r="G330" s="40"/>
      <c r="H330" s="40"/>
      <c r="I330" s="40"/>
      <c r="J330" s="41" t="str">
        <f aca="false">IF(OR($B330="",$H330=""),"",IF($H330&gt;DateRef,0,YEARFRAC($H330,DateRef,1)))</f>
        <v/>
      </c>
      <c r="K330" s="42" t="str">
        <f aca="false">IF(OR($B330="",$H330=""),"",IF(EDATE($H330,12)&lt;=DateRef,"Plus d'un an","Moins d'un an"))</f>
        <v/>
      </c>
      <c r="L330" s="40"/>
      <c r="M330" s="43" t="str">
        <f aca="false">IF(OR($B330="",$A330=""),"",IF(SUMPRODUCT(MAX((Journal!$A$6:$A$1005=$A330)*Journal!$C$6:$C$1005))=0,"",SUMPRODUCT(MAX((Journal!$A$6:$A$1005=$A330)*Journal!$C$6:$C$1005))))</f>
        <v/>
      </c>
      <c r="N330" s="43" t="str">
        <f aca="false">IF($B330="","",IF(MAX($L330,$M330)=0,"",MAX($L330,$M330)))</f>
        <v/>
      </c>
      <c r="O330" s="44" t="str">
        <f aca="false">IF(OR($B330="",$H330=""),"",IF($N330="",IF(EDATE($H330,DelaiPremierEPP)&gt;DateRef,"1er EPP (1re année)","Aucun entretien renseigné"),IF(AND(ReglesTransitoires="Oui",EDATE($N330,AnciennePeriodiciteEP*12)&lt;DateVigueur),"Retard antérieur à la réforme","Périodicité "&amp;PeriodiciteEPP&amp;" ans")))</f>
        <v/>
      </c>
      <c r="P330" s="43" t="str">
        <f aca="false">IF(OR($B330="",$H330=""),"",IF($N330="",EDATE($H330,DelaiPremierEPP),IF(AND(ReglesTransitoires="Oui",EDATE($N330,AnciennePeriodiciteEP*12)&lt;DateVigueur),EDATE($N330,AnciennePeriodiciteEP*12),EDATE($N330,PeriodiciteEPP*12))))</f>
        <v/>
      </c>
      <c r="Q330" s="40"/>
      <c r="R330" s="45" t="str">
        <f aca="false">IF(OR($P330="",AND($I330&lt;&gt;"",$I330&lt;=DateRef)),"",$P330-DateRef)</f>
        <v/>
      </c>
      <c r="S330" s="42" t="str">
        <f aca="false">IF($B330="","",IF(AND($I330&lt;&gt;"",$I330&lt;=DateRef),"Sorti",IF($H330="","À compléter",IF(AND($Q330&lt;&gt;"",$Q330&gt;=DateRef,$Q330&lt;=$P330),"Planifié",IF($R330&lt;0,"En retard",IF($R330&lt;=SeuilAlerteEPP,"À planifier","À jour"))))))</f>
        <v/>
      </c>
      <c r="T330" s="46" t="str">
        <f aca="false">IF(OR($B330="",$S330="Sorti"),"",MID(IF($H330=""," | Date d'embauche manquante","")&amp;IF(AND($K330="Plus d'un an",$N330="")," | Précédent entretien à renseigner (ancienneté &gt; 1 an)","")&amp;IF($O330="Retard antérieur à la réforme"," | Ancien délai de 2 ans expiré avant la réforme","")&amp;IF(AND($N330&lt;&gt;"",$H330&lt;&gt;"",$N330&lt;$H330)," | Entretien antérieur à l'embauche ?","")&amp;IF(AND($N330&lt;&gt;"",$N330&gt;DateRef)," | Entretien daté dans le futur ?","")&amp;IF(AND($Q330&lt;&gt;"",$P330&lt;&gt;"",$Q330&gt;$P330)," | Date prévue après l'échéance","")&amp;IF(AND($Q330&lt;&gt;"",$Q330&lt;DateRef,OR($N330="",$N330&lt;$Q330))," | Entretien prévu passé : le consigner au Journal","")&amp;IF(AND($G330&lt;&gt;"",$X330="",YEAR(DateRef)-YEAR($G330)&gt;=AgeMiCarriere-1,YEAR(DateRef)-YEAR($G330)&lt;=AgeMiCarriere+1)," | Visite de mi-carrière à vérifier",""),4,1000))</f>
        <v/>
      </c>
      <c r="U330" s="39"/>
      <c r="V330" s="40"/>
      <c r="W330" s="42" t="str">
        <f aca="false">IF(OR($B330="",$V330=""),"",IF(AND($I330&lt;&gt;"",$I330&lt;=DateRef),"",IF(AND($N330&lt;&gt;"",$N330&gt;=$V330),"Réalisé",IF(AND($N330&lt;&gt;"",$N330&gt;=EDATE($V330,-FenetreRetour)),"Dispensé (EPP récent)",IF($V330&gt;DateRef,"À prévoir à la reprise","À proposer (reprise passée)")))))</f>
        <v/>
      </c>
      <c r="X330" s="40"/>
      <c r="Y330" s="43" t="str">
        <f aca="false">IF(OR($B330="",$X330=""),"",EDATE($X330,DelaiMiCarriere))</f>
        <v/>
      </c>
      <c r="Z330" s="42" t="str">
        <f aca="false">IF(OR($B330="",$X330=""),"",IF(AND($I330&lt;&gt;"",$I330&lt;=DateRef),"",IF(AND($N330&lt;&gt;"",$N330&gt;=$X330),"Réalisé",IF($Y330&lt;DateRef,"En retard","À planifier"))))</f>
        <v/>
      </c>
      <c r="AA330" s="47" t="str">
        <f aca="false">IF(OR($B330="",$G330=""),"",IF($G330&gt;DateRef,"",DATEDIF($G330,DateRef,"y")))</f>
        <v/>
      </c>
      <c r="AB330" s="43" t="str">
        <f aca="false">IF(OR($B330="",$G330=""),"",EDATE($G330,AgeFinCarriere*12))</f>
        <v/>
      </c>
      <c r="AC330" s="42" t="str">
        <f aca="false">IF(OR($B330="",$G330="",$H330=""),"",IF(AND($I330&lt;&gt;"",$I330&lt;=DateRef),"",IF($AB330&lt;DateVigueur,"Non concerné",IF(AND($N330&lt;&gt;"",$N330&gt;=MAX(EDATE($AB330,-FenetreFinCarriere*12),DateVigueur),$N330&lt;=$AB330),"Réalisé",IF(DateRef&gt;$AB330,"Non réalisé",IF(AND($Q330&lt;&gt;"",$Q330&gt;=EDATE($AB330,-FenetreFinCarriere*12),$Q330&lt;=$AB330),"Planifié dans la fenêtre",IF(AND(MAX($P330,DateRef)&gt;=EDATE($AB330,-FenetreFinCarriere*12),MAX($P330,DateRef)&lt;=$AB330),"Prochain EPP dans la fenêtre",IF(MAX($P330,DateRef)&gt;$AB330,"À programmer avant 60 ans",""))))))))</f>
        <v/>
      </c>
      <c r="AD330" s="40"/>
      <c r="AE330" s="43" t="str">
        <f aca="false">IF(OR($B330="",$H330="",AND($I330&lt;&gt;"",$I330&lt;=DateRef)),"",MAX($H330,$AD330,IF($A330="",0,SUMPRODUCT(MAX((Journal!$A$6:$A$1005=$A330)*((Journal!$D$6:$D$1005=TypeEDL)+(Journal!$D$6:$D$1005=TypeBilan6))*Journal!$C$6:$C$1005)))))</f>
        <v/>
      </c>
      <c r="AF330" s="43" t="str">
        <f aca="false">IF($AE330="","",IF(AND(ReglesTransitoires="Oui",EDATE($AE330,AnciennePeriodiciteEDL*12)&lt;DateVigueur),EDATE($AE330,AnciennePeriodiciteEDL*12),EDATE($AE330,PeriodiciteEDL*12)))</f>
        <v/>
      </c>
      <c r="AG330" s="42" t="str">
        <f aca="false">IF($AF330="","",IF(AND($I330&lt;&gt;"",$I330&lt;=DateRef),"",IF($AF330&lt;DateRef,"En retard",IF($AF330-DateRef&lt;=SeuilAlerteEDL,"À prévoir","À jour"))))</f>
        <v/>
      </c>
      <c r="AH330" s="39"/>
      <c r="AI330" s="39"/>
      <c r="AJ330" s="42" t="str">
        <f aca="false">IF(OR($B330="",$H330=""),"",IF(AND($I330&lt;&gt;"",$I330&lt;=DateRef),"",IF(Effectif&lt;SeuilEffectif,"Non concerné (&lt; "&amp;SeuilEffectif&amp;" salariés)",IF($AH330="Oui","Pas de risque",IF(AND(OR($AI330="Non",$S330="En retard"),$AH330="Non"),"Risque abondement",IF(OR($AI330="Non",$S330="En retard"),"À vérifier (formation ?)",IF($AI330="Oui","Pas de risque","À compléter")))))))</f>
        <v/>
      </c>
      <c r="AK330" s="39"/>
    </row>
    <row r="331" customFormat="false" ht="15" hidden="false" customHeight="false" outlineLevel="0" collapsed="false">
      <c r="A331" s="39"/>
      <c r="B331" s="39"/>
      <c r="C331" s="39"/>
      <c r="D331" s="39"/>
      <c r="E331" s="39"/>
      <c r="F331" s="39"/>
      <c r="G331" s="40"/>
      <c r="H331" s="40"/>
      <c r="I331" s="40"/>
      <c r="J331" s="41" t="str">
        <f aca="false">IF(OR($B331="",$H331=""),"",IF($H331&gt;DateRef,0,YEARFRAC($H331,DateRef,1)))</f>
        <v/>
      </c>
      <c r="K331" s="42" t="str">
        <f aca="false">IF(OR($B331="",$H331=""),"",IF(EDATE($H331,12)&lt;=DateRef,"Plus d'un an","Moins d'un an"))</f>
        <v/>
      </c>
      <c r="L331" s="40"/>
      <c r="M331" s="43" t="str">
        <f aca="false">IF(OR($B331="",$A331=""),"",IF(SUMPRODUCT(MAX((Journal!$A$6:$A$1005=$A331)*Journal!$C$6:$C$1005))=0,"",SUMPRODUCT(MAX((Journal!$A$6:$A$1005=$A331)*Journal!$C$6:$C$1005))))</f>
        <v/>
      </c>
      <c r="N331" s="43" t="str">
        <f aca="false">IF($B331="","",IF(MAX($L331,$M331)=0,"",MAX($L331,$M331)))</f>
        <v/>
      </c>
      <c r="O331" s="44" t="str">
        <f aca="false">IF(OR($B331="",$H331=""),"",IF($N331="",IF(EDATE($H331,DelaiPremierEPP)&gt;DateRef,"1er EPP (1re année)","Aucun entretien renseigné"),IF(AND(ReglesTransitoires="Oui",EDATE($N331,AnciennePeriodiciteEP*12)&lt;DateVigueur),"Retard antérieur à la réforme","Périodicité "&amp;PeriodiciteEPP&amp;" ans")))</f>
        <v/>
      </c>
      <c r="P331" s="43" t="str">
        <f aca="false">IF(OR($B331="",$H331=""),"",IF($N331="",EDATE($H331,DelaiPremierEPP),IF(AND(ReglesTransitoires="Oui",EDATE($N331,AnciennePeriodiciteEP*12)&lt;DateVigueur),EDATE($N331,AnciennePeriodiciteEP*12),EDATE($N331,PeriodiciteEPP*12))))</f>
        <v/>
      </c>
      <c r="Q331" s="40"/>
      <c r="R331" s="45" t="str">
        <f aca="false">IF(OR($P331="",AND($I331&lt;&gt;"",$I331&lt;=DateRef)),"",$P331-DateRef)</f>
        <v/>
      </c>
      <c r="S331" s="42" t="str">
        <f aca="false">IF($B331="","",IF(AND($I331&lt;&gt;"",$I331&lt;=DateRef),"Sorti",IF($H331="","À compléter",IF(AND($Q331&lt;&gt;"",$Q331&gt;=DateRef,$Q331&lt;=$P331),"Planifié",IF($R331&lt;0,"En retard",IF($R331&lt;=SeuilAlerteEPP,"À planifier","À jour"))))))</f>
        <v/>
      </c>
      <c r="T331" s="46" t="str">
        <f aca="false">IF(OR($B331="",$S331="Sorti"),"",MID(IF($H331=""," | Date d'embauche manquante","")&amp;IF(AND($K331="Plus d'un an",$N331="")," | Précédent entretien à renseigner (ancienneté &gt; 1 an)","")&amp;IF($O331="Retard antérieur à la réforme"," | Ancien délai de 2 ans expiré avant la réforme","")&amp;IF(AND($N331&lt;&gt;"",$H331&lt;&gt;"",$N331&lt;$H331)," | Entretien antérieur à l'embauche ?","")&amp;IF(AND($N331&lt;&gt;"",$N331&gt;DateRef)," | Entretien daté dans le futur ?","")&amp;IF(AND($Q331&lt;&gt;"",$P331&lt;&gt;"",$Q331&gt;$P331)," | Date prévue après l'échéance","")&amp;IF(AND($Q331&lt;&gt;"",$Q331&lt;DateRef,OR($N331="",$N331&lt;$Q331))," | Entretien prévu passé : le consigner au Journal","")&amp;IF(AND($G331&lt;&gt;"",$X331="",YEAR(DateRef)-YEAR($G331)&gt;=AgeMiCarriere-1,YEAR(DateRef)-YEAR($G331)&lt;=AgeMiCarriere+1)," | Visite de mi-carrière à vérifier",""),4,1000))</f>
        <v/>
      </c>
      <c r="U331" s="39"/>
      <c r="V331" s="40"/>
      <c r="W331" s="42" t="str">
        <f aca="false">IF(OR($B331="",$V331=""),"",IF(AND($I331&lt;&gt;"",$I331&lt;=DateRef),"",IF(AND($N331&lt;&gt;"",$N331&gt;=$V331),"Réalisé",IF(AND($N331&lt;&gt;"",$N331&gt;=EDATE($V331,-FenetreRetour)),"Dispensé (EPP récent)",IF($V331&gt;DateRef,"À prévoir à la reprise","À proposer (reprise passée)")))))</f>
        <v/>
      </c>
      <c r="X331" s="40"/>
      <c r="Y331" s="43" t="str">
        <f aca="false">IF(OR($B331="",$X331=""),"",EDATE($X331,DelaiMiCarriere))</f>
        <v/>
      </c>
      <c r="Z331" s="42" t="str">
        <f aca="false">IF(OR($B331="",$X331=""),"",IF(AND($I331&lt;&gt;"",$I331&lt;=DateRef),"",IF(AND($N331&lt;&gt;"",$N331&gt;=$X331),"Réalisé",IF($Y331&lt;DateRef,"En retard","À planifier"))))</f>
        <v/>
      </c>
      <c r="AA331" s="47" t="str">
        <f aca="false">IF(OR($B331="",$G331=""),"",IF($G331&gt;DateRef,"",DATEDIF($G331,DateRef,"y")))</f>
        <v/>
      </c>
      <c r="AB331" s="43" t="str">
        <f aca="false">IF(OR($B331="",$G331=""),"",EDATE($G331,AgeFinCarriere*12))</f>
        <v/>
      </c>
      <c r="AC331" s="42" t="str">
        <f aca="false">IF(OR($B331="",$G331="",$H331=""),"",IF(AND($I331&lt;&gt;"",$I331&lt;=DateRef),"",IF($AB331&lt;DateVigueur,"Non concerné",IF(AND($N331&lt;&gt;"",$N331&gt;=MAX(EDATE($AB331,-FenetreFinCarriere*12),DateVigueur),$N331&lt;=$AB331),"Réalisé",IF(DateRef&gt;$AB331,"Non réalisé",IF(AND($Q331&lt;&gt;"",$Q331&gt;=EDATE($AB331,-FenetreFinCarriere*12),$Q331&lt;=$AB331),"Planifié dans la fenêtre",IF(AND(MAX($P331,DateRef)&gt;=EDATE($AB331,-FenetreFinCarriere*12),MAX($P331,DateRef)&lt;=$AB331),"Prochain EPP dans la fenêtre",IF(MAX($P331,DateRef)&gt;$AB331,"À programmer avant 60 ans",""))))))))</f>
        <v/>
      </c>
      <c r="AD331" s="40"/>
      <c r="AE331" s="43" t="str">
        <f aca="false">IF(OR($B331="",$H331="",AND($I331&lt;&gt;"",$I331&lt;=DateRef)),"",MAX($H331,$AD331,IF($A331="",0,SUMPRODUCT(MAX((Journal!$A$6:$A$1005=$A331)*((Journal!$D$6:$D$1005=TypeEDL)+(Journal!$D$6:$D$1005=TypeBilan6))*Journal!$C$6:$C$1005)))))</f>
        <v/>
      </c>
      <c r="AF331" s="43" t="str">
        <f aca="false">IF($AE331="","",IF(AND(ReglesTransitoires="Oui",EDATE($AE331,AnciennePeriodiciteEDL*12)&lt;DateVigueur),EDATE($AE331,AnciennePeriodiciteEDL*12),EDATE($AE331,PeriodiciteEDL*12)))</f>
        <v/>
      </c>
      <c r="AG331" s="42" t="str">
        <f aca="false">IF($AF331="","",IF(AND($I331&lt;&gt;"",$I331&lt;=DateRef),"",IF($AF331&lt;DateRef,"En retard",IF($AF331-DateRef&lt;=SeuilAlerteEDL,"À prévoir","À jour"))))</f>
        <v/>
      </c>
      <c r="AH331" s="39"/>
      <c r="AI331" s="39"/>
      <c r="AJ331" s="42" t="str">
        <f aca="false">IF(OR($B331="",$H331=""),"",IF(AND($I331&lt;&gt;"",$I331&lt;=DateRef),"",IF(Effectif&lt;SeuilEffectif,"Non concerné (&lt; "&amp;SeuilEffectif&amp;" salariés)",IF($AH331="Oui","Pas de risque",IF(AND(OR($AI331="Non",$S331="En retard"),$AH331="Non"),"Risque abondement",IF(OR($AI331="Non",$S331="En retard"),"À vérifier (formation ?)",IF($AI331="Oui","Pas de risque","À compléter")))))))</f>
        <v/>
      </c>
      <c r="AK331" s="39"/>
    </row>
    <row r="332" customFormat="false" ht="15" hidden="false" customHeight="false" outlineLevel="0" collapsed="false">
      <c r="A332" s="39"/>
      <c r="B332" s="39"/>
      <c r="C332" s="39"/>
      <c r="D332" s="39"/>
      <c r="E332" s="39"/>
      <c r="F332" s="39"/>
      <c r="G332" s="40"/>
      <c r="H332" s="40"/>
      <c r="I332" s="40"/>
      <c r="J332" s="41" t="str">
        <f aca="false">IF(OR($B332="",$H332=""),"",IF($H332&gt;DateRef,0,YEARFRAC($H332,DateRef,1)))</f>
        <v/>
      </c>
      <c r="K332" s="42" t="str">
        <f aca="false">IF(OR($B332="",$H332=""),"",IF(EDATE($H332,12)&lt;=DateRef,"Plus d'un an","Moins d'un an"))</f>
        <v/>
      </c>
      <c r="L332" s="40"/>
      <c r="M332" s="43" t="str">
        <f aca="false">IF(OR($B332="",$A332=""),"",IF(SUMPRODUCT(MAX((Journal!$A$6:$A$1005=$A332)*Journal!$C$6:$C$1005))=0,"",SUMPRODUCT(MAX((Journal!$A$6:$A$1005=$A332)*Journal!$C$6:$C$1005))))</f>
        <v/>
      </c>
      <c r="N332" s="43" t="str">
        <f aca="false">IF($B332="","",IF(MAX($L332,$M332)=0,"",MAX($L332,$M332)))</f>
        <v/>
      </c>
      <c r="O332" s="44" t="str">
        <f aca="false">IF(OR($B332="",$H332=""),"",IF($N332="",IF(EDATE($H332,DelaiPremierEPP)&gt;DateRef,"1er EPP (1re année)","Aucun entretien renseigné"),IF(AND(ReglesTransitoires="Oui",EDATE($N332,AnciennePeriodiciteEP*12)&lt;DateVigueur),"Retard antérieur à la réforme","Périodicité "&amp;PeriodiciteEPP&amp;" ans")))</f>
        <v/>
      </c>
      <c r="P332" s="43" t="str">
        <f aca="false">IF(OR($B332="",$H332=""),"",IF($N332="",EDATE($H332,DelaiPremierEPP),IF(AND(ReglesTransitoires="Oui",EDATE($N332,AnciennePeriodiciteEP*12)&lt;DateVigueur),EDATE($N332,AnciennePeriodiciteEP*12),EDATE($N332,PeriodiciteEPP*12))))</f>
        <v/>
      </c>
      <c r="Q332" s="40"/>
      <c r="R332" s="45" t="str">
        <f aca="false">IF(OR($P332="",AND($I332&lt;&gt;"",$I332&lt;=DateRef)),"",$P332-DateRef)</f>
        <v/>
      </c>
      <c r="S332" s="42" t="str">
        <f aca="false">IF($B332="","",IF(AND($I332&lt;&gt;"",$I332&lt;=DateRef),"Sorti",IF($H332="","À compléter",IF(AND($Q332&lt;&gt;"",$Q332&gt;=DateRef,$Q332&lt;=$P332),"Planifié",IF($R332&lt;0,"En retard",IF($R332&lt;=SeuilAlerteEPP,"À planifier","À jour"))))))</f>
        <v/>
      </c>
      <c r="T332" s="46" t="str">
        <f aca="false">IF(OR($B332="",$S332="Sorti"),"",MID(IF($H332=""," | Date d'embauche manquante","")&amp;IF(AND($K332="Plus d'un an",$N332="")," | Précédent entretien à renseigner (ancienneté &gt; 1 an)","")&amp;IF($O332="Retard antérieur à la réforme"," | Ancien délai de 2 ans expiré avant la réforme","")&amp;IF(AND($N332&lt;&gt;"",$H332&lt;&gt;"",$N332&lt;$H332)," | Entretien antérieur à l'embauche ?","")&amp;IF(AND($N332&lt;&gt;"",$N332&gt;DateRef)," | Entretien daté dans le futur ?","")&amp;IF(AND($Q332&lt;&gt;"",$P332&lt;&gt;"",$Q332&gt;$P332)," | Date prévue après l'échéance","")&amp;IF(AND($Q332&lt;&gt;"",$Q332&lt;DateRef,OR($N332="",$N332&lt;$Q332))," | Entretien prévu passé : le consigner au Journal","")&amp;IF(AND($G332&lt;&gt;"",$X332="",YEAR(DateRef)-YEAR($G332)&gt;=AgeMiCarriere-1,YEAR(DateRef)-YEAR($G332)&lt;=AgeMiCarriere+1)," | Visite de mi-carrière à vérifier",""),4,1000))</f>
        <v/>
      </c>
      <c r="U332" s="39"/>
      <c r="V332" s="40"/>
      <c r="W332" s="42" t="str">
        <f aca="false">IF(OR($B332="",$V332=""),"",IF(AND($I332&lt;&gt;"",$I332&lt;=DateRef),"",IF(AND($N332&lt;&gt;"",$N332&gt;=$V332),"Réalisé",IF(AND($N332&lt;&gt;"",$N332&gt;=EDATE($V332,-FenetreRetour)),"Dispensé (EPP récent)",IF($V332&gt;DateRef,"À prévoir à la reprise","À proposer (reprise passée)")))))</f>
        <v/>
      </c>
      <c r="X332" s="40"/>
      <c r="Y332" s="43" t="str">
        <f aca="false">IF(OR($B332="",$X332=""),"",EDATE($X332,DelaiMiCarriere))</f>
        <v/>
      </c>
      <c r="Z332" s="42" t="str">
        <f aca="false">IF(OR($B332="",$X332=""),"",IF(AND($I332&lt;&gt;"",$I332&lt;=DateRef),"",IF(AND($N332&lt;&gt;"",$N332&gt;=$X332),"Réalisé",IF($Y332&lt;DateRef,"En retard","À planifier"))))</f>
        <v/>
      </c>
      <c r="AA332" s="47" t="str">
        <f aca="false">IF(OR($B332="",$G332=""),"",IF($G332&gt;DateRef,"",DATEDIF($G332,DateRef,"y")))</f>
        <v/>
      </c>
      <c r="AB332" s="43" t="str">
        <f aca="false">IF(OR($B332="",$G332=""),"",EDATE($G332,AgeFinCarriere*12))</f>
        <v/>
      </c>
      <c r="AC332" s="42" t="str">
        <f aca="false">IF(OR($B332="",$G332="",$H332=""),"",IF(AND($I332&lt;&gt;"",$I332&lt;=DateRef),"",IF($AB332&lt;DateVigueur,"Non concerné",IF(AND($N332&lt;&gt;"",$N332&gt;=MAX(EDATE($AB332,-FenetreFinCarriere*12),DateVigueur),$N332&lt;=$AB332),"Réalisé",IF(DateRef&gt;$AB332,"Non réalisé",IF(AND($Q332&lt;&gt;"",$Q332&gt;=EDATE($AB332,-FenetreFinCarriere*12),$Q332&lt;=$AB332),"Planifié dans la fenêtre",IF(AND(MAX($P332,DateRef)&gt;=EDATE($AB332,-FenetreFinCarriere*12),MAX($P332,DateRef)&lt;=$AB332),"Prochain EPP dans la fenêtre",IF(MAX($P332,DateRef)&gt;$AB332,"À programmer avant 60 ans",""))))))))</f>
        <v/>
      </c>
      <c r="AD332" s="40"/>
      <c r="AE332" s="43" t="str">
        <f aca="false">IF(OR($B332="",$H332="",AND($I332&lt;&gt;"",$I332&lt;=DateRef)),"",MAX($H332,$AD332,IF($A332="",0,SUMPRODUCT(MAX((Journal!$A$6:$A$1005=$A332)*((Journal!$D$6:$D$1005=TypeEDL)+(Journal!$D$6:$D$1005=TypeBilan6))*Journal!$C$6:$C$1005)))))</f>
        <v/>
      </c>
      <c r="AF332" s="43" t="str">
        <f aca="false">IF($AE332="","",IF(AND(ReglesTransitoires="Oui",EDATE($AE332,AnciennePeriodiciteEDL*12)&lt;DateVigueur),EDATE($AE332,AnciennePeriodiciteEDL*12),EDATE($AE332,PeriodiciteEDL*12)))</f>
        <v/>
      </c>
      <c r="AG332" s="42" t="str">
        <f aca="false">IF($AF332="","",IF(AND($I332&lt;&gt;"",$I332&lt;=DateRef),"",IF($AF332&lt;DateRef,"En retard",IF($AF332-DateRef&lt;=SeuilAlerteEDL,"À prévoir","À jour"))))</f>
        <v/>
      </c>
      <c r="AH332" s="39"/>
      <c r="AI332" s="39"/>
      <c r="AJ332" s="42" t="str">
        <f aca="false">IF(OR($B332="",$H332=""),"",IF(AND($I332&lt;&gt;"",$I332&lt;=DateRef),"",IF(Effectif&lt;SeuilEffectif,"Non concerné (&lt; "&amp;SeuilEffectif&amp;" salariés)",IF($AH332="Oui","Pas de risque",IF(AND(OR($AI332="Non",$S332="En retard"),$AH332="Non"),"Risque abondement",IF(OR($AI332="Non",$S332="En retard"),"À vérifier (formation ?)",IF($AI332="Oui","Pas de risque","À compléter")))))))</f>
        <v/>
      </c>
      <c r="AK332" s="39"/>
    </row>
    <row r="333" customFormat="false" ht="15" hidden="false" customHeight="false" outlineLevel="0" collapsed="false">
      <c r="A333" s="39"/>
      <c r="B333" s="39"/>
      <c r="C333" s="39"/>
      <c r="D333" s="39"/>
      <c r="E333" s="39"/>
      <c r="F333" s="39"/>
      <c r="G333" s="40"/>
      <c r="H333" s="40"/>
      <c r="I333" s="40"/>
      <c r="J333" s="41" t="str">
        <f aca="false">IF(OR($B333="",$H333=""),"",IF($H333&gt;DateRef,0,YEARFRAC($H333,DateRef,1)))</f>
        <v/>
      </c>
      <c r="K333" s="42" t="str">
        <f aca="false">IF(OR($B333="",$H333=""),"",IF(EDATE($H333,12)&lt;=DateRef,"Plus d'un an","Moins d'un an"))</f>
        <v/>
      </c>
      <c r="L333" s="40"/>
      <c r="M333" s="43" t="str">
        <f aca="false">IF(OR($B333="",$A333=""),"",IF(SUMPRODUCT(MAX((Journal!$A$6:$A$1005=$A333)*Journal!$C$6:$C$1005))=0,"",SUMPRODUCT(MAX((Journal!$A$6:$A$1005=$A333)*Journal!$C$6:$C$1005))))</f>
        <v/>
      </c>
      <c r="N333" s="43" t="str">
        <f aca="false">IF($B333="","",IF(MAX($L333,$M333)=0,"",MAX($L333,$M333)))</f>
        <v/>
      </c>
      <c r="O333" s="44" t="str">
        <f aca="false">IF(OR($B333="",$H333=""),"",IF($N333="",IF(EDATE($H333,DelaiPremierEPP)&gt;DateRef,"1er EPP (1re année)","Aucun entretien renseigné"),IF(AND(ReglesTransitoires="Oui",EDATE($N333,AnciennePeriodiciteEP*12)&lt;DateVigueur),"Retard antérieur à la réforme","Périodicité "&amp;PeriodiciteEPP&amp;" ans")))</f>
        <v/>
      </c>
      <c r="P333" s="43" t="str">
        <f aca="false">IF(OR($B333="",$H333=""),"",IF($N333="",EDATE($H333,DelaiPremierEPP),IF(AND(ReglesTransitoires="Oui",EDATE($N333,AnciennePeriodiciteEP*12)&lt;DateVigueur),EDATE($N333,AnciennePeriodiciteEP*12),EDATE($N333,PeriodiciteEPP*12))))</f>
        <v/>
      </c>
      <c r="Q333" s="40"/>
      <c r="R333" s="45" t="str">
        <f aca="false">IF(OR($P333="",AND($I333&lt;&gt;"",$I333&lt;=DateRef)),"",$P333-DateRef)</f>
        <v/>
      </c>
      <c r="S333" s="42" t="str">
        <f aca="false">IF($B333="","",IF(AND($I333&lt;&gt;"",$I333&lt;=DateRef),"Sorti",IF($H333="","À compléter",IF(AND($Q333&lt;&gt;"",$Q333&gt;=DateRef,$Q333&lt;=$P333),"Planifié",IF($R333&lt;0,"En retard",IF($R333&lt;=SeuilAlerteEPP,"À planifier","À jour"))))))</f>
        <v/>
      </c>
      <c r="T333" s="46" t="str">
        <f aca="false">IF(OR($B333="",$S333="Sorti"),"",MID(IF($H333=""," | Date d'embauche manquante","")&amp;IF(AND($K333="Plus d'un an",$N333="")," | Précédent entretien à renseigner (ancienneté &gt; 1 an)","")&amp;IF($O333="Retard antérieur à la réforme"," | Ancien délai de 2 ans expiré avant la réforme","")&amp;IF(AND($N333&lt;&gt;"",$H333&lt;&gt;"",$N333&lt;$H333)," | Entretien antérieur à l'embauche ?","")&amp;IF(AND($N333&lt;&gt;"",$N333&gt;DateRef)," | Entretien daté dans le futur ?","")&amp;IF(AND($Q333&lt;&gt;"",$P333&lt;&gt;"",$Q333&gt;$P333)," | Date prévue après l'échéance","")&amp;IF(AND($Q333&lt;&gt;"",$Q333&lt;DateRef,OR($N333="",$N333&lt;$Q333))," | Entretien prévu passé : le consigner au Journal","")&amp;IF(AND($G333&lt;&gt;"",$X333="",YEAR(DateRef)-YEAR($G333)&gt;=AgeMiCarriere-1,YEAR(DateRef)-YEAR($G333)&lt;=AgeMiCarriere+1)," | Visite de mi-carrière à vérifier",""),4,1000))</f>
        <v/>
      </c>
      <c r="U333" s="39"/>
      <c r="V333" s="40"/>
      <c r="W333" s="42" t="str">
        <f aca="false">IF(OR($B333="",$V333=""),"",IF(AND($I333&lt;&gt;"",$I333&lt;=DateRef),"",IF(AND($N333&lt;&gt;"",$N333&gt;=$V333),"Réalisé",IF(AND($N333&lt;&gt;"",$N333&gt;=EDATE($V333,-FenetreRetour)),"Dispensé (EPP récent)",IF($V333&gt;DateRef,"À prévoir à la reprise","À proposer (reprise passée)")))))</f>
        <v/>
      </c>
      <c r="X333" s="40"/>
      <c r="Y333" s="43" t="str">
        <f aca="false">IF(OR($B333="",$X333=""),"",EDATE($X333,DelaiMiCarriere))</f>
        <v/>
      </c>
      <c r="Z333" s="42" t="str">
        <f aca="false">IF(OR($B333="",$X333=""),"",IF(AND($I333&lt;&gt;"",$I333&lt;=DateRef),"",IF(AND($N333&lt;&gt;"",$N333&gt;=$X333),"Réalisé",IF($Y333&lt;DateRef,"En retard","À planifier"))))</f>
        <v/>
      </c>
      <c r="AA333" s="47" t="str">
        <f aca="false">IF(OR($B333="",$G333=""),"",IF($G333&gt;DateRef,"",DATEDIF($G333,DateRef,"y")))</f>
        <v/>
      </c>
      <c r="AB333" s="43" t="str">
        <f aca="false">IF(OR($B333="",$G333=""),"",EDATE($G333,AgeFinCarriere*12))</f>
        <v/>
      </c>
      <c r="AC333" s="42" t="str">
        <f aca="false">IF(OR($B333="",$G333="",$H333=""),"",IF(AND($I333&lt;&gt;"",$I333&lt;=DateRef),"",IF($AB333&lt;DateVigueur,"Non concerné",IF(AND($N333&lt;&gt;"",$N333&gt;=MAX(EDATE($AB333,-FenetreFinCarriere*12),DateVigueur),$N333&lt;=$AB333),"Réalisé",IF(DateRef&gt;$AB333,"Non réalisé",IF(AND($Q333&lt;&gt;"",$Q333&gt;=EDATE($AB333,-FenetreFinCarriere*12),$Q333&lt;=$AB333),"Planifié dans la fenêtre",IF(AND(MAX($P333,DateRef)&gt;=EDATE($AB333,-FenetreFinCarriere*12),MAX($P333,DateRef)&lt;=$AB333),"Prochain EPP dans la fenêtre",IF(MAX($P333,DateRef)&gt;$AB333,"À programmer avant 60 ans",""))))))))</f>
        <v/>
      </c>
      <c r="AD333" s="40"/>
      <c r="AE333" s="43" t="str">
        <f aca="false">IF(OR($B333="",$H333="",AND($I333&lt;&gt;"",$I333&lt;=DateRef)),"",MAX($H333,$AD333,IF($A333="",0,SUMPRODUCT(MAX((Journal!$A$6:$A$1005=$A333)*((Journal!$D$6:$D$1005=TypeEDL)+(Journal!$D$6:$D$1005=TypeBilan6))*Journal!$C$6:$C$1005)))))</f>
        <v/>
      </c>
      <c r="AF333" s="43" t="str">
        <f aca="false">IF($AE333="","",IF(AND(ReglesTransitoires="Oui",EDATE($AE333,AnciennePeriodiciteEDL*12)&lt;DateVigueur),EDATE($AE333,AnciennePeriodiciteEDL*12),EDATE($AE333,PeriodiciteEDL*12)))</f>
        <v/>
      </c>
      <c r="AG333" s="42" t="str">
        <f aca="false">IF($AF333="","",IF(AND($I333&lt;&gt;"",$I333&lt;=DateRef),"",IF($AF333&lt;DateRef,"En retard",IF($AF333-DateRef&lt;=SeuilAlerteEDL,"À prévoir","À jour"))))</f>
        <v/>
      </c>
      <c r="AH333" s="39"/>
      <c r="AI333" s="39"/>
      <c r="AJ333" s="42" t="str">
        <f aca="false">IF(OR($B333="",$H333=""),"",IF(AND($I333&lt;&gt;"",$I333&lt;=DateRef),"",IF(Effectif&lt;SeuilEffectif,"Non concerné (&lt; "&amp;SeuilEffectif&amp;" salariés)",IF($AH333="Oui","Pas de risque",IF(AND(OR($AI333="Non",$S333="En retard"),$AH333="Non"),"Risque abondement",IF(OR($AI333="Non",$S333="En retard"),"À vérifier (formation ?)",IF($AI333="Oui","Pas de risque","À compléter")))))))</f>
        <v/>
      </c>
      <c r="AK333" s="39"/>
    </row>
    <row r="334" customFormat="false" ht="15" hidden="false" customHeight="false" outlineLevel="0" collapsed="false">
      <c r="A334" s="39"/>
      <c r="B334" s="39"/>
      <c r="C334" s="39"/>
      <c r="D334" s="39"/>
      <c r="E334" s="39"/>
      <c r="F334" s="39"/>
      <c r="G334" s="40"/>
      <c r="H334" s="40"/>
      <c r="I334" s="40"/>
      <c r="J334" s="41" t="str">
        <f aca="false">IF(OR($B334="",$H334=""),"",IF($H334&gt;DateRef,0,YEARFRAC($H334,DateRef,1)))</f>
        <v/>
      </c>
      <c r="K334" s="42" t="str">
        <f aca="false">IF(OR($B334="",$H334=""),"",IF(EDATE($H334,12)&lt;=DateRef,"Plus d'un an","Moins d'un an"))</f>
        <v/>
      </c>
      <c r="L334" s="40"/>
      <c r="M334" s="43" t="str">
        <f aca="false">IF(OR($B334="",$A334=""),"",IF(SUMPRODUCT(MAX((Journal!$A$6:$A$1005=$A334)*Journal!$C$6:$C$1005))=0,"",SUMPRODUCT(MAX((Journal!$A$6:$A$1005=$A334)*Journal!$C$6:$C$1005))))</f>
        <v/>
      </c>
      <c r="N334" s="43" t="str">
        <f aca="false">IF($B334="","",IF(MAX($L334,$M334)=0,"",MAX($L334,$M334)))</f>
        <v/>
      </c>
      <c r="O334" s="44" t="str">
        <f aca="false">IF(OR($B334="",$H334=""),"",IF($N334="",IF(EDATE($H334,DelaiPremierEPP)&gt;DateRef,"1er EPP (1re année)","Aucun entretien renseigné"),IF(AND(ReglesTransitoires="Oui",EDATE($N334,AnciennePeriodiciteEP*12)&lt;DateVigueur),"Retard antérieur à la réforme","Périodicité "&amp;PeriodiciteEPP&amp;" ans")))</f>
        <v/>
      </c>
      <c r="P334" s="43" t="str">
        <f aca="false">IF(OR($B334="",$H334=""),"",IF($N334="",EDATE($H334,DelaiPremierEPP),IF(AND(ReglesTransitoires="Oui",EDATE($N334,AnciennePeriodiciteEP*12)&lt;DateVigueur),EDATE($N334,AnciennePeriodiciteEP*12),EDATE($N334,PeriodiciteEPP*12))))</f>
        <v/>
      </c>
      <c r="Q334" s="40"/>
      <c r="R334" s="45" t="str">
        <f aca="false">IF(OR($P334="",AND($I334&lt;&gt;"",$I334&lt;=DateRef)),"",$P334-DateRef)</f>
        <v/>
      </c>
      <c r="S334" s="42" t="str">
        <f aca="false">IF($B334="","",IF(AND($I334&lt;&gt;"",$I334&lt;=DateRef),"Sorti",IF($H334="","À compléter",IF(AND($Q334&lt;&gt;"",$Q334&gt;=DateRef,$Q334&lt;=$P334),"Planifié",IF($R334&lt;0,"En retard",IF($R334&lt;=SeuilAlerteEPP,"À planifier","À jour"))))))</f>
        <v/>
      </c>
      <c r="T334" s="46" t="str">
        <f aca="false">IF(OR($B334="",$S334="Sorti"),"",MID(IF($H334=""," | Date d'embauche manquante","")&amp;IF(AND($K334="Plus d'un an",$N334="")," | Précédent entretien à renseigner (ancienneté &gt; 1 an)","")&amp;IF($O334="Retard antérieur à la réforme"," | Ancien délai de 2 ans expiré avant la réforme","")&amp;IF(AND($N334&lt;&gt;"",$H334&lt;&gt;"",$N334&lt;$H334)," | Entretien antérieur à l'embauche ?","")&amp;IF(AND($N334&lt;&gt;"",$N334&gt;DateRef)," | Entretien daté dans le futur ?","")&amp;IF(AND($Q334&lt;&gt;"",$P334&lt;&gt;"",$Q334&gt;$P334)," | Date prévue après l'échéance","")&amp;IF(AND($Q334&lt;&gt;"",$Q334&lt;DateRef,OR($N334="",$N334&lt;$Q334))," | Entretien prévu passé : le consigner au Journal","")&amp;IF(AND($G334&lt;&gt;"",$X334="",YEAR(DateRef)-YEAR($G334)&gt;=AgeMiCarriere-1,YEAR(DateRef)-YEAR($G334)&lt;=AgeMiCarriere+1)," | Visite de mi-carrière à vérifier",""),4,1000))</f>
        <v/>
      </c>
      <c r="U334" s="39"/>
      <c r="V334" s="40"/>
      <c r="W334" s="42" t="str">
        <f aca="false">IF(OR($B334="",$V334=""),"",IF(AND($I334&lt;&gt;"",$I334&lt;=DateRef),"",IF(AND($N334&lt;&gt;"",$N334&gt;=$V334),"Réalisé",IF(AND($N334&lt;&gt;"",$N334&gt;=EDATE($V334,-FenetreRetour)),"Dispensé (EPP récent)",IF($V334&gt;DateRef,"À prévoir à la reprise","À proposer (reprise passée)")))))</f>
        <v/>
      </c>
      <c r="X334" s="40"/>
      <c r="Y334" s="43" t="str">
        <f aca="false">IF(OR($B334="",$X334=""),"",EDATE($X334,DelaiMiCarriere))</f>
        <v/>
      </c>
      <c r="Z334" s="42" t="str">
        <f aca="false">IF(OR($B334="",$X334=""),"",IF(AND($I334&lt;&gt;"",$I334&lt;=DateRef),"",IF(AND($N334&lt;&gt;"",$N334&gt;=$X334),"Réalisé",IF($Y334&lt;DateRef,"En retard","À planifier"))))</f>
        <v/>
      </c>
      <c r="AA334" s="47" t="str">
        <f aca="false">IF(OR($B334="",$G334=""),"",IF($G334&gt;DateRef,"",DATEDIF($G334,DateRef,"y")))</f>
        <v/>
      </c>
      <c r="AB334" s="43" t="str">
        <f aca="false">IF(OR($B334="",$G334=""),"",EDATE($G334,AgeFinCarriere*12))</f>
        <v/>
      </c>
      <c r="AC334" s="42" t="str">
        <f aca="false">IF(OR($B334="",$G334="",$H334=""),"",IF(AND($I334&lt;&gt;"",$I334&lt;=DateRef),"",IF($AB334&lt;DateVigueur,"Non concerné",IF(AND($N334&lt;&gt;"",$N334&gt;=MAX(EDATE($AB334,-FenetreFinCarriere*12),DateVigueur),$N334&lt;=$AB334),"Réalisé",IF(DateRef&gt;$AB334,"Non réalisé",IF(AND($Q334&lt;&gt;"",$Q334&gt;=EDATE($AB334,-FenetreFinCarriere*12),$Q334&lt;=$AB334),"Planifié dans la fenêtre",IF(AND(MAX($P334,DateRef)&gt;=EDATE($AB334,-FenetreFinCarriere*12),MAX($P334,DateRef)&lt;=$AB334),"Prochain EPP dans la fenêtre",IF(MAX($P334,DateRef)&gt;$AB334,"À programmer avant 60 ans",""))))))))</f>
        <v/>
      </c>
      <c r="AD334" s="40"/>
      <c r="AE334" s="43" t="str">
        <f aca="false">IF(OR($B334="",$H334="",AND($I334&lt;&gt;"",$I334&lt;=DateRef)),"",MAX($H334,$AD334,IF($A334="",0,SUMPRODUCT(MAX((Journal!$A$6:$A$1005=$A334)*((Journal!$D$6:$D$1005=TypeEDL)+(Journal!$D$6:$D$1005=TypeBilan6))*Journal!$C$6:$C$1005)))))</f>
        <v/>
      </c>
      <c r="AF334" s="43" t="str">
        <f aca="false">IF($AE334="","",IF(AND(ReglesTransitoires="Oui",EDATE($AE334,AnciennePeriodiciteEDL*12)&lt;DateVigueur),EDATE($AE334,AnciennePeriodiciteEDL*12),EDATE($AE334,PeriodiciteEDL*12)))</f>
        <v/>
      </c>
      <c r="AG334" s="42" t="str">
        <f aca="false">IF($AF334="","",IF(AND($I334&lt;&gt;"",$I334&lt;=DateRef),"",IF($AF334&lt;DateRef,"En retard",IF($AF334-DateRef&lt;=SeuilAlerteEDL,"À prévoir","À jour"))))</f>
        <v/>
      </c>
      <c r="AH334" s="39"/>
      <c r="AI334" s="39"/>
      <c r="AJ334" s="42" t="str">
        <f aca="false">IF(OR($B334="",$H334=""),"",IF(AND($I334&lt;&gt;"",$I334&lt;=DateRef),"",IF(Effectif&lt;SeuilEffectif,"Non concerné (&lt; "&amp;SeuilEffectif&amp;" salariés)",IF($AH334="Oui","Pas de risque",IF(AND(OR($AI334="Non",$S334="En retard"),$AH334="Non"),"Risque abondement",IF(OR($AI334="Non",$S334="En retard"),"À vérifier (formation ?)",IF($AI334="Oui","Pas de risque","À compléter")))))))</f>
        <v/>
      </c>
      <c r="AK334" s="39"/>
    </row>
    <row r="335" customFormat="false" ht="15" hidden="false" customHeight="false" outlineLevel="0" collapsed="false">
      <c r="A335" s="39"/>
      <c r="B335" s="39"/>
      <c r="C335" s="39"/>
      <c r="D335" s="39"/>
      <c r="E335" s="39"/>
      <c r="F335" s="39"/>
      <c r="G335" s="40"/>
      <c r="H335" s="40"/>
      <c r="I335" s="40"/>
      <c r="J335" s="41" t="str">
        <f aca="false">IF(OR($B335="",$H335=""),"",IF($H335&gt;DateRef,0,YEARFRAC($H335,DateRef,1)))</f>
        <v/>
      </c>
      <c r="K335" s="42" t="str">
        <f aca="false">IF(OR($B335="",$H335=""),"",IF(EDATE($H335,12)&lt;=DateRef,"Plus d'un an","Moins d'un an"))</f>
        <v/>
      </c>
      <c r="L335" s="40"/>
      <c r="M335" s="43" t="str">
        <f aca="false">IF(OR($B335="",$A335=""),"",IF(SUMPRODUCT(MAX((Journal!$A$6:$A$1005=$A335)*Journal!$C$6:$C$1005))=0,"",SUMPRODUCT(MAX((Journal!$A$6:$A$1005=$A335)*Journal!$C$6:$C$1005))))</f>
        <v/>
      </c>
      <c r="N335" s="43" t="str">
        <f aca="false">IF($B335="","",IF(MAX($L335,$M335)=0,"",MAX($L335,$M335)))</f>
        <v/>
      </c>
      <c r="O335" s="44" t="str">
        <f aca="false">IF(OR($B335="",$H335=""),"",IF($N335="",IF(EDATE($H335,DelaiPremierEPP)&gt;DateRef,"1er EPP (1re année)","Aucun entretien renseigné"),IF(AND(ReglesTransitoires="Oui",EDATE($N335,AnciennePeriodiciteEP*12)&lt;DateVigueur),"Retard antérieur à la réforme","Périodicité "&amp;PeriodiciteEPP&amp;" ans")))</f>
        <v/>
      </c>
      <c r="P335" s="43" t="str">
        <f aca="false">IF(OR($B335="",$H335=""),"",IF($N335="",EDATE($H335,DelaiPremierEPP),IF(AND(ReglesTransitoires="Oui",EDATE($N335,AnciennePeriodiciteEP*12)&lt;DateVigueur),EDATE($N335,AnciennePeriodiciteEP*12),EDATE($N335,PeriodiciteEPP*12))))</f>
        <v/>
      </c>
      <c r="Q335" s="40"/>
      <c r="R335" s="45" t="str">
        <f aca="false">IF(OR($P335="",AND($I335&lt;&gt;"",$I335&lt;=DateRef)),"",$P335-DateRef)</f>
        <v/>
      </c>
      <c r="S335" s="42" t="str">
        <f aca="false">IF($B335="","",IF(AND($I335&lt;&gt;"",$I335&lt;=DateRef),"Sorti",IF($H335="","À compléter",IF(AND($Q335&lt;&gt;"",$Q335&gt;=DateRef,$Q335&lt;=$P335),"Planifié",IF($R335&lt;0,"En retard",IF($R335&lt;=SeuilAlerteEPP,"À planifier","À jour"))))))</f>
        <v/>
      </c>
      <c r="T335" s="46" t="str">
        <f aca="false">IF(OR($B335="",$S335="Sorti"),"",MID(IF($H335=""," | Date d'embauche manquante","")&amp;IF(AND($K335="Plus d'un an",$N335="")," | Précédent entretien à renseigner (ancienneté &gt; 1 an)","")&amp;IF($O335="Retard antérieur à la réforme"," | Ancien délai de 2 ans expiré avant la réforme","")&amp;IF(AND($N335&lt;&gt;"",$H335&lt;&gt;"",$N335&lt;$H335)," | Entretien antérieur à l'embauche ?","")&amp;IF(AND($N335&lt;&gt;"",$N335&gt;DateRef)," | Entretien daté dans le futur ?","")&amp;IF(AND($Q335&lt;&gt;"",$P335&lt;&gt;"",$Q335&gt;$P335)," | Date prévue après l'échéance","")&amp;IF(AND($Q335&lt;&gt;"",$Q335&lt;DateRef,OR($N335="",$N335&lt;$Q335))," | Entretien prévu passé : le consigner au Journal","")&amp;IF(AND($G335&lt;&gt;"",$X335="",YEAR(DateRef)-YEAR($G335)&gt;=AgeMiCarriere-1,YEAR(DateRef)-YEAR($G335)&lt;=AgeMiCarriere+1)," | Visite de mi-carrière à vérifier",""),4,1000))</f>
        <v/>
      </c>
      <c r="U335" s="39"/>
      <c r="V335" s="40"/>
      <c r="W335" s="42" t="str">
        <f aca="false">IF(OR($B335="",$V335=""),"",IF(AND($I335&lt;&gt;"",$I335&lt;=DateRef),"",IF(AND($N335&lt;&gt;"",$N335&gt;=$V335),"Réalisé",IF(AND($N335&lt;&gt;"",$N335&gt;=EDATE($V335,-FenetreRetour)),"Dispensé (EPP récent)",IF($V335&gt;DateRef,"À prévoir à la reprise","À proposer (reprise passée)")))))</f>
        <v/>
      </c>
      <c r="X335" s="40"/>
      <c r="Y335" s="43" t="str">
        <f aca="false">IF(OR($B335="",$X335=""),"",EDATE($X335,DelaiMiCarriere))</f>
        <v/>
      </c>
      <c r="Z335" s="42" t="str">
        <f aca="false">IF(OR($B335="",$X335=""),"",IF(AND($I335&lt;&gt;"",$I335&lt;=DateRef),"",IF(AND($N335&lt;&gt;"",$N335&gt;=$X335),"Réalisé",IF($Y335&lt;DateRef,"En retard","À planifier"))))</f>
        <v/>
      </c>
      <c r="AA335" s="47" t="str">
        <f aca="false">IF(OR($B335="",$G335=""),"",IF($G335&gt;DateRef,"",DATEDIF($G335,DateRef,"y")))</f>
        <v/>
      </c>
      <c r="AB335" s="43" t="str">
        <f aca="false">IF(OR($B335="",$G335=""),"",EDATE($G335,AgeFinCarriere*12))</f>
        <v/>
      </c>
      <c r="AC335" s="42" t="str">
        <f aca="false">IF(OR($B335="",$G335="",$H335=""),"",IF(AND($I335&lt;&gt;"",$I335&lt;=DateRef),"",IF($AB335&lt;DateVigueur,"Non concerné",IF(AND($N335&lt;&gt;"",$N335&gt;=MAX(EDATE($AB335,-FenetreFinCarriere*12),DateVigueur),$N335&lt;=$AB335),"Réalisé",IF(DateRef&gt;$AB335,"Non réalisé",IF(AND($Q335&lt;&gt;"",$Q335&gt;=EDATE($AB335,-FenetreFinCarriere*12),$Q335&lt;=$AB335),"Planifié dans la fenêtre",IF(AND(MAX($P335,DateRef)&gt;=EDATE($AB335,-FenetreFinCarriere*12),MAX($P335,DateRef)&lt;=$AB335),"Prochain EPP dans la fenêtre",IF(MAX($P335,DateRef)&gt;$AB335,"À programmer avant 60 ans",""))))))))</f>
        <v/>
      </c>
      <c r="AD335" s="40"/>
      <c r="AE335" s="43" t="str">
        <f aca="false">IF(OR($B335="",$H335="",AND($I335&lt;&gt;"",$I335&lt;=DateRef)),"",MAX($H335,$AD335,IF($A335="",0,SUMPRODUCT(MAX((Journal!$A$6:$A$1005=$A335)*((Journal!$D$6:$D$1005=TypeEDL)+(Journal!$D$6:$D$1005=TypeBilan6))*Journal!$C$6:$C$1005)))))</f>
        <v/>
      </c>
      <c r="AF335" s="43" t="str">
        <f aca="false">IF($AE335="","",IF(AND(ReglesTransitoires="Oui",EDATE($AE335,AnciennePeriodiciteEDL*12)&lt;DateVigueur),EDATE($AE335,AnciennePeriodiciteEDL*12),EDATE($AE335,PeriodiciteEDL*12)))</f>
        <v/>
      </c>
      <c r="AG335" s="42" t="str">
        <f aca="false">IF($AF335="","",IF(AND($I335&lt;&gt;"",$I335&lt;=DateRef),"",IF($AF335&lt;DateRef,"En retard",IF($AF335-DateRef&lt;=SeuilAlerteEDL,"À prévoir","À jour"))))</f>
        <v/>
      </c>
      <c r="AH335" s="39"/>
      <c r="AI335" s="39"/>
      <c r="AJ335" s="42" t="str">
        <f aca="false">IF(OR($B335="",$H335=""),"",IF(AND($I335&lt;&gt;"",$I335&lt;=DateRef),"",IF(Effectif&lt;SeuilEffectif,"Non concerné (&lt; "&amp;SeuilEffectif&amp;" salariés)",IF($AH335="Oui","Pas de risque",IF(AND(OR($AI335="Non",$S335="En retard"),$AH335="Non"),"Risque abondement",IF(OR($AI335="Non",$S335="En retard"),"À vérifier (formation ?)",IF($AI335="Oui","Pas de risque","À compléter")))))))</f>
        <v/>
      </c>
      <c r="AK335" s="39"/>
    </row>
    <row r="336" customFormat="false" ht="15" hidden="false" customHeight="false" outlineLevel="0" collapsed="false">
      <c r="A336" s="39"/>
      <c r="B336" s="39"/>
      <c r="C336" s="39"/>
      <c r="D336" s="39"/>
      <c r="E336" s="39"/>
      <c r="F336" s="39"/>
      <c r="G336" s="40"/>
      <c r="H336" s="40"/>
      <c r="I336" s="40"/>
      <c r="J336" s="41" t="str">
        <f aca="false">IF(OR($B336="",$H336=""),"",IF($H336&gt;DateRef,0,YEARFRAC($H336,DateRef,1)))</f>
        <v/>
      </c>
      <c r="K336" s="42" t="str">
        <f aca="false">IF(OR($B336="",$H336=""),"",IF(EDATE($H336,12)&lt;=DateRef,"Plus d'un an","Moins d'un an"))</f>
        <v/>
      </c>
      <c r="L336" s="40"/>
      <c r="M336" s="43" t="str">
        <f aca="false">IF(OR($B336="",$A336=""),"",IF(SUMPRODUCT(MAX((Journal!$A$6:$A$1005=$A336)*Journal!$C$6:$C$1005))=0,"",SUMPRODUCT(MAX((Journal!$A$6:$A$1005=$A336)*Journal!$C$6:$C$1005))))</f>
        <v/>
      </c>
      <c r="N336" s="43" t="str">
        <f aca="false">IF($B336="","",IF(MAX($L336,$M336)=0,"",MAX($L336,$M336)))</f>
        <v/>
      </c>
      <c r="O336" s="44" t="str">
        <f aca="false">IF(OR($B336="",$H336=""),"",IF($N336="",IF(EDATE($H336,DelaiPremierEPP)&gt;DateRef,"1er EPP (1re année)","Aucun entretien renseigné"),IF(AND(ReglesTransitoires="Oui",EDATE($N336,AnciennePeriodiciteEP*12)&lt;DateVigueur),"Retard antérieur à la réforme","Périodicité "&amp;PeriodiciteEPP&amp;" ans")))</f>
        <v/>
      </c>
      <c r="P336" s="43" t="str">
        <f aca="false">IF(OR($B336="",$H336=""),"",IF($N336="",EDATE($H336,DelaiPremierEPP),IF(AND(ReglesTransitoires="Oui",EDATE($N336,AnciennePeriodiciteEP*12)&lt;DateVigueur),EDATE($N336,AnciennePeriodiciteEP*12),EDATE($N336,PeriodiciteEPP*12))))</f>
        <v/>
      </c>
      <c r="Q336" s="40"/>
      <c r="R336" s="45" t="str">
        <f aca="false">IF(OR($P336="",AND($I336&lt;&gt;"",$I336&lt;=DateRef)),"",$P336-DateRef)</f>
        <v/>
      </c>
      <c r="S336" s="42" t="str">
        <f aca="false">IF($B336="","",IF(AND($I336&lt;&gt;"",$I336&lt;=DateRef),"Sorti",IF($H336="","À compléter",IF(AND($Q336&lt;&gt;"",$Q336&gt;=DateRef,$Q336&lt;=$P336),"Planifié",IF($R336&lt;0,"En retard",IF($R336&lt;=SeuilAlerteEPP,"À planifier","À jour"))))))</f>
        <v/>
      </c>
      <c r="T336" s="46" t="str">
        <f aca="false">IF(OR($B336="",$S336="Sorti"),"",MID(IF($H336=""," | Date d'embauche manquante","")&amp;IF(AND($K336="Plus d'un an",$N336="")," | Précédent entretien à renseigner (ancienneté &gt; 1 an)","")&amp;IF($O336="Retard antérieur à la réforme"," | Ancien délai de 2 ans expiré avant la réforme","")&amp;IF(AND($N336&lt;&gt;"",$H336&lt;&gt;"",$N336&lt;$H336)," | Entretien antérieur à l'embauche ?","")&amp;IF(AND($N336&lt;&gt;"",$N336&gt;DateRef)," | Entretien daté dans le futur ?","")&amp;IF(AND($Q336&lt;&gt;"",$P336&lt;&gt;"",$Q336&gt;$P336)," | Date prévue après l'échéance","")&amp;IF(AND($Q336&lt;&gt;"",$Q336&lt;DateRef,OR($N336="",$N336&lt;$Q336))," | Entretien prévu passé : le consigner au Journal","")&amp;IF(AND($G336&lt;&gt;"",$X336="",YEAR(DateRef)-YEAR($G336)&gt;=AgeMiCarriere-1,YEAR(DateRef)-YEAR($G336)&lt;=AgeMiCarriere+1)," | Visite de mi-carrière à vérifier",""),4,1000))</f>
        <v/>
      </c>
      <c r="U336" s="39"/>
      <c r="V336" s="40"/>
      <c r="W336" s="42" t="str">
        <f aca="false">IF(OR($B336="",$V336=""),"",IF(AND($I336&lt;&gt;"",$I336&lt;=DateRef),"",IF(AND($N336&lt;&gt;"",$N336&gt;=$V336),"Réalisé",IF(AND($N336&lt;&gt;"",$N336&gt;=EDATE($V336,-FenetreRetour)),"Dispensé (EPP récent)",IF($V336&gt;DateRef,"À prévoir à la reprise","À proposer (reprise passée)")))))</f>
        <v/>
      </c>
      <c r="X336" s="40"/>
      <c r="Y336" s="43" t="str">
        <f aca="false">IF(OR($B336="",$X336=""),"",EDATE($X336,DelaiMiCarriere))</f>
        <v/>
      </c>
      <c r="Z336" s="42" t="str">
        <f aca="false">IF(OR($B336="",$X336=""),"",IF(AND($I336&lt;&gt;"",$I336&lt;=DateRef),"",IF(AND($N336&lt;&gt;"",$N336&gt;=$X336),"Réalisé",IF($Y336&lt;DateRef,"En retard","À planifier"))))</f>
        <v/>
      </c>
      <c r="AA336" s="47" t="str">
        <f aca="false">IF(OR($B336="",$G336=""),"",IF($G336&gt;DateRef,"",DATEDIF($G336,DateRef,"y")))</f>
        <v/>
      </c>
      <c r="AB336" s="43" t="str">
        <f aca="false">IF(OR($B336="",$G336=""),"",EDATE($G336,AgeFinCarriere*12))</f>
        <v/>
      </c>
      <c r="AC336" s="42" t="str">
        <f aca="false">IF(OR($B336="",$G336="",$H336=""),"",IF(AND($I336&lt;&gt;"",$I336&lt;=DateRef),"",IF($AB336&lt;DateVigueur,"Non concerné",IF(AND($N336&lt;&gt;"",$N336&gt;=MAX(EDATE($AB336,-FenetreFinCarriere*12),DateVigueur),$N336&lt;=$AB336),"Réalisé",IF(DateRef&gt;$AB336,"Non réalisé",IF(AND($Q336&lt;&gt;"",$Q336&gt;=EDATE($AB336,-FenetreFinCarriere*12),$Q336&lt;=$AB336),"Planifié dans la fenêtre",IF(AND(MAX($P336,DateRef)&gt;=EDATE($AB336,-FenetreFinCarriere*12),MAX($P336,DateRef)&lt;=$AB336),"Prochain EPP dans la fenêtre",IF(MAX($P336,DateRef)&gt;$AB336,"À programmer avant 60 ans",""))))))))</f>
        <v/>
      </c>
      <c r="AD336" s="40"/>
      <c r="AE336" s="43" t="str">
        <f aca="false">IF(OR($B336="",$H336="",AND($I336&lt;&gt;"",$I336&lt;=DateRef)),"",MAX($H336,$AD336,IF($A336="",0,SUMPRODUCT(MAX((Journal!$A$6:$A$1005=$A336)*((Journal!$D$6:$D$1005=TypeEDL)+(Journal!$D$6:$D$1005=TypeBilan6))*Journal!$C$6:$C$1005)))))</f>
        <v/>
      </c>
      <c r="AF336" s="43" t="str">
        <f aca="false">IF($AE336="","",IF(AND(ReglesTransitoires="Oui",EDATE($AE336,AnciennePeriodiciteEDL*12)&lt;DateVigueur),EDATE($AE336,AnciennePeriodiciteEDL*12),EDATE($AE336,PeriodiciteEDL*12)))</f>
        <v/>
      </c>
      <c r="AG336" s="42" t="str">
        <f aca="false">IF($AF336="","",IF(AND($I336&lt;&gt;"",$I336&lt;=DateRef),"",IF($AF336&lt;DateRef,"En retard",IF($AF336-DateRef&lt;=SeuilAlerteEDL,"À prévoir","À jour"))))</f>
        <v/>
      </c>
      <c r="AH336" s="39"/>
      <c r="AI336" s="39"/>
      <c r="AJ336" s="42" t="str">
        <f aca="false">IF(OR($B336="",$H336=""),"",IF(AND($I336&lt;&gt;"",$I336&lt;=DateRef),"",IF(Effectif&lt;SeuilEffectif,"Non concerné (&lt; "&amp;SeuilEffectif&amp;" salariés)",IF($AH336="Oui","Pas de risque",IF(AND(OR($AI336="Non",$S336="En retard"),$AH336="Non"),"Risque abondement",IF(OR($AI336="Non",$S336="En retard"),"À vérifier (formation ?)",IF($AI336="Oui","Pas de risque","À compléter")))))))</f>
        <v/>
      </c>
      <c r="AK336" s="39"/>
    </row>
    <row r="337" customFormat="false" ht="15" hidden="false" customHeight="false" outlineLevel="0" collapsed="false">
      <c r="A337" s="39"/>
      <c r="B337" s="39"/>
      <c r="C337" s="39"/>
      <c r="D337" s="39"/>
      <c r="E337" s="39"/>
      <c r="F337" s="39"/>
      <c r="G337" s="40"/>
      <c r="H337" s="40"/>
      <c r="I337" s="40"/>
      <c r="J337" s="41" t="str">
        <f aca="false">IF(OR($B337="",$H337=""),"",IF($H337&gt;DateRef,0,YEARFRAC($H337,DateRef,1)))</f>
        <v/>
      </c>
      <c r="K337" s="42" t="str">
        <f aca="false">IF(OR($B337="",$H337=""),"",IF(EDATE($H337,12)&lt;=DateRef,"Plus d'un an","Moins d'un an"))</f>
        <v/>
      </c>
      <c r="L337" s="40"/>
      <c r="M337" s="43" t="str">
        <f aca="false">IF(OR($B337="",$A337=""),"",IF(SUMPRODUCT(MAX((Journal!$A$6:$A$1005=$A337)*Journal!$C$6:$C$1005))=0,"",SUMPRODUCT(MAX((Journal!$A$6:$A$1005=$A337)*Journal!$C$6:$C$1005))))</f>
        <v/>
      </c>
      <c r="N337" s="43" t="str">
        <f aca="false">IF($B337="","",IF(MAX($L337,$M337)=0,"",MAX($L337,$M337)))</f>
        <v/>
      </c>
      <c r="O337" s="44" t="str">
        <f aca="false">IF(OR($B337="",$H337=""),"",IF($N337="",IF(EDATE($H337,DelaiPremierEPP)&gt;DateRef,"1er EPP (1re année)","Aucun entretien renseigné"),IF(AND(ReglesTransitoires="Oui",EDATE($N337,AnciennePeriodiciteEP*12)&lt;DateVigueur),"Retard antérieur à la réforme","Périodicité "&amp;PeriodiciteEPP&amp;" ans")))</f>
        <v/>
      </c>
      <c r="P337" s="43" t="str">
        <f aca="false">IF(OR($B337="",$H337=""),"",IF($N337="",EDATE($H337,DelaiPremierEPP),IF(AND(ReglesTransitoires="Oui",EDATE($N337,AnciennePeriodiciteEP*12)&lt;DateVigueur),EDATE($N337,AnciennePeriodiciteEP*12),EDATE($N337,PeriodiciteEPP*12))))</f>
        <v/>
      </c>
      <c r="Q337" s="40"/>
      <c r="R337" s="45" t="str">
        <f aca="false">IF(OR($P337="",AND($I337&lt;&gt;"",$I337&lt;=DateRef)),"",$P337-DateRef)</f>
        <v/>
      </c>
      <c r="S337" s="42" t="str">
        <f aca="false">IF($B337="","",IF(AND($I337&lt;&gt;"",$I337&lt;=DateRef),"Sorti",IF($H337="","À compléter",IF(AND($Q337&lt;&gt;"",$Q337&gt;=DateRef,$Q337&lt;=$P337),"Planifié",IF($R337&lt;0,"En retard",IF($R337&lt;=SeuilAlerteEPP,"À planifier","À jour"))))))</f>
        <v/>
      </c>
      <c r="T337" s="46" t="str">
        <f aca="false">IF(OR($B337="",$S337="Sorti"),"",MID(IF($H337=""," | Date d'embauche manquante","")&amp;IF(AND($K337="Plus d'un an",$N337="")," | Précédent entretien à renseigner (ancienneté &gt; 1 an)","")&amp;IF($O337="Retard antérieur à la réforme"," | Ancien délai de 2 ans expiré avant la réforme","")&amp;IF(AND($N337&lt;&gt;"",$H337&lt;&gt;"",$N337&lt;$H337)," | Entretien antérieur à l'embauche ?","")&amp;IF(AND($N337&lt;&gt;"",$N337&gt;DateRef)," | Entretien daté dans le futur ?","")&amp;IF(AND($Q337&lt;&gt;"",$P337&lt;&gt;"",$Q337&gt;$P337)," | Date prévue après l'échéance","")&amp;IF(AND($Q337&lt;&gt;"",$Q337&lt;DateRef,OR($N337="",$N337&lt;$Q337))," | Entretien prévu passé : le consigner au Journal","")&amp;IF(AND($G337&lt;&gt;"",$X337="",YEAR(DateRef)-YEAR($G337)&gt;=AgeMiCarriere-1,YEAR(DateRef)-YEAR($G337)&lt;=AgeMiCarriere+1)," | Visite de mi-carrière à vérifier",""),4,1000))</f>
        <v/>
      </c>
      <c r="U337" s="39"/>
      <c r="V337" s="40"/>
      <c r="W337" s="42" t="str">
        <f aca="false">IF(OR($B337="",$V337=""),"",IF(AND($I337&lt;&gt;"",$I337&lt;=DateRef),"",IF(AND($N337&lt;&gt;"",$N337&gt;=$V337),"Réalisé",IF(AND($N337&lt;&gt;"",$N337&gt;=EDATE($V337,-FenetreRetour)),"Dispensé (EPP récent)",IF($V337&gt;DateRef,"À prévoir à la reprise","À proposer (reprise passée)")))))</f>
        <v/>
      </c>
      <c r="X337" s="40"/>
      <c r="Y337" s="43" t="str">
        <f aca="false">IF(OR($B337="",$X337=""),"",EDATE($X337,DelaiMiCarriere))</f>
        <v/>
      </c>
      <c r="Z337" s="42" t="str">
        <f aca="false">IF(OR($B337="",$X337=""),"",IF(AND($I337&lt;&gt;"",$I337&lt;=DateRef),"",IF(AND($N337&lt;&gt;"",$N337&gt;=$X337),"Réalisé",IF($Y337&lt;DateRef,"En retard","À planifier"))))</f>
        <v/>
      </c>
      <c r="AA337" s="47" t="str">
        <f aca="false">IF(OR($B337="",$G337=""),"",IF($G337&gt;DateRef,"",DATEDIF($G337,DateRef,"y")))</f>
        <v/>
      </c>
      <c r="AB337" s="43" t="str">
        <f aca="false">IF(OR($B337="",$G337=""),"",EDATE($G337,AgeFinCarriere*12))</f>
        <v/>
      </c>
      <c r="AC337" s="42" t="str">
        <f aca="false">IF(OR($B337="",$G337="",$H337=""),"",IF(AND($I337&lt;&gt;"",$I337&lt;=DateRef),"",IF($AB337&lt;DateVigueur,"Non concerné",IF(AND($N337&lt;&gt;"",$N337&gt;=MAX(EDATE($AB337,-FenetreFinCarriere*12),DateVigueur),$N337&lt;=$AB337),"Réalisé",IF(DateRef&gt;$AB337,"Non réalisé",IF(AND($Q337&lt;&gt;"",$Q337&gt;=EDATE($AB337,-FenetreFinCarriere*12),$Q337&lt;=$AB337),"Planifié dans la fenêtre",IF(AND(MAX($P337,DateRef)&gt;=EDATE($AB337,-FenetreFinCarriere*12),MAX($P337,DateRef)&lt;=$AB337),"Prochain EPP dans la fenêtre",IF(MAX($P337,DateRef)&gt;$AB337,"À programmer avant 60 ans",""))))))))</f>
        <v/>
      </c>
      <c r="AD337" s="40"/>
      <c r="AE337" s="43" t="str">
        <f aca="false">IF(OR($B337="",$H337="",AND($I337&lt;&gt;"",$I337&lt;=DateRef)),"",MAX($H337,$AD337,IF($A337="",0,SUMPRODUCT(MAX((Journal!$A$6:$A$1005=$A337)*((Journal!$D$6:$D$1005=TypeEDL)+(Journal!$D$6:$D$1005=TypeBilan6))*Journal!$C$6:$C$1005)))))</f>
        <v/>
      </c>
      <c r="AF337" s="43" t="str">
        <f aca="false">IF($AE337="","",IF(AND(ReglesTransitoires="Oui",EDATE($AE337,AnciennePeriodiciteEDL*12)&lt;DateVigueur),EDATE($AE337,AnciennePeriodiciteEDL*12),EDATE($AE337,PeriodiciteEDL*12)))</f>
        <v/>
      </c>
      <c r="AG337" s="42" t="str">
        <f aca="false">IF($AF337="","",IF(AND($I337&lt;&gt;"",$I337&lt;=DateRef),"",IF($AF337&lt;DateRef,"En retard",IF($AF337-DateRef&lt;=SeuilAlerteEDL,"À prévoir","À jour"))))</f>
        <v/>
      </c>
      <c r="AH337" s="39"/>
      <c r="AI337" s="39"/>
      <c r="AJ337" s="42" t="str">
        <f aca="false">IF(OR($B337="",$H337=""),"",IF(AND($I337&lt;&gt;"",$I337&lt;=DateRef),"",IF(Effectif&lt;SeuilEffectif,"Non concerné (&lt; "&amp;SeuilEffectif&amp;" salariés)",IF($AH337="Oui","Pas de risque",IF(AND(OR($AI337="Non",$S337="En retard"),$AH337="Non"),"Risque abondement",IF(OR($AI337="Non",$S337="En retard"),"À vérifier (formation ?)",IF($AI337="Oui","Pas de risque","À compléter")))))))</f>
        <v/>
      </c>
      <c r="AK337" s="39"/>
    </row>
    <row r="338" customFormat="false" ht="15" hidden="false" customHeight="false" outlineLevel="0" collapsed="false">
      <c r="A338" s="39"/>
      <c r="B338" s="39"/>
      <c r="C338" s="39"/>
      <c r="D338" s="39"/>
      <c r="E338" s="39"/>
      <c r="F338" s="39"/>
      <c r="G338" s="40"/>
      <c r="H338" s="40"/>
      <c r="I338" s="40"/>
      <c r="J338" s="41" t="str">
        <f aca="false">IF(OR($B338="",$H338=""),"",IF($H338&gt;DateRef,0,YEARFRAC($H338,DateRef,1)))</f>
        <v/>
      </c>
      <c r="K338" s="42" t="str">
        <f aca="false">IF(OR($B338="",$H338=""),"",IF(EDATE($H338,12)&lt;=DateRef,"Plus d'un an","Moins d'un an"))</f>
        <v/>
      </c>
      <c r="L338" s="40"/>
      <c r="M338" s="43" t="str">
        <f aca="false">IF(OR($B338="",$A338=""),"",IF(SUMPRODUCT(MAX((Journal!$A$6:$A$1005=$A338)*Journal!$C$6:$C$1005))=0,"",SUMPRODUCT(MAX((Journal!$A$6:$A$1005=$A338)*Journal!$C$6:$C$1005))))</f>
        <v/>
      </c>
      <c r="N338" s="43" t="str">
        <f aca="false">IF($B338="","",IF(MAX($L338,$M338)=0,"",MAX($L338,$M338)))</f>
        <v/>
      </c>
      <c r="O338" s="44" t="str">
        <f aca="false">IF(OR($B338="",$H338=""),"",IF($N338="",IF(EDATE($H338,DelaiPremierEPP)&gt;DateRef,"1er EPP (1re année)","Aucun entretien renseigné"),IF(AND(ReglesTransitoires="Oui",EDATE($N338,AnciennePeriodiciteEP*12)&lt;DateVigueur),"Retard antérieur à la réforme","Périodicité "&amp;PeriodiciteEPP&amp;" ans")))</f>
        <v/>
      </c>
      <c r="P338" s="43" t="str">
        <f aca="false">IF(OR($B338="",$H338=""),"",IF($N338="",EDATE($H338,DelaiPremierEPP),IF(AND(ReglesTransitoires="Oui",EDATE($N338,AnciennePeriodiciteEP*12)&lt;DateVigueur),EDATE($N338,AnciennePeriodiciteEP*12),EDATE($N338,PeriodiciteEPP*12))))</f>
        <v/>
      </c>
      <c r="Q338" s="40"/>
      <c r="R338" s="45" t="str">
        <f aca="false">IF(OR($P338="",AND($I338&lt;&gt;"",$I338&lt;=DateRef)),"",$P338-DateRef)</f>
        <v/>
      </c>
      <c r="S338" s="42" t="str">
        <f aca="false">IF($B338="","",IF(AND($I338&lt;&gt;"",$I338&lt;=DateRef),"Sorti",IF($H338="","À compléter",IF(AND($Q338&lt;&gt;"",$Q338&gt;=DateRef,$Q338&lt;=$P338),"Planifié",IF($R338&lt;0,"En retard",IF($R338&lt;=SeuilAlerteEPP,"À planifier","À jour"))))))</f>
        <v/>
      </c>
      <c r="T338" s="46" t="str">
        <f aca="false">IF(OR($B338="",$S338="Sorti"),"",MID(IF($H338=""," | Date d'embauche manquante","")&amp;IF(AND($K338="Plus d'un an",$N338="")," | Précédent entretien à renseigner (ancienneté &gt; 1 an)","")&amp;IF($O338="Retard antérieur à la réforme"," | Ancien délai de 2 ans expiré avant la réforme","")&amp;IF(AND($N338&lt;&gt;"",$H338&lt;&gt;"",$N338&lt;$H338)," | Entretien antérieur à l'embauche ?","")&amp;IF(AND($N338&lt;&gt;"",$N338&gt;DateRef)," | Entretien daté dans le futur ?","")&amp;IF(AND($Q338&lt;&gt;"",$P338&lt;&gt;"",$Q338&gt;$P338)," | Date prévue après l'échéance","")&amp;IF(AND($Q338&lt;&gt;"",$Q338&lt;DateRef,OR($N338="",$N338&lt;$Q338))," | Entretien prévu passé : le consigner au Journal","")&amp;IF(AND($G338&lt;&gt;"",$X338="",YEAR(DateRef)-YEAR($G338)&gt;=AgeMiCarriere-1,YEAR(DateRef)-YEAR($G338)&lt;=AgeMiCarriere+1)," | Visite de mi-carrière à vérifier",""),4,1000))</f>
        <v/>
      </c>
      <c r="U338" s="39"/>
      <c r="V338" s="40"/>
      <c r="W338" s="42" t="str">
        <f aca="false">IF(OR($B338="",$V338=""),"",IF(AND($I338&lt;&gt;"",$I338&lt;=DateRef),"",IF(AND($N338&lt;&gt;"",$N338&gt;=$V338),"Réalisé",IF(AND($N338&lt;&gt;"",$N338&gt;=EDATE($V338,-FenetreRetour)),"Dispensé (EPP récent)",IF($V338&gt;DateRef,"À prévoir à la reprise","À proposer (reprise passée)")))))</f>
        <v/>
      </c>
      <c r="X338" s="40"/>
      <c r="Y338" s="43" t="str">
        <f aca="false">IF(OR($B338="",$X338=""),"",EDATE($X338,DelaiMiCarriere))</f>
        <v/>
      </c>
      <c r="Z338" s="42" t="str">
        <f aca="false">IF(OR($B338="",$X338=""),"",IF(AND($I338&lt;&gt;"",$I338&lt;=DateRef),"",IF(AND($N338&lt;&gt;"",$N338&gt;=$X338),"Réalisé",IF($Y338&lt;DateRef,"En retard","À planifier"))))</f>
        <v/>
      </c>
      <c r="AA338" s="47" t="str">
        <f aca="false">IF(OR($B338="",$G338=""),"",IF($G338&gt;DateRef,"",DATEDIF($G338,DateRef,"y")))</f>
        <v/>
      </c>
      <c r="AB338" s="43" t="str">
        <f aca="false">IF(OR($B338="",$G338=""),"",EDATE($G338,AgeFinCarriere*12))</f>
        <v/>
      </c>
      <c r="AC338" s="42" t="str">
        <f aca="false">IF(OR($B338="",$G338="",$H338=""),"",IF(AND($I338&lt;&gt;"",$I338&lt;=DateRef),"",IF($AB338&lt;DateVigueur,"Non concerné",IF(AND($N338&lt;&gt;"",$N338&gt;=MAX(EDATE($AB338,-FenetreFinCarriere*12),DateVigueur),$N338&lt;=$AB338),"Réalisé",IF(DateRef&gt;$AB338,"Non réalisé",IF(AND($Q338&lt;&gt;"",$Q338&gt;=EDATE($AB338,-FenetreFinCarriere*12),$Q338&lt;=$AB338),"Planifié dans la fenêtre",IF(AND(MAX($P338,DateRef)&gt;=EDATE($AB338,-FenetreFinCarriere*12),MAX($P338,DateRef)&lt;=$AB338),"Prochain EPP dans la fenêtre",IF(MAX($P338,DateRef)&gt;$AB338,"À programmer avant 60 ans",""))))))))</f>
        <v/>
      </c>
      <c r="AD338" s="40"/>
      <c r="AE338" s="43" t="str">
        <f aca="false">IF(OR($B338="",$H338="",AND($I338&lt;&gt;"",$I338&lt;=DateRef)),"",MAX($H338,$AD338,IF($A338="",0,SUMPRODUCT(MAX((Journal!$A$6:$A$1005=$A338)*((Journal!$D$6:$D$1005=TypeEDL)+(Journal!$D$6:$D$1005=TypeBilan6))*Journal!$C$6:$C$1005)))))</f>
        <v/>
      </c>
      <c r="AF338" s="43" t="str">
        <f aca="false">IF($AE338="","",IF(AND(ReglesTransitoires="Oui",EDATE($AE338,AnciennePeriodiciteEDL*12)&lt;DateVigueur),EDATE($AE338,AnciennePeriodiciteEDL*12),EDATE($AE338,PeriodiciteEDL*12)))</f>
        <v/>
      </c>
      <c r="AG338" s="42" t="str">
        <f aca="false">IF($AF338="","",IF(AND($I338&lt;&gt;"",$I338&lt;=DateRef),"",IF($AF338&lt;DateRef,"En retard",IF($AF338-DateRef&lt;=SeuilAlerteEDL,"À prévoir","À jour"))))</f>
        <v/>
      </c>
      <c r="AH338" s="39"/>
      <c r="AI338" s="39"/>
      <c r="AJ338" s="42" t="str">
        <f aca="false">IF(OR($B338="",$H338=""),"",IF(AND($I338&lt;&gt;"",$I338&lt;=DateRef),"",IF(Effectif&lt;SeuilEffectif,"Non concerné (&lt; "&amp;SeuilEffectif&amp;" salariés)",IF($AH338="Oui","Pas de risque",IF(AND(OR($AI338="Non",$S338="En retard"),$AH338="Non"),"Risque abondement",IF(OR($AI338="Non",$S338="En retard"),"À vérifier (formation ?)",IF($AI338="Oui","Pas de risque","À compléter")))))))</f>
        <v/>
      </c>
      <c r="AK338" s="39"/>
    </row>
    <row r="339" customFormat="false" ht="15" hidden="false" customHeight="false" outlineLevel="0" collapsed="false">
      <c r="A339" s="39"/>
      <c r="B339" s="39"/>
      <c r="C339" s="39"/>
      <c r="D339" s="39"/>
      <c r="E339" s="39"/>
      <c r="F339" s="39"/>
      <c r="G339" s="40"/>
      <c r="H339" s="40"/>
      <c r="I339" s="40"/>
      <c r="J339" s="41" t="str">
        <f aca="false">IF(OR($B339="",$H339=""),"",IF($H339&gt;DateRef,0,YEARFRAC($H339,DateRef,1)))</f>
        <v/>
      </c>
      <c r="K339" s="42" t="str">
        <f aca="false">IF(OR($B339="",$H339=""),"",IF(EDATE($H339,12)&lt;=DateRef,"Plus d'un an","Moins d'un an"))</f>
        <v/>
      </c>
      <c r="L339" s="40"/>
      <c r="M339" s="43" t="str">
        <f aca="false">IF(OR($B339="",$A339=""),"",IF(SUMPRODUCT(MAX((Journal!$A$6:$A$1005=$A339)*Journal!$C$6:$C$1005))=0,"",SUMPRODUCT(MAX((Journal!$A$6:$A$1005=$A339)*Journal!$C$6:$C$1005))))</f>
        <v/>
      </c>
      <c r="N339" s="43" t="str">
        <f aca="false">IF($B339="","",IF(MAX($L339,$M339)=0,"",MAX($L339,$M339)))</f>
        <v/>
      </c>
      <c r="O339" s="44" t="str">
        <f aca="false">IF(OR($B339="",$H339=""),"",IF($N339="",IF(EDATE($H339,DelaiPremierEPP)&gt;DateRef,"1er EPP (1re année)","Aucun entretien renseigné"),IF(AND(ReglesTransitoires="Oui",EDATE($N339,AnciennePeriodiciteEP*12)&lt;DateVigueur),"Retard antérieur à la réforme","Périodicité "&amp;PeriodiciteEPP&amp;" ans")))</f>
        <v/>
      </c>
      <c r="P339" s="43" t="str">
        <f aca="false">IF(OR($B339="",$H339=""),"",IF($N339="",EDATE($H339,DelaiPremierEPP),IF(AND(ReglesTransitoires="Oui",EDATE($N339,AnciennePeriodiciteEP*12)&lt;DateVigueur),EDATE($N339,AnciennePeriodiciteEP*12),EDATE($N339,PeriodiciteEPP*12))))</f>
        <v/>
      </c>
      <c r="Q339" s="40"/>
      <c r="R339" s="45" t="str">
        <f aca="false">IF(OR($P339="",AND($I339&lt;&gt;"",$I339&lt;=DateRef)),"",$P339-DateRef)</f>
        <v/>
      </c>
      <c r="S339" s="42" t="str">
        <f aca="false">IF($B339="","",IF(AND($I339&lt;&gt;"",$I339&lt;=DateRef),"Sorti",IF($H339="","À compléter",IF(AND($Q339&lt;&gt;"",$Q339&gt;=DateRef,$Q339&lt;=$P339),"Planifié",IF($R339&lt;0,"En retard",IF($R339&lt;=SeuilAlerteEPP,"À planifier","À jour"))))))</f>
        <v/>
      </c>
      <c r="T339" s="46" t="str">
        <f aca="false">IF(OR($B339="",$S339="Sorti"),"",MID(IF($H339=""," | Date d'embauche manquante","")&amp;IF(AND($K339="Plus d'un an",$N339="")," | Précédent entretien à renseigner (ancienneté &gt; 1 an)","")&amp;IF($O339="Retard antérieur à la réforme"," | Ancien délai de 2 ans expiré avant la réforme","")&amp;IF(AND($N339&lt;&gt;"",$H339&lt;&gt;"",$N339&lt;$H339)," | Entretien antérieur à l'embauche ?","")&amp;IF(AND($N339&lt;&gt;"",$N339&gt;DateRef)," | Entretien daté dans le futur ?","")&amp;IF(AND($Q339&lt;&gt;"",$P339&lt;&gt;"",$Q339&gt;$P339)," | Date prévue après l'échéance","")&amp;IF(AND($Q339&lt;&gt;"",$Q339&lt;DateRef,OR($N339="",$N339&lt;$Q339))," | Entretien prévu passé : le consigner au Journal","")&amp;IF(AND($G339&lt;&gt;"",$X339="",YEAR(DateRef)-YEAR($G339)&gt;=AgeMiCarriere-1,YEAR(DateRef)-YEAR($G339)&lt;=AgeMiCarriere+1)," | Visite de mi-carrière à vérifier",""),4,1000))</f>
        <v/>
      </c>
      <c r="U339" s="39"/>
      <c r="V339" s="40"/>
      <c r="W339" s="42" t="str">
        <f aca="false">IF(OR($B339="",$V339=""),"",IF(AND($I339&lt;&gt;"",$I339&lt;=DateRef),"",IF(AND($N339&lt;&gt;"",$N339&gt;=$V339),"Réalisé",IF(AND($N339&lt;&gt;"",$N339&gt;=EDATE($V339,-FenetreRetour)),"Dispensé (EPP récent)",IF($V339&gt;DateRef,"À prévoir à la reprise","À proposer (reprise passée)")))))</f>
        <v/>
      </c>
      <c r="X339" s="40"/>
      <c r="Y339" s="43" t="str">
        <f aca="false">IF(OR($B339="",$X339=""),"",EDATE($X339,DelaiMiCarriere))</f>
        <v/>
      </c>
      <c r="Z339" s="42" t="str">
        <f aca="false">IF(OR($B339="",$X339=""),"",IF(AND($I339&lt;&gt;"",$I339&lt;=DateRef),"",IF(AND($N339&lt;&gt;"",$N339&gt;=$X339),"Réalisé",IF($Y339&lt;DateRef,"En retard","À planifier"))))</f>
        <v/>
      </c>
      <c r="AA339" s="47" t="str">
        <f aca="false">IF(OR($B339="",$G339=""),"",IF($G339&gt;DateRef,"",DATEDIF($G339,DateRef,"y")))</f>
        <v/>
      </c>
      <c r="AB339" s="43" t="str">
        <f aca="false">IF(OR($B339="",$G339=""),"",EDATE($G339,AgeFinCarriere*12))</f>
        <v/>
      </c>
      <c r="AC339" s="42" t="str">
        <f aca="false">IF(OR($B339="",$G339="",$H339=""),"",IF(AND($I339&lt;&gt;"",$I339&lt;=DateRef),"",IF($AB339&lt;DateVigueur,"Non concerné",IF(AND($N339&lt;&gt;"",$N339&gt;=MAX(EDATE($AB339,-FenetreFinCarriere*12),DateVigueur),$N339&lt;=$AB339),"Réalisé",IF(DateRef&gt;$AB339,"Non réalisé",IF(AND($Q339&lt;&gt;"",$Q339&gt;=EDATE($AB339,-FenetreFinCarriere*12),$Q339&lt;=$AB339),"Planifié dans la fenêtre",IF(AND(MAX($P339,DateRef)&gt;=EDATE($AB339,-FenetreFinCarriere*12),MAX($P339,DateRef)&lt;=$AB339),"Prochain EPP dans la fenêtre",IF(MAX($P339,DateRef)&gt;$AB339,"À programmer avant 60 ans",""))))))))</f>
        <v/>
      </c>
      <c r="AD339" s="40"/>
      <c r="AE339" s="43" t="str">
        <f aca="false">IF(OR($B339="",$H339="",AND($I339&lt;&gt;"",$I339&lt;=DateRef)),"",MAX($H339,$AD339,IF($A339="",0,SUMPRODUCT(MAX((Journal!$A$6:$A$1005=$A339)*((Journal!$D$6:$D$1005=TypeEDL)+(Journal!$D$6:$D$1005=TypeBilan6))*Journal!$C$6:$C$1005)))))</f>
        <v/>
      </c>
      <c r="AF339" s="43" t="str">
        <f aca="false">IF($AE339="","",IF(AND(ReglesTransitoires="Oui",EDATE($AE339,AnciennePeriodiciteEDL*12)&lt;DateVigueur),EDATE($AE339,AnciennePeriodiciteEDL*12),EDATE($AE339,PeriodiciteEDL*12)))</f>
        <v/>
      </c>
      <c r="AG339" s="42" t="str">
        <f aca="false">IF($AF339="","",IF(AND($I339&lt;&gt;"",$I339&lt;=DateRef),"",IF($AF339&lt;DateRef,"En retard",IF($AF339-DateRef&lt;=SeuilAlerteEDL,"À prévoir","À jour"))))</f>
        <v/>
      </c>
      <c r="AH339" s="39"/>
      <c r="AI339" s="39"/>
      <c r="AJ339" s="42" t="str">
        <f aca="false">IF(OR($B339="",$H339=""),"",IF(AND($I339&lt;&gt;"",$I339&lt;=DateRef),"",IF(Effectif&lt;SeuilEffectif,"Non concerné (&lt; "&amp;SeuilEffectif&amp;" salariés)",IF($AH339="Oui","Pas de risque",IF(AND(OR($AI339="Non",$S339="En retard"),$AH339="Non"),"Risque abondement",IF(OR($AI339="Non",$S339="En retard"),"À vérifier (formation ?)",IF($AI339="Oui","Pas de risque","À compléter")))))))</f>
        <v/>
      </c>
      <c r="AK339" s="39"/>
    </row>
    <row r="340" customFormat="false" ht="15" hidden="false" customHeight="false" outlineLevel="0" collapsed="false">
      <c r="A340" s="39"/>
      <c r="B340" s="39"/>
      <c r="C340" s="39"/>
      <c r="D340" s="39"/>
      <c r="E340" s="39"/>
      <c r="F340" s="39"/>
      <c r="G340" s="40"/>
      <c r="H340" s="40"/>
      <c r="I340" s="40"/>
      <c r="J340" s="41" t="str">
        <f aca="false">IF(OR($B340="",$H340=""),"",IF($H340&gt;DateRef,0,YEARFRAC($H340,DateRef,1)))</f>
        <v/>
      </c>
      <c r="K340" s="42" t="str">
        <f aca="false">IF(OR($B340="",$H340=""),"",IF(EDATE($H340,12)&lt;=DateRef,"Plus d'un an","Moins d'un an"))</f>
        <v/>
      </c>
      <c r="L340" s="40"/>
      <c r="M340" s="43" t="str">
        <f aca="false">IF(OR($B340="",$A340=""),"",IF(SUMPRODUCT(MAX((Journal!$A$6:$A$1005=$A340)*Journal!$C$6:$C$1005))=0,"",SUMPRODUCT(MAX((Journal!$A$6:$A$1005=$A340)*Journal!$C$6:$C$1005))))</f>
        <v/>
      </c>
      <c r="N340" s="43" t="str">
        <f aca="false">IF($B340="","",IF(MAX($L340,$M340)=0,"",MAX($L340,$M340)))</f>
        <v/>
      </c>
      <c r="O340" s="44" t="str">
        <f aca="false">IF(OR($B340="",$H340=""),"",IF($N340="",IF(EDATE($H340,DelaiPremierEPP)&gt;DateRef,"1er EPP (1re année)","Aucun entretien renseigné"),IF(AND(ReglesTransitoires="Oui",EDATE($N340,AnciennePeriodiciteEP*12)&lt;DateVigueur),"Retard antérieur à la réforme","Périodicité "&amp;PeriodiciteEPP&amp;" ans")))</f>
        <v/>
      </c>
      <c r="P340" s="43" t="str">
        <f aca="false">IF(OR($B340="",$H340=""),"",IF($N340="",EDATE($H340,DelaiPremierEPP),IF(AND(ReglesTransitoires="Oui",EDATE($N340,AnciennePeriodiciteEP*12)&lt;DateVigueur),EDATE($N340,AnciennePeriodiciteEP*12),EDATE($N340,PeriodiciteEPP*12))))</f>
        <v/>
      </c>
      <c r="Q340" s="40"/>
      <c r="R340" s="45" t="str">
        <f aca="false">IF(OR($P340="",AND($I340&lt;&gt;"",$I340&lt;=DateRef)),"",$P340-DateRef)</f>
        <v/>
      </c>
      <c r="S340" s="42" t="str">
        <f aca="false">IF($B340="","",IF(AND($I340&lt;&gt;"",$I340&lt;=DateRef),"Sorti",IF($H340="","À compléter",IF(AND($Q340&lt;&gt;"",$Q340&gt;=DateRef,$Q340&lt;=$P340),"Planifié",IF($R340&lt;0,"En retard",IF($R340&lt;=SeuilAlerteEPP,"À planifier","À jour"))))))</f>
        <v/>
      </c>
      <c r="T340" s="46" t="str">
        <f aca="false">IF(OR($B340="",$S340="Sorti"),"",MID(IF($H340=""," | Date d'embauche manquante","")&amp;IF(AND($K340="Plus d'un an",$N340="")," | Précédent entretien à renseigner (ancienneté &gt; 1 an)","")&amp;IF($O340="Retard antérieur à la réforme"," | Ancien délai de 2 ans expiré avant la réforme","")&amp;IF(AND($N340&lt;&gt;"",$H340&lt;&gt;"",$N340&lt;$H340)," | Entretien antérieur à l'embauche ?","")&amp;IF(AND($N340&lt;&gt;"",$N340&gt;DateRef)," | Entretien daté dans le futur ?","")&amp;IF(AND($Q340&lt;&gt;"",$P340&lt;&gt;"",$Q340&gt;$P340)," | Date prévue après l'échéance","")&amp;IF(AND($Q340&lt;&gt;"",$Q340&lt;DateRef,OR($N340="",$N340&lt;$Q340))," | Entretien prévu passé : le consigner au Journal","")&amp;IF(AND($G340&lt;&gt;"",$X340="",YEAR(DateRef)-YEAR($G340)&gt;=AgeMiCarriere-1,YEAR(DateRef)-YEAR($G340)&lt;=AgeMiCarriere+1)," | Visite de mi-carrière à vérifier",""),4,1000))</f>
        <v/>
      </c>
      <c r="U340" s="39"/>
      <c r="V340" s="40"/>
      <c r="W340" s="42" t="str">
        <f aca="false">IF(OR($B340="",$V340=""),"",IF(AND($I340&lt;&gt;"",$I340&lt;=DateRef),"",IF(AND($N340&lt;&gt;"",$N340&gt;=$V340),"Réalisé",IF(AND($N340&lt;&gt;"",$N340&gt;=EDATE($V340,-FenetreRetour)),"Dispensé (EPP récent)",IF($V340&gt;DateRef,"À prévoir à la reprise","À proposer (reprise passée)")))))</f>
        <v/>
      </c>
      <c r="X340" s="40"/>
      <c r="Y340" s="43" t="str">
        <f aca="false">IF(OR($B340="",$X340=""),"",EDATE($X340,DelaiMiCarriere))</f>
        <v/>
      </c>
      <c r="Z340" s="42" t="str">
        <f aca="false">IF(OR($B340="",$X340=""),"",IF(AND($I340&lt;&gt;"",$I340&lt;=DateRef),"",IF(AND($N340&lt;&gt;"",$N340&gt;=$X340),"Réalisé",IF($Y340&lt;DateRef,"En retard","À planifier"))))</f>
        <v/>
      </c>
      <c r="AA340" s="47" t="str">
        <f aca="false">IF(OR($B340="",$G340=""),"",IF($G340&gt;DateRef,"",DATEDIF($G340,DateRef,"y")))</f>
        <v/>
      </c>
      <c r="AB340" s="43" t="str">
        <f aca="false">IF(OR($B340="",$G340=""),"",EDATE($G340,AgeFinCarriere*12))</f>
        <v/>
      </c>
      <c r="AC340" s="42" t="str">
        <f aca="false">IF(OR($B340="",$G340="",$H340=""),"",IF(AND($I340&lt;&gt;"",$I340&lt;=DateRef),"",IF($AB340&lt;DateVigueur,"Non concerné",IF(AND($N340&lt;&gt;"",$N340&gt;=MAX(EDATE($AB340,-FenetreFinCarriere*12),DateVigueur),$N340&lt;=$AB340),"Réalisé",IF(DateRef&gt;$AB340,"Non réalisé",IF(AND($Q340&lt;&gt;"",$Q340&gt;=EDATE($AB340,-FenetreFinCarriere*12),$Q340&lt;=$AB340),"Planifié dans la fenêtre",IF(AND(MAX($P340,DateRef)&gt;=EDATE($AB340,-FenetreFinCarriere*12),MAX($P340,DateRef)&lt;=$AB340),"Prochain EPP dans la fenêtre",IF(MAX($P340,DateRef)&gt;$AB340,"À programmer avant 60 ans",""))))))))</f>
        <v/>
      </c>
      <c r="AD340" s="40"/>
      <c r="AE340" s="43" t="str">
        <f aca="false">IF(OR($B340="",$H340="",AND($I340&lt;&gt;"",$I340&lt;=DateRef)),"",MAX($H340,$AD340,IF($A340="",0,SUMPRODUCT(MAX((Journal!$A$6:$A$1005=$A340)*((Journal!$D$6:$D$1005=TypeEDL)+(Journal!$D$6:$D$1005=TypeBilan6))*Journal!$C$6:$C$1005)))))</f>
        <v/>
      </c>
      <c r="AF340" s="43" t="str">
        <f aca="false">IF($AE340="","",IF(AND(ReglesTransitoires="Oui",EDATE($AE340,AnciennePeriodiciteEDL*12)&lt;DateVigueur),EDATE($AE340,AnciennePeriodiciteEDL*12),EDATE($AE340,PeriodiciteEDL*12)))</f>
        <v/>
      </c>
      <c r="AG340" s="42" t="str">
        <f aca="false">IF($AF340="","",IF(AND($I340&lt;&gt;"",$I340&lt;=DateRef),"",IF($AF340&lt;DateRef,"En retard",IF($AF340-DateRef&lt;=SeuilAlerteEDL,"À prévoir","À jour"))))</f>
        <v/>
      </c>
      <c r="AH340" s="39"/>
      <c r="AI340" s="39"/>
      <c r="AJ340" s="42" t="str">
        <f aca="false">IF(OR($B340="",$H340=""),"",IF(AND($I340&lt;&gt;"",$I340&lt;=DateRef),"",IF(Effectif&lt;SeuilEffectif,"Non concerné (&lt; "&amp;SeuilEffectif&amp;" salariés)",IF($AH340="Oui","Pas de risque",IF(AND(OR($AI340="Non",$S340="En retard"),$AH340="Non"),"Risque abondement",IF(OR($AI340="Non",$S340="En retard"),"À vérifier (formation ?)",IF($AI340="Oui","Pas de risque","À compléter")))))))</f>
        <v/>
      </c>
      <c r="AK340" s="39"/>
    </row>
    <row r="341" customFormat="false" ht="15" hidden="false" customHeight="false" outlineLevel="0" collapsed="false">
      <c r="A341" s="39"/>
      <c r="B341" s="39"/>
      <c r="C341" s="39"/>
      <c r="D341" s="39"/>
      <c r="E341" s="39"/>
      <c r="F341" s="39"/>
      <c r="G341" s="40"/>
      <c r="H341" s="40"/>
      <c r="I341" s="40"/>
      <c r="J341" s="41" t="str">
        <f aca="false">IF(OR($B341="",$H341=""),"",IF($H341&gt;DateRef,0,YEARFRAC($H341,DateRef,1)))</f>
        <v/>
      </c>
      <c r="K341" s="42" t="str">
        <f aca="false">IF(OR($B341="",$H341=""),"",IF(EDATE($H341,12)&lt;=DateRef,"Plus d'un an","Moins d'un an"))</f>
        <v/>
      </c>
      <c r="L341" s="40"/>
      <c r="M341" s="43" t="str">
        <f aca="false">IF(OR($B341="",$A341=""),"",IF(SUMPRODUCT(MAX((Journal!$A$6:$A$1005=$A341)*Journal!$C$6:$C$1005))=0,"",SUMPRODUCT(MAX((Journal!$A$6:$A$1005=$A341)*Journal!$C$6:$C$1005))))</f>
        <v/>
      </c>
      <c r="N341" s="43" t="str">
        <f aca="false">IF($B341="","",IF(MAX($L341,$M341)=0,"",MAX($L341,$M341)))</f>
        <v/>
      </c>
      <c r="O341" s="44" t="str">
        <f aca="false">IF(OR($B341="",$H341=""),"",IF($N341="",IF(EDATE($H341,DelaiPremierEPP)&gt;DateRef,"1er EPP (1re année)","Aucun entretien renseigné"),IF(AND(ReglesTransitoires="Oui",EDATE($N341,AnciennePeriodiciteEP*12)&lt;DateVigueur),"Retard antérieur à la réforme","Périodicité "&amp;PeriodiciteEPP&amp;" ans")))</f>
        <v/>
      </c>
      <c r="P341" s="43" t="str">
        <f aca="false">IF(OR($B341="",$H341=""),"",IF($N341="",EDATE($H341,DelaiPremierEPP),IF(AND(ReglesTransitoires="Oui",EDATE($N341,AnciennePeriodiciteEP*12)&lt;DateVigueur),EDATE($N341,AnciennePeriodiciteEP*12),EDATE($N341,PeriodiciteEPP*12))))</f>
        <v/>
      </c>
      <c r="Q341" s="40"/>
      <c r="R341" s="45" t="str">
        <f aca="false">IF(OR($P341="",AND($I341&lt;&gt;"",$I341&lt;=DateRef)),"",$P341-DateRef)</f>
        <v/>
      </c>
      <c r="S341" s="42" t="str">
        <f aca="false">IF($B341="","",IF(AND($I341&lt;&gt;"",$I341&lt;=DateRef),"Sorti",IF($H341="","À compléter",IF(AND($Q341&lt;&gt;"",$Q341&gt;=DateRef,$Q341&lt;=$P341),"Planifié",IF($R341&lt;0,"En retard",IF($R341&lt;=SeuilAlerteEPP,"À planifier","À jour"))))))</f>
        <v/>
      </c>
      <c r="T341" s="46" t="str">
        <f aca="false">IF(OR($B341="",$S341="Sorti"),"",MID(IF($H341=""," | Date d'embauche manquante","")&amp;IF(AND($K341="Plus d'un an",$N341="")," | Précédent entretien à renseigner (ancienneté &gt; 1 an)","")&amp;IF($O341="Retard antérieur à la réforme"," | Ancien délai de 2 ans expiré avant la réforme","")&amp;IF(AND($N341&lt;&gt;"",$H341&lt;&gt;"",$N341&lt;$H341)," | Entretien antérieur à l'embauche ?","")&amp;IF(AND($N341&lt;&gt;"",$N341&gt;DateRef)," | Entretien daté dans le futur ?","")&amp;IF(AND($Q341&lt;&gt;"",$P341&lt;&gt;"",$Q341&gt;$P341)," | Date prévue après l'échéance","")&amp;IF(AND($Q341&lt;&gt;"",$Q341&lt;DateRef,OR($N341="",$N341&lt;$Q341))," | Entretien prévu passé : le consigner au Journal","")&amp;IF(AND($G341&lt;&gt;"",$X341="",YEAR(DateRef)-YEAR($G341)&gt;=AgeMiCarriere-1,YEAR(DateRef)-YEAR($G341)&lt;=AgeMiCarriere+1)," | Visite de mi-carrière à vérifier",""),4,1000))</f>
        <v/>
      </c>
      <c r="U341" s="39"/>
      <c r="V341" s="40"/>
      <c r="W341" s="42" t="str">
        <f aca="false">IF(OR($B341="",$V341=""),"",IF(AND($I341&lt;&gt;"",$I341&lt;=DateRef),"",IF(AND($N341&lt;&gt;"",$N341&gt;=$V341),"Réalisé",IF(AND($N341&lt;&gt;"",$N341&gt;=EDATE($V341,-FenetreRetour)),"Dispensé (EPP récent)",IF($V341&gt;DateRef,"À prévoir à la reprise","À proposer (reprise passée)")))))</f>
        <v/>
      </c>
      <c r="X341" s="40"/>
      <c r="Y341" s="43" t="str">
        <f aca="false">IF(OR($B341="",$X341=""),"",EDATE($X341,DelaiMiCarriere))</f>
        <v/>
      </c>
      <c r="Z341" s="42" t="str">
        <f aca="false">IF(OR($B341="",$X341=""),"",IF(AND($I341&lt;&gt;"",$I341&lt;=DateRef),"",IF(AND($N341&lt;&gt;"",$N341&gt;=$X341),"Réalisé",IF($Y341&lt;DateRef,"En retard","À planifier"))))</f>
        <v/>
      </c>
      <c r="AA341" s="47" t="str">
        <f aca="false">IF(OR($B341="",$G341=""),"",IF($G341&gt;DateRef,"",DATEDIF($G341,DateRef,"y")))</f>
        <v/>
      </c>
      <c r="AB341" s="43" t="str">
        <f aca="false">IF(OR($B341="",$G341=""),"",EDATE($G341,AgeFinCarriere*12))</f>
        <v/>
      </c>
      <c r="AC341" s="42" t="str">
        <f aca="false">IF(OR($B341="",$G341="",$H341=""),"",IF(AND($I341&lt;&gt;"",$I341&lt;=DateRef),"",IF($AB341&lt;DateVigueur,"Non concerné",IF(AND($N341&lt;&gt;"",$N341&gt;=MAX(EDATE($AB341,-FenetreFinCarriere*12),DateVigueur),$N341&lt;=$AB341),"Réalisé",IF(DateRef&gt;$AB341,"Non réalisé",IF(AND($Q341&lt;&gt;"",$Q341&gt;=EDATE($AB341,-FenetreFinCarriere*12),$Q341&lt;=$AB341),"Planifié dans la fenêtre",IF(AND(MAX($P341,DateRef)&gt;=EDATE($AB341,-FenetreFinCarriere*12),MAX($P341,DateRef)&lt;=$AB341),"Prochain EPP dans la fenêtre",IF(MAX($P341,DateRef)&gt;$AB341,"À programmer avant 60 ans",""))))))))</f>
        <v/>
      </c>
      <c r="AD341" s="40"/>
      <c r="AE341" s="43" t="str">
        <f aca="false">IF(OR($B341="",$H341="",AND($I341&lt;&gt;"",$I341&lt;=DateRef)),"",MAX($H341,$AD341,IF($A341="",0,SUMPRODUCT(MAX((Journal!$A$6:$A$1005=$A341)*((Journal!$D$6:$D$1005=TypeEDL)+(Journal!$D$6:$D$1005=TypeBilan6))*Journal!$C$6:$C$1005)))))</f>
        <v/>
      </c>
      <c r="AF341" s="43" t="str">
        <f aca="false">IF($AE341="","",IF(AND(ReglesTransitoires="Oui",EDATE($AE341,AnciennePeriodiciteEDL*12)&lt;DateVigueur),EDATE($AE341,AnciennePeriodiciteEDL*12),EDATE($AE341,PeriodiciteEDL*12)))</f>
        <v/>
      </c>
      <c r="AG341" s="42" t="str">
        <f aca="false">IF($AF341="","",IF(AND($I341&lt;&gt;"",$I341&lt;=DateRef),"",IF($AF341&lt;DateRef,"En retard",IF($AF341-DateRef&lt;=SeuilAlerteEDL,"À prévoir","À jour"))))</f>
        <v/>
      </c>
      <c r="AH341" s="39"/>
      <c r="AI341" s="39"/>
      <c r="AJ341" s="42" t="str">
        <f aca="false">IF(OR($B341="",$H341=""),"",IF(AND($I341&lt;&gt;"",$I341&lt;=DateRef),"",IF(Effectif&lt;SeuilEffectif,"Non concerné (&lt; "&amp;SeuilEffectif&amp;" salariés)",IF($AH341="Oui","Pas de risque",IF(AND(OR($AI341="Non",$S341="En retard"),$AH341="Non"),"Risque abondement",IF(OR($AI341="Non",$S341="En retard"),"À vérifier (formation ?)",IF($AI341="Oui","Pas de risque","À compléter")))))))</f>
        <v/>
      </c>
      <c r="AK341" s="39"/>
    </row>
    <row r="342" customFormat="false" ht="15" hidden="false" customHeight="false" outlineLevel="0" collapsed="false">
      <c r="A342" s="39"/>
      <c r="B342" s="39"/>
      <c r="C342" s="39"/>
      <c r="D342" s="39"/>
      <c r="E342" s="39"/>
      <c r="F342" s="39"/>
      <c r="G342" s="40"/>
      <c r="H342" s="40"/>
      <c r="I342" s="40"/>
      <c r="J342" s="41" t="str">
        <f aca="false">IF(OR($B342="",$H342=""),"",IF($H342&gt;DateRef,0,YEARFRAC($H342,DateRef,1)))</f>
        <v/>
      </c>
      <c r="K342" s="42" t="str">
        <f aca="false">IF(OR($B342="",$H342=""),"",IF(EDATE($H342,12)&lt;=DateRef,"Plus d'un an","Moins d'un an"))</f>
        <v/>
      </c>
      <c r="L342" s="40"/>
      <c r="M342" s="43" t="str">
        <f aca="false">IF(OR($B342="",$A342=""),"",IF(SUMPRODUCT(MAX((Journal!$A$6:$A$1005=$A342)*Journal!$C$6:$C$1005))=0,"",SUMPRODUCT(MAX((Journal!$A$6:$A$1005=$A342)*Journal!$C$6:$C$1005))))</f>
        <v/>
      </c>
      <c r="N342" s="43" t="str">
        <f aca="false">IF($B342="","",IF(MAX($L342,$M342)=0,"",MAX($L342,$M342)))</f>
        <v/>
      </c>
      <c r="O342" s="44" t="str">
        <f aca="false">IF(OR($B342="",$H342=""),"",IF($N342="",IF(EDATE($H342,DelaiPremierEPP)&gt;DateRef,"1er EPP (1re année)","Aucun entretien renseigné"),IF(AND(ReglesTransitoires="Oui",EDATE($N342,AnciennePeriodiciteEP*12)&lt;DateVigueur),"Retard antérieur à la réforme","Périodicité "&amp;PeriodiciteEPP&amp;" ans")))</f>
        <v/>
      </c>
      <c r="P342" s="43" t="str">
        <f aca="false">IF(OR($B342="",$H342=""),"",IF($N342="",EDATE($H342,DelaiPremierEPP),IF(AND(ReglesTransitoires="Oui",EDATE($N342,AnciennePeriodiciteEP*12)&lt;DateVigueur),EDATE($N342,AnciennePeriodiciteEP*12),EDATE($N342,PeriodiciteEPP*12))))</f>
        <v/>
      </c>
      <c r="Q342" s="40"/>
      <c r="R342" s="45" t="str">
        <f aca="false">IF(OR($P342="",AND($I342&lt;&gt;"",$I342&lt;=DateRef)),"",$P342-DateRef)</f>
        <v/>
      </c>
      <c r="S342" s="42" t="str">
        <f aca="false">IF($B342="","",IF(AND($I342&lt;&gt;"",$I342&lt;=DateRef),"Sorti",IF($H342="","À compléter",IF(AND($Q342&lt;&gt;"",$Q342&gt;=DateRef,$Q342&lt;=$P342),"Planifié",IF($R342&lt;0,"En retard",IF($R342&lt;=SeuilAlerteEPP,"À planifier","À jour"))))))</f>
        <v/>
      </c>
      <c r="T342" s="46" t="str">
        <f aca="false">IF(OR($B342="",$S342="Sorti"),"",MID(IF($H342=""," | Date d'embauche manquante","")&amp;IF(AND($K342="Plus d'un an",$N342="")," | Précédent entretien à renseigner (ancienneté &gt; 1 an)","")&amp;IF($O342="Retard antérieur à la réforme"," | Ancien délai de 2 ans expiré avant la réforme","")&amp;IF(AND($N342&lt;&gt;"",$H342&lt;&gt;"",$N342&lt;$H342)," | Entretien antérieur à l'embauche ?","")&amp;IF(AND($N342&lt;&gt;"",$N342&gt;DateRef)," | Entretien daté dans le futur ?","")&amp;IF(AND($Q342&lt;&gt;"",$P342&lt;&gt;"",$Q342&gt;$P342)," | Date prévue après l'échéance","")&amp;IF(AND($Q342&lt;&gt;"",$Q342&lt;DateRef,OR($N342="",$N342&lt;$Q342))," | Entretien prévu passé : le consigner au Journal","")&amp;IF(AND($G342&lt;&gt;"",$X342="",YEAR(DateRef)-YEAR($G342)&gt;=AgeMiCarriere-1,YEAR(DateRef)-YEAR($G342)&lt;=AgeMiCarriere+1)," | Visite de mi-carrière à vérifier",""),4,1000))</f>
        <v/>
      </c>
      <c r="U342" s="39"/>
      <c r="V342" s="40"/>
      <c r="W342" s="42" t="str">
        <f aca="false">IF(OR($B342="",$V342=""),"",IF(AND($I342&lt;&gt;"",$I342&lt;=DateRef),"",IF(AND($N342&lt;&gt;"",$N342&gt;=$V342),"Réalisé",IF(AND($N342&lt;&gt;"",$N342&gt;=EDATE($V342,-FenetreRetour)),"Dispensé (EPP récent)",IF($V342&gt;DateRef,"À prévoir à la reprise","À proposer (reprise passée)")))))</f>
        <v/>
      </c>
      <c r="X342" s="40"/>
      <c r="Y342" s="43" t="str">
        <f aca="false">IF(OR($B342="",$X342=""),"",EDATE($X342,DelaiMiCarriere))</f>
        <v/>
      </c>
      <c r="Z342" s="42" t="str">
        <f aca="false">IF(OR($B342="",$X342=""),"",IF(AND($I342&lt;&gt;"",$I342&lt;=DateRef),"",IF(AND($N342&lt;&gt;"",$N342&gt;=$X342),"Réalisé",IF($Y342&lt;DateRef,"En retard","À planifier"))))</f>
        <v/>
      </c>
      <c r="AA342" s="47" t="str">
        <f aca="false">IF(OR($B342="",$G342=""),"",IF($G342&gt;DateRef,"",DATEDIF($G342,DateRef,"y")))</f>
        <v/>
      </c>
      <c r="AB342" s="43" t="str">
        <f aca="false">IF(OR($B342="",$G342=""),"",EDATE($G342,AgeFinCarriere*12))</f>
        <v/>
      </c>
      <c r="AC342" s="42" t="str">
        <f aca="false">IF(OR($B342="",$G342="",$H342=""),"",IF(AND($I342&lt;&gt;"",$I342&lt;=DateRef),"",IF($AB342&lt;DateVigueur,"Non concerné",IF(AND($N342&lt;&gt;"",$N342&gt;=MAX(EDATE($AB342,-FenetreFinCarriere*12),DateVigueur),$N342&lt;=$AB342),"Réalisé",IF(DateRef&gt;$AB342,"Non réalisé",IF(AND($Q342&lt;&gt;"",$Q342&gt;=EDATE($AB342,-FenetreFinCarriere*12),$Q342&lt;=$AB342),"Planifié dans la fenêtre",IF(AND(MAX($P342,DateRef)&gt;=EDATE($AB342,-FenetreFinCarriere*12),MAX($P342,DateRef)&lt;=$AB342),"Prochain EPP dans la fenêtre",IF(MAX($P342,DateRef)&gt;$AB342,"À programmer avant 60 ans",""))))))))</f>
        <v/>
      </c>
      <c r="AD342" s="40"/>
      <c r="AE342" s="43" t="str">
        <f aca="false">IF(OR($B342="",$H342="",AND($I342&lt;&gt;"",$I342&lt;=DateRef)),"",MAX($H342,$AD342,IF($A342="",0,SUMPRODUCT(MAX((Journal!$A$6:$A$1005=$A342)*((Journal!$D$6:$D$1005=TypeEDL)+(Journal!$D$6:$D$1005=TypeBilan6))*Journal!$C$6:$C$1005)))))</f>
        <v/>
      </c>
      <c r="AF342" s="43" t="str">
        <f aca="false">IF($AE342="","",IF(AND(ReglesTransitoires="Oui",EDATE($AE342,AnciennePeriodiciteEDL*12)&lt;DateVigueur),EDATE($AE342,AnciennePeriodiciteEDL*12),EDATE($AE342,PeriodiciteEDL*12)))</f>
        <v/>
      </c>
      <c r="AG342" s="42" t="str">
        <f aca="false">IF($AF342="","",IF(AND($I342&lt;&gt;"",$I342&lt;=DateRef),"",IF($AF342&lt;DateRef,"En retard",IF($AF342-DateRef&lt;=SeuilAlerteEDL,"À prévoir","À jour"))))</f>
        <v/>
      </c>
      <c r="AH342" s="39"/>
      <c r="AI342" s="39"/>
      <c r="AJ342" s="42" t="str">
        <f aca="false">IF(OR($B342="",$H342=""),"",IF(AND($I342&lt;&gt;"",$I342&lt;=DateRef),"",IF(Effectif&lt;SeuilEffectif,"Non concerné (&lt; "&amp;SeuilEffectif&amp;" salariés)",IF($AH342="Oui","Pas de risque",IF(AND(OR($AI342="Non",$S342="En retard"),$AH342="Non"),"Risque abondement",IF(OR($AI342="Non",$S342="En retard"),"À vérifier (formation ?)",IF($AI342="Oui","Pas de risque","À compléter")))))))</f>
        <v/>
      </c>
      <c r="AK342" s="39"/>
    </row>
    <row r="343" customFormat="false" ht="15" hidden="false" customHeight="false" outlineLevel="0" collapsed="false">
      <c r="A343" s="39"/>
      <c r="B343" s="39"/>
      <c r="C343" s="39"/>
      <c r="D343" s="39"/>
      <c r="E343" s="39"/>
      <c r="F343" s="39"/>
      <c r="G343" s="40"/>
      <c r="H343" s="40"/>
      <c r="I343" s="40"/>
      <c r="J343" s="41" t="str">
        <f aca="false">IF(OR($B343="",$H343=""),"",IF($H343&gt;DateRef,0,YEARFRAC($H343,DateRef,1)))</f>
        <v/>
      </c>
      <c r="K343" s="42" t="str">
        <f aca="false">IF(OR($B343="",$H343=""),"",IF(EDATE($H343,12)&lt;=DateRef,"Plus d'un an","Moins d'un an"))</f>
        <v/>
      </c>
      <c r="L343" s="40"/>
      <c r="M343" s="43" t="str">
        <f aca="false">IF(OR($B343="",$A343=""),"",IF(SUMPRODUCT(MAX((Journal!$A$6:$A$1005=$A343)*Journal!$C$6:$C$1005))=0,"",SUMPRODUCT(MAX((Journal!$A$6:$A$1005=$A343)*Journal!$C$6:$C$1005))))</f>
        <v/>
      </c>
      <c r="N343" s="43" t="str">
        <f aca="false">IF($B343="","",IF(MAX($L343,$M343)=0,"",MAX($L343,$M343)))</f>
        <v/>
      </c>
      <c r="O343" s="44" t="str">
        <f aca="false">IF(OR($B343="",$H343=""),"",IF($N343="",IF(EDATE($H343,DelaiPremierEPP)&gt;DateRef,"1er EPP (1re année)","Aucun entretien renseigné"),IF(AND(ReglesTransitoires="Oui",EDATE($N343,AnciennePeriodiciteEP*12)&lt;DateVigueur),"Retard antérieur à la réforme","Périodicité "&amp;PeriodiciteEPP&amp;" ans")))</f>
        <v/>
      </c>
      <c r="P343" s="43" t="str">
        <f aca="false">IF(OR($B343="",$H343=""),"",IF($N343="",EDATE($H343,DelaiPremierEPP),IF(AND(ReglesTransitoires="Oui",EDATE($N343,AnciennePeriodiciteEP*12)&lt;DateVigueur),EDATE($N343,AnciennePeriodiciteEP*12),EDATE($N343,PeriodiciteEPP*12))))</f>
        <v/>
      </c>
      <c r="Q343" s="40"/>
      <c r="R343" s="45" t="str">
        <f aca="false">IF(OR($P343="",AND($I343&lt;&gt;"",$I343&lt;=DateRef)),"",$P343-DateRef)</f>
        <v/>
      </c>
      <c r="S343" s="42" t="str">
        <f aca="false">IF($B343="","",IF(AND($I343&lt;&gt;"",$I343&lt;=DateRef),"Sorti",IF($H343="","À compléter",IF(AND($Q343&lt;&gt;"",$Q343&gt;=DateRef,$Q343&lt;=$P343),"Planifié",IF($R343&lt;0,"En retard",IF($R343&lt;=SeuilAlerteEPP,"À planifier","À jour"))))))</f>
        <v/>
      </c>
      <c r="T343" s="46" t="str">
        <f aca="false">IF(OR($B343="",$S343="Sorti"),"",MID(IF($H343=""," | Date d'embauche manquante","")&amp;IF(AND($K343="Plus d'un an",$N343="")," | Précédent entretien à renseigner (ancienneté &gt; 1 an)","")&amp;IF($O343="Retard antérieur à la réforme"," | Ancien délai de 2 ans expiré avant la réforme","")&amp;IF(AND($N343&lt;&gt;"",$H343&lt;&gt;"",$N343&lt;$H343)," | Entretien antérieur à l'embauche ?","")&amp;IF(AND($N343&lt;&gt;"",$N343&gt;DateRef)," | Entretien daté dans le futur ?","")&amp;IF(AND($Q343&lt;&gt;"",$P343&lt;&gt;"",$Q343&gt;$P343)," | Date prévue après l'échéance","")&amp;IF(AND($Q343&lt;&gt;"",$Q343&lt;DateRef,OR($N343="",$N343&lt;$Q343))," | Entretien prévu passé : le consigner au Journal","")&amp;IF(AND($G343&lt;&gt;"",$X343="",YEAR(DateRef)-YEAR($G343)&gt;=AgeMiCarriere-1,YEAR(DateRef)-YEAR($G343)&lt;=AgeMiCarriere+1)," | Visite de mi-carrière à vérifier",""),4,1000))</f>
        <v/>
      </c>
      <c r="U343" s="39"/>
      <c r="V343" s="40"/>
      <c r="W343" s="42" t="str">
        <f aca="false">IF(OR($B343="",$V343=""),"",IF(AND($I343&lt;&gt;"",$I343&lt;=DateRef),"",IF(AND($N343&lt;&gt;"",$N343&gt;=$V343),"Réalisé",IF(AND($N343&lt;&gt;"",$N343&gt;=EDATE($V343,-FenetreRetour)),"Dispensé (EPP récent)",IF($V343&gt;DateRef,"À prévoir à la reprise","À proposer (reprise passée)")))))</f>
        <v/>
      </c>
      <c r="X343" s="40"/>
      <c r="Y343" s="43" t="str">
        <f aca="false">IF(OR($B343="",$X343=""),"",EDATE($X343,DelaiMiCarriere))</f>
        <v/>
      </c>
      <c r="Z343" s="42" t="str">
        <f aca="false">IF(OR($B343="",$X343=""),"",IF(AND($I343&lt;&gt;"",$I343&lt;=DateRef),"",IF(AND($N343&lt;&gt;"",$N343&gt;=$X343),"Réalisé",IF($Y343&lt;DateRef,"En retard","À planifier"))))</f>
        <v/>
      </c>
      <c r="AA343" s="47" t="str">
        <f aca="false">IF(OR($B343="",$G343=""),"",IF($G343&gt;DateRef,"",DATEDIF($G343,DateRef,"y")))</f>
        <v/>
      </c>
      <c r="AB343" s="43" t="str">
        <f aca="false">IF(OR($B343="",$G343=""),"",EDATE($G343,AgeFinCarriere*12))</f>
        <v/>
      </c>
      <c r="AC343" s="42" t="str">
        <f aca="false">IF(OR($B343="",$G343="",$H343=""),"",IF(AND($I343&lt;&gt;"",$I343&lt;=DateRef),"",IF($AB343&lt;DateVigueur,"Non concerné",IF(AND($N343&lt;&gt;"",$N343&gt;=MAX(EDATE($AB343,-FenetreFinCarriere*12),DateVigueur),$N343&lt;=$AB343),"Réalisé",IF(DateRef&gt;$AB343,"Non réalisé",IF(AND($Q343&lt;&gt;"",$Q343&gt;=EDATE($AB343,-FenetreFinCarriere*12),$Q343&lt;=$AB343),"Planifié dans la fenêtre",IF(AND(MAX($P343,DateRef)&gt;=EDATE($AB343,-FenetreFinCarriere*12),MAX($P343,DateRef)&lt;=$AB343),"Prochain EPP dans la fenêtre",IF(MAX($P343,DateRef)&gt;$AB343,"À programmer avant 60 ans",""))))))))</f>
        <v/>
      </c>
      <c r="AD343" s="40"/>
      <c r="AE343" s="43" t="str">
        <f aca="false">IF(OR($B343="",$H343="",AND($I343&lt;&gt;"",$I343&lt;=DateRef)),"",MAX($H343,$AD343,IF($A343="",0,SUMPRODUCT(MAX((Journal!$A$6:$A$1005=$A343)*((Journal!$D$6:$D$1005=TypeEDL)+(Journal!$D$6:$D$1005=TypeBilan6))*Journal!$C$6:$C$1005)))))</f>
        <v/>
      </c>
      <c r="AF343" s="43" t="str">
        <f aca="false">IF($AE343="","",IF(AND(ReglesTransitoires="Oui",EDATE($AE343,AnciennePeriodiciteEDL*12)&lt;DateVigueur),EDATE($AE343,AnciennePeriodiciteEDL*12),EDATE($AE343,PeriodiciteEDL*12)))</f>
        <v/>
      </c>
      <c r="AG343" s="42" t="str">
        <f aca="false">IF($AF343="","",IF(AND($I343&lt;&gt;"",$I343&lt;=DateRef),"",IF($AF343&lt;DateRef,"En retard",IF($AF343-DateRef&lt;=SeuilAlerteEDL,"À prévoir","À jour"))))</f>
        <v/>
      </c>
      <c r="AH343" s="39"/>
      <c r="AI343" s="39"/>
      <c r="AJ343" s="42" t="str">
        <f aca="false">IF(OR($B343="",$H343=""),"",IF(AND($I343&lt;&gt;"",$I343&lt;=DateRef),"",IF(Effectif&lt;SeuilEffectif,"Non concerné (&lt; "&amp;SeuilEffectif&amp;" salariés)",IF($AH343="Oui","Pas de risque",IF(AND(OR($AI343="Non",$S343="En retard"),$AH343="Non"),"Risque abondement",IF(OR($AI343="Non",$S343="En retard"),"À vérifier (formation ?)",IF($AI343="Oui","Pas de risque","À compléter")))))))</f>
        <v/>
      </c>
      <c r="AK343" s="39"/>
    </row>
    <row r="344" customFormat="false" ht="15" hidden="false" customHeight="false" outlineLevel="0" collapsed="false">
      <c r="A344" s="39"/>
      <c r="B344" s="39"/>
      <c r="C344" s="39"/>
      <c r="D344" s="39"/>
      <c r="E344" s="39"/>
      <c r="F344" s="39"/>
      <c r="G344" s="40"/>
      <c r="H344" s="40"/>
      <c r="I344" s="40"/>
      <c r="J344" s="41" t="str">
        <f aca="false">IF(OR($B344="",$H344=""),"",IF($H344&gt;DateRef,0,YEARFRAC($H344,DateRef,1)))</f>
        <v/>
      </c>
      <c r="K344" s="42" t="str">
        <f aca="false">IF(OR($B344="",$H344=""),"",IF(EDATE($H344,12)&lt;=DateRef,"Plus d'un an","Moins d'un an"))</f>
        <v/>
      </c>
      <c r="L344" s="40"/>
      <c r="M344" s="43" t="str">
        <f aca="false">IF(OR($B344="",$A344=""),"",IF(SUMPRODUCT(MAX((Journal!$A$6:$A$1005=$A344)*Journal!$C$6:$C$1005))=0,"",SUMPRODUCT(MAX((Journal!$A$6:$A$1005=$A344)*Journal!$C$6:$C$1005))))</f>
        <v/>
      </c>
      <c r="N344" s="43" t="str">
        <f aca="false">IF($B344="","",IF(MAX($L344,$M344)=0,"",MAX($L344,$M344)))</f>
        <v/>
      </c>
      <c r="O344" s="44" t="str">
        <f aca="false">IF(OR($B344="",$H344=""),"",IF($N344="",IF(EDATE($H344,DelaiPremierEPP)&gt;DateRef,"1er EPP (1re année)","Aucun entretien renseigné"),IF(AND(ReglesTransitoires="Oui",EDATE($N344,AnciennePeriodiciteEP*12)&lt;DateVigueur),"Retard antérieur à la réforme","Périodicité "&amp;PeriodiciteEPP&amp;" ans")))</f>
        <v/>
      </c>
      <c r="P344" s="43" t="str">
        <f aca="false">IF(OR($B344="",$H344=""),"",IF($N344="",EDATE($H344,DelaiPremierEPP),IF(AND(ReglesTransitoires="Oui",EDATE($N344,AnciennePeriodiciteEP*12)&lt;DateVigueur),EDATE($N344,AnciennePeriodiciteEP*12),EDATE($N344,PeriodiciteEPP*12))))</f>
        <v/>
      </c>
      <c r="Q344" s="40"/>
      <c r="R344" s="45" t="str">
        <f aca="false">IF(OR($P344="",AND($I344&lt;&gt;"",$I344&lt;=DateRef)),"",$P344-DateRef)</f>
        <v/>
      </c>
      <c r="S344" s="42" t="str">
        <f aca="false">IF($B344="","",IF(AND($I344&lt;&gt;"",$I344&lt;=DateRef),"Sorti",IF($H344="","À compléter",IF(AND($Q344&lt;&gt;"",$Q344&gt;=DateRef,$Q344&lt;=$P344),"Planifié",IF($R344&lt;0,"En retard",IF($R344&lt;=SeuilAlerteEPP,"À planifier","À jour"))))))</f>
        <v/>
      </c>
      <c r="T344" s="46" t="str">
        <f aca="false">IF(OR($B344="",$S344="Sorti"),"",MID(IF($H344=""," | Date d'embauche manquante","")&amp;IF(AND($K344="Plus d'un an",$N344="")," | Précédent entretien à renseigner (ancienneté &gt; 1 an)","")&amp;IF($O344="Retard antérieur à la réforme"," | Ancien délai de 2 ans expiré avant la réforme","")&amp;IF(AND($N344&lt;&gt;"",$H344&lt;&gt;"",$N344&lt;$H344)," | Entretien antérieur à l'embauche ?","")&amp;IF(AND($N344&lt;&gt;"",$N344&gt;DateRef)," | Entretien daté dans le futur ?","")&amp;IF(AND($Q344&lt;&gt;"",$P344&lt;&gt;"",$Q344&gt;$P344)," | Date prévue après l'échéance","")&amp;IF(AND($Q344&lt;&gt;"",$Q344&lt;DateRef,OR($N344="",$N344&lt;$Q344))," | Entretien prévu passé : le consigner au Journal","")&amp;IF(AND($G344&lt;&gt;"",$X344="",YEAR(DateRef)-YEAR($G344)&gt;=AgeMiCarriere-1,YEAR(DateRef)-YEAR($G344)&lt;=AgeMiCarriere+1)," | Visite de mi-carrière à vérifier",""),4,1000))</f>
        <v/>
      </c>
      <c r="U344" s="39"/>
      <c r="V344" s="40"/>
      <c r="W344" s="42" t="str">
        <f aca="false">IF(OR($B344="",$V344=""),"",IF(AND($I344&lt;&gt;"",$I344&lt;=DateRef),"",IF(AND($N344&lt;&gt;"",$N344&gt;=$V344),"Réalisé",IF(AND($N344&lt;&gt;"",$N344&gt;=EDATE($V344,-FenetreRetour)),"Dispensé (EPP récent)",IF($V344&gt;DateRef,"À prévoir à la reprise","À proposer (reprise passée)")))))</f>
        <v/>
      </c>
      <c r="X344" s="40"/>
      <c r="Y344" s="43" t="str">
        <f aca="false">IF(OR($B344="",$X344=""),"",EDATE($X344,DelaiMiCarriere))</f>
        <v/>
      </c>
      <c r="Z344" s="42" t="str">
        <f aca="false">IF(OR($B344="",$X344=""),"",IF(AND($I344&lt;&gt;"",$I344&lt;=DateRef),"",IF(AND($N344&lt;&gt;"",$N344&gt;=$X344),"Réalisé",IF($Y344&lt;DateRef,"En retard","À planifier"))))</f>
        <v/>
      </c>
      <c r="AA344" s="47" t="str">
        <f aca="false">IF(OR($B344="",$G344=""),"",IF($G344&gt;DateRef,"",DATEDIF($G344,DateRef,"y")))</f>
        <v/>
      </c>
      <c r="AB344" s="43" t="str">
        <f aca="false">IF(OR($B344="",$G344=""),"",EDATE($G344,AgeFinCarriere*12))</f>
        <v/>
      </c>
      <c r="AC344" s="42" t="str">
        <f aca="false">IF(OR($B344="",$G344="",$H344=""),"",IF(AND($I344&lt;&gt;"",$I344&lt;=DateRef),"",IF($AB344&lt;DateVigueur,"Non concerné",IF(AND($N344&lt;&gt;"",$N344&gt;=MAX(EDATE($AB344,-FenetreFinCarriere*12),DateVigueur),$N344&lt;=$AB344),"Réalisé",IF(DateRef&gt;$AB344,"Non réalisé",IF(AND($Q344&lt;&gt;"",$Q344&gt;=EDATE($AB344,-FenetreFinCarriere*12),$Q344&lt;=$AB344),"Planifié dans la fenêtre",IF(AND(MAX($P344,DateRef)&gt;=EDATE($AB344,-FenetreFinCarriere*12),MAX($P344,DateRef)&lt;=$AB344),"Prochain EPP dans la fenêtre",IF(MAX($P344,DateRef)&gt;$AB344,"À programmer avant 60 ans",""))))))))</f>
        <v/>
      </c>
      <c r="AD344" s="40"/>
      <c r="AE344" s="43" t="str">
        <f aca="false">IF(OR($B344="",$H344="",AND($I344&lt;&gt;"",$I344&lt;=DateRef)),"",MAX($H344,$AD344,IF($A344="",0,SUMPRODUCT(MAX((Journal!$A$6:$A$1005=$A344)*((Journal!$D$6:$D$1005=TypeEDL)+(Journal!$D$6:$D$1005=TypeBilan6))*Journal!$C$6:$C$1005)))))</f>
        <v/>
      </c>
      <c r="AF344" s="43" t="str">
        <f aca="false">IF($AE344="","",IF(AND(ReglesTransitoires="Oui",EDATE($AE344,AnciennePeriodiciteEDL*12)&lt;DateVigueur),EDATE($AE344,AnciennePeriodiciteEDL*12),EDATE($AE344,PeriodiciteEDL*12)))</f>
        <v/>
      </c>
      <c r="AG344" s="42" t="str">
        <f aca="false">IF($AF344="","",IF(AND($I344&lt;&gt;"",$I344&lt;=DateRef),"",IF($AF344&lt;DateRef,"En retard",IF($AF344-DateRef&lt;=SeuilAlerteEDL,"À prévoir","À jour"))))</f>
        <v/>
      </c>
      <c r="AH344" s="39"/>
      <c r="AI344" s="39"/>
      <c r="AJ344" s="42" t="str">
        <f aca="false">IF(OR($B344="",$H344=""),"",IF(AND($I344&lt;&gt;"",$I344&lt;=DateRef),"",IF(Effectif&lt;SeuilEffectif,"Non concerné (&lt; "&amp;SeuilEffectif&amp;" salariés)",IF($AH344="Oui","Pas de risque",IF(AND(OR($AI344="Non",$S344="En retard"),$AH344="Non"),"Risque abondement",IF(OR($AI344="Non",$S344="En retard"),"À vérifier (formation ?)",IF($AI344="Oui","Pas de risque","À compléter")))))))</f>
        <v/>
      </c>
      <c r="AK344" s="39"/>
    </row>
    <row r="345" customFormat="false" ht="15" hidden="false" customHeight="false" outlineLevel="0" collapsed="false">
      <c r="A345" s="39"/>
      <c r="B345" s="39"/>
      <c r="C345" s="39"/>
      <c r="D345" s="39"/>
      <c r="E345" s="39"/>
      <c r="F345" s="39"/>
      <c r="G345" s="40"/>
      <c r="H345" s="40"/>
      <c r="I345" s="40"/>
      <c r="J345" s="41" t="str">
        <f aca="false">IF(OR($B345="",$H345=""),"",IF($H345&gt;DateRef,0,YEARFRAC($H345,DateRef,1)))</f>
        <v/>
      </c>
      <c r="K345" s="42" t="str">
        <f aca="false">IF(OR($B345="",$H345=""),"",IF(EDATE($H345,12)&lt;=DateRef,"Plus d'un an","Moins d'un an"))</f>
        <v/>
      </c>
      <c r="L345" s="40"/>
      <c r="M345" s="43" t="str">
        <f aca="false">IF(OR($B345="",$A345=""),"",IF(SUMPRODUCT(MAX((Journal!$A$6:$A$1005=$A345)*Journal!$C$6:$C$1005))=0,"",SUMPRODUCT(MAX((Journal!$A$6:$A$1005=$A345)*Journal!$C$6:$C$1005))))</f>
        <v/>
      </c>
      <c r="N345" s="43" t="str">
        <f aca="false">IF($B345="","",IF(MAX($L345,$M345)=0,"",MAX($L345,$M345)))</f>
        <v/>
      </c>
      <c r="O345" s="44" t="str">
        <f aca="false">IF(OR($B345="",$H345=""),"",IF($N345="",IF(EDATE($H345,DelaiPremierEPP)&gt;DateRef,"1er EPP (1re année)","Aucun entretien renseigné"),IF(AND(ReglesTransitoires="Oui",EDATE($N345,AnciennePeriodiciteEP*12)&lt;DateVigueur),"Retard antérieur à la réforme","Périodicité "&amp;PeriodiciteEPP&amp;" ans")))</f>
        <v/>
      </c>
      <c r="P345" s="43" t="str">
        <f aca="false">IF(OR($B345="",$H345=""),"",IF($N345="",EDATE($H345,DelaiPremierEPP),IF(AND(ReglesTransitoires="Oui",EDATE($N345,AnciennePeriodiciteEP*12)&lt;DateVigueur),EDATE($N345,AnciennePeriodiciteEP*12),EDATE($N345,PeriodiciteEPP*12))))</f>
        <v/>
      </c>
      <c r="Q345" s="40"/>
      <c r="R345" s="45" t="str">
        <f aca="false">IF(OR($P345="",AND($I345&lt;&gt;"",$I345&lt;=DateRef)),"",$P345-DateRef)</f>
        <v/>
      </c>
      <c r="S345" s="42" t="str">
        <f aca="false">IF($B345="","",IF(AND($I345&lt;&gt;"",$I345&lt;=DateRef),"Sorti",IF($H345="","À compléter",IF(AND($Q345&lt;&gt;"",$Q345&gt;=DateRef,$Q345&lt;=$P345),"Planifié",IF($R345&lt;0,"En retard",IF($R345&lt;=SeuilAlerteEPP,"À planifier","À jour"))))))</f>
        <v/>
      </c>
      <c r="T345" s="46" t="str">
        <f aca="false">IF(OR($B345="",$S345="Sorti"),"",MID(IF($H345=""," | Date d'embauche manquante","")&amp;IF(AND($K345="Plus d'un an",$N345="")," | Précédent entretien à renseigner (ancienneté &gt; 1 an)","")&amp;IF($O345="Retard antérieur à la réforme"," | Ancien délai de 2 ans expiré avant la réforme","")&amp;IF(AND($N345&lt;&gt;"",$H345&lt;&gt;"",$N345&lt;$H345)," | Entretien antérieur à l'embauche ?","")&amp;IF(AND($N345&lt;&gt;"",$N345&gt;DateRef)," | Entretien daté dans le futur ?","")&amp;IF(AND($Q345&lt;&gt;"",$P345&lt;&gt;"",$Q345&gt;$P345)," | Date prévue après l'échéance","")&amp;IF(AND($Q345&lt;&gt;"",$Q345&lt;DateRef,OR($N345="",$N345&lt;$Q345))," | Entretien prévu passé : le consigner au Journal","")&amp;IF(AND($G345&lt;&gt;"",$X345="",YEAR(DateRef)-YEAR($G345)&gt;=AgeMiCarriere-1,YEAR(DateRef)-YEAR($G345)&lt;=AgeMiCarriere+1)," | Visite de mi-carrière à vérifier",""),4,1000))</f>
        <v/>
      </c>
      <c r="U345" s="39"/>
      <c r="V345" s="40"/>
      <c r="W345" s="42" t="str">
        <f aca="false">IF(OR($B345="",$V345=""),"",IF(AND($I345&lt;&gt;"",$I345&lt;=DateRef),"",IF(AND($N345&lt;&gt;"",$N345&gt;=$V345),"Réalisé",IF(AND($N345&lt;&gt;"",$N345&gt;=EDATE($V345,-FenetreRetour)),"Dispensé (EPP récent)",IF($V345&gt;DateRef,"À prévoir à la reprise","À proposer (reprise passée)")))))</f>
        <v/>
      </c>
      <c r="X345" s="40"/>
      <c r="Y345" s="43" t="str">
        <f aca="false">IF(OR($B345="",$X345=""),"",EDATE($X345,DelaiMiCarriere))</f>
        <v/>
      </c>
      <c r="Z345" s="42" t="str">
        <f aca="false">IF(OR($B345="",$X345=""),"",IF(AND($I345&lt;&gt;"",$I345&lt;=DateRef),"",IF(AND($N345&lt;&gt;"",$N345&gt;=$X345),"Réalisé",IF($Y345&lt;DateRef,"En retard","À planifier"))))</f>
        <v/>
      </c>
      <c r="AA345" s="47" t="str">
        <f aca="false">IF(OR($B345="",$G345=""),"",IF($G345&gt;DateRef,"",DATEDIF($G345,DateRef,"y")))</f>
        <v/>
      </c>
      <c r="AB345" s="43" t="str">
        <f aca="false">IF(OR($B345="",$G345=""),"",EDATE($G345,AgeFinCarriere*12))</f>
        <v/>
      </c>
      <c r="AC345" s="42" t="str">
        <f aca="false">IF(OR($B345="",$G345="",$H345=""),"",IF(AND($I345&lt;&gt;"",$I345&lt;=DateRef),"",IF($AB345&lt;DateVigueur,"Non concerné",IF(AND($N345&lt;&gt;"",$N345&gt;=MAX(EDATE($AB345,-FenetreFinCarriere*12),DateVigueur),$N345&lt;=$AB345),"Réalisé",IF(DateRef&gt;$AB345,"Non réalisé",IF(AND($Q345&lt;&gt;"",$Q345&gt;=EDATE($AB345,-FenetreFinCarriere*12),$Q345&lt;=$AB345),"Planifié dans la fenêtre",IF(AND(MAX($P345,DateRef)&gt;=EDATE($AB345,-FenetreFinCarriere*12),MAX($P345,DateRef)&lt;=$AB345),"Prochain EPP dans la fenêtre",IF(MAX($P345,DateRef)&gt;$AB345,"À programmer avant 60 ans",""))))))))</f>
        <v/>
      </c>
      <c r="AD345" s="40"/>
      <c r="AE345" s="43" t="str">
        <f aca="false">IF(OR($B345="",$H345="",AND($I345&lt;&gt;"",$I345&lt;=DateRef)),"",MAX($H345,$AD345,IF($A345="",0,SUMPRODUCT(MAX((Journal!$A$6:$A$1005=$A345)*((Journal!$D$6:$D$1005=TypeEDL)+(Journal!$D$6:$D$1005=TypeBilan6))*Journal!$C$6:$C$1005)))))</f>
        <v/>
      </c>
      <c r="AF345" s="43" t="str">
        <f aca="false">IF($AE345="","",IF(AND(ReglesTransitoires="Oui",EDATE($AE345,AnciennePeriodiciteEDL*12)&lt;DateVigueur),EDATE($AE345,AnciennePeriodiciteEDL*12),EDATE($AE345,PeriodiciteEDL*12)))</f>
        <v/>
      </c>
      <c r="AG345" s="42" t="str">
        <f aca="false">IF($AF345="","",IF(AND($I345&lt;&gt;"",$I345&lt;=DateRef),"",IF($AF345&lt;DateRef,"En retard",IF($AF345-DateRef&lt;=SeuilAlerteEDL,"À prévoir","À jour"))))</f>
        <v/>
      </c>
      <c r="AH345" s="39"/>
      <c r="AI345" s="39"/>
      <c r="AJ345" s="42" t="str">
        <f aca="false">IF(OR($B345="",$H345=""),"",IF(AND($I345&lt;&gt;"",$I345&lt;=DateRef),"",IF(Effectif&lt;SeuilEffectif,"Non concerné (&lt; "&amp;SeuilEffectif&amp;" salariés)",IF($AH345="Oui","Pas de risque",IF(AND(OR($AI345="Non",$S345="En retard"),$AH345="Non"),"Risque abondement",IF(OR($AI345="Non",$S345="En retard"),"À vérifier (formation ?)",IF($AI345="Oui","Pas de risque","À compléter")))))))</f>
        <v/>
      </c>
      <c r="AK345" s="39"/>
    </row>
    <row r="346" customFormat="false" ht="15" hidden="false" customHeight="false" outlineLevel="0" collapsed="false">
      <c r="A346" s="39"/>
      <c r="B346" s="39"/>
      <c r="C346" s="39"/>
      <c r="D346" s="39"/>
      <c r="E346" s="39"/>
      <c r="F346" s="39"/>
      <c r="G346" s="40"/>
      <c r="H346" s="40"/>
      <c r="I346" s="40"/>
      <c r="J346" s="41" t="str">
        <f aca="false">IF(OR($B346="",$H346=""),"",IF($H346&gt;DateRef,0,YEARFRAC($H346,DateRef,1)))</f>
        <v/>
      </c>
      <c r="K346" s="42" t="str">
        <f aca="false">IF(OR($B346="",$H346=""),"",IF(EDATE($H346,12)&lt;=DateRef,"Plus d'un an","Moins d'un an"))</f>
        <v/>
      </c>
      <c r="L346" s="40"/>
      <c r="M346" s="43" t="str">
        <f aca="false">IF(OR($B346="",$A346=""),"",IF(SUMPRODUCT(MAX((Journal!$A$6:$A$1005=$A346)*Journal!$C$6:$C$1005))=0,"",SUMPRODUCT(MAX((Journal!$A$6:$A$1005=$A346)*Journal!$C$6:$C$1005))))</f>
        <v/>
      </c>
      <c r="N346" s="43" t="str">
        <f aca="false">IF($B346="","",IF(MAX($L346,$M346)=0,"",MAX($L346,$M346)))</f>
        <v/>
      </c>
      <c r="O346" s="44" t="str">
        <f aca="false">IF(OR($B346="",$H346=""),"",IF($N346="",IF(EDATE($H346,DelaiPremierEPP)&gt;DateRef,"1er EPP (1re année)","Aucun entretien renseigné"),IF(AND(ReglesTransitoires="Oui",EDATE($N346,AnciennePeriodiciteEP*12)&lt;DateVigueur),"Retard antérieur à la réforme","Périodicité "&amp;PeriodiciteEPP&amp;" ans")))</f>
        <v/>
      </c>
      <c r="P346" s="43" t="str">
        <f aca="false">IF(OR($B346="",$H346=""),"",IF($N346="",EDATE($H346,DelaiPremierEPP),IF(AND(ReglesTransitoires="Oui",EDATE($N346,AnciennePeriodiciteEP*12)&lt;DateVigueur),EDATE($N346,AnciennePeriodiciteEP*12),EDATE($N346,PeriodiciteEPP*12))))</f>
        <v/>
      </c>
      <c r="Q346" s="40"/>
      <c r="R346" s="45" t="str">
        <f aca="false">IF(OR($P346="",AND($I346&lt;&gt;"",$I346&lt;=DateRef)),"",$P346-DateRef)</f>
        <v/>
      </c>
      <c r="S346" s="42" t="str">
        <f aca="false">IF($B346="","",IF(AND($I346&lt;&gt;"",$I346&lt;=DateRef),"Sorti",IF($H346="","À compléter",IF(AND($Q346&lt;&gt;"",$Q346&gt;=DateRef,$Q346&lt;=$P346),"Planifié",IF($R346&lt;0,"En retard",IF($R346&lt;=SeuilAlerteEPP,"À planifier","À jour"))))))</f>
        <v/>
      </c>
      <c r="T346" s="46" t="str">
        <f aca="false">IF(OR($B346="",$S346="Sorti"),"",MID(IF($H346=""," | Date d'embauche manquante","")&amp;IF(AND($K346="Plus d'un an",$N346="")," | Précédent entretien à renseigner (ancienneté &gt; 1 an)","")&amp;IF($O346="Retard antérieur à la réforme"," | Ancien délai de 2 ans expiré avant la réforme","")&amp;IF(AND($N346&lt;&gt;"",$H346&lt;&gt;"",$N346&lt;$H346)," | Entretien antérieur à l'embauche ?","")&amp;IF(AND($N346&lt;&gt;"",$N346&gt;DateRef)," | Entretien daté dans le futur ?","")&amp;IF(AND($Q346&lt;&gt;"",$P346&lt;&gt;"",$Q346&gt;$P346)," | Date prévue après l'échéance","")&amp;IF(AND($Q346&lt;&gt;"",$Q346&lt;DateRef,OR($N346="",$N346&lt;$Q346))," | Entretien prévu passé : le consigner au Journal","")&amp;IF(AND($G346&lt;&gt;"",$X346="",YEAR(DateRef)-YEAR($G346)&gt;=AgeMiCarriere-1,YEAR(DateRef)-YEAR($G346)&lt;=AgeMiCarriere+1)," | Visite de mi-carrière à vérifier",""),4,1000))</f>
        <v/>
      </c>
      <c r="U346" s="39"/>
      <c r="V346" s="40"/>
      <c r="W346" s="42" t="str">
        <f aca="false">IF(OR($B346="",$V346=""),"",IF(AND($I346&lt;&gt;"",$I346&lt;=DateRef),"",IF(AND($N346&lt;&gt;"",$N346&gt;=$V346),"Réalisé",IF(AND($N346&lt;&gt;"",$N346&gt;=EDATE($V346,-FenetreRetour)),"Dispensé (EPP récent)",IF($V346&gt;DateRef,"À prévoir à la reprise","À proposer (reprise passée)")))))</f>
        <v/>
      </c>
      <c r="X346" s="40"/>
      <c r="Y346" s="43" t="str">
        <f aca="false">IF(OR($B346="",$X346=""),"",EDATE($X346,DelaiMiCarriere))</f>
        <v/>
      </c>
      <c r="Z346" s="42" t="str">
        <f aca="false">IF(OR($B346="",$X346=""),"",IF(AND($I346&lt;&gt;"",$I346&lt;=DateRef),"",IF(AND($N346&lt;&gt;"",$N346&gt;=$X346),"Réalisé",IF($Y346&lt;DateRef,"En retard","À planifier"))))</f>
        <v/>
      </c>
      <c r="AA346" s="47" t="str">
        <f aca="false">IF(OR($B346="",$G346=""),"",IF($G346&gt;DateRef,"",DATEDIF($G346,DateRef,"y")))</f>
        <v/>
      </c>
      <c r="AB346" s="43" t="str">
        <f aca="false">IF(OR($B346="",$G346=""),"",EDATE($G346,AgeFinCarriere*12))</f>
        <v/>
      </c>
      <c r="AC346" s="42" t="str">
        <f aca="false">IF(OR($B346="",$G346="",$H346=""),"",IF(AND($I346&lt;&gt;"",$I346&lt;=DateRef),"",IF($AB346&lt;DateVigueur,"Non concerné",IF(AND($N346&lt;&gt;"",$N346&gt;=MAX(EDATE($AB346,-FenetreFinCarriere*12),DateVigueur),$N346&lt;=$AB346),"Réalisé",IF(DateRef&gt;$AB346,"Non réalisé",IF(AND($Q346&lt;&gt;"",$Q346&gt;=EDATE($AB346,-FenetreFinCarriere*12),$Q346&lt;=$AB346),"Planifié dans la fenêtre",IF(AND(MAX($P346,DateRef)&gt;=EDATE($AB346,-FenetreFinCarriere*12),MAX($P346,DateRef)&lt;=$AB346),"Prochain EPP dans la fenêtre",IF(MAX($P346,DateRef)&gt;$AB346,"À programmer avant 60 ans",""))))))))</f>
        <v/>
      </c>
      <c r="AD346" s="40"/>
      <c r="AE346" s="43" t="str">
        <f aca="false">IF(OR($B346="",$H346="",AND($I346&lt;&gt;"",$I346&lt;=DateRef)),"",MAX($H346,$AD346,IF($A346="",0,SUMPRODUCT(MAX((Journal!$A$6:$A$1005=$A346)*((Journal!$D$6:$D$1005=TypeEDL)+(Journal!$D$6:$D$1005=TypeBilan6))*Journal!$C$6:$C$1005)))))</f>
        <v/>
      </c>
      <c r="AF346" s="43" t="str">
        <f aca="false">IF($AE346="","",IF(AND(ReglesTransitoires="Oui",EDATE($AE346,AnciennePeriodiciteEDL*12)&lt;DateVigueur),EDATE($AE346,AnciennePeriodiciteEDL*12),EDATE($AE346,PeriodiciteEDL*12)))</f>
        <v/>
      </c>
      <c r="AG346" s="42" t="str">
        <f aca="false">IF($AF346="","",IF(AND($I346&lt;&gt;"",$I346&lt;=DateRef),"",IF($AF346&lt;DateRef,"En retard",IF($AF346-DateRef&lt;=SeuilAlerteEDL,"À prévoir","À jour"))))</f>
        <v/>
      </c>
      <c r="AH346" s="39"/>
      <c r="AI346" s="39"/>
      <c r="AJ346" s="42" t="str">
        <f aca="false">IF(OR($B346="",$H346=""),"",IF(AND($I346&lt;&gt;"",$I346&lt;=DateRef),"",IF(Effectif&lt;SeuilEffectif,"Non concerné (&lt; "&amp;SeuilEffectif&amp;" salariés)",IF($AH346="Oui","Pas de risque",IF(AND(OR($AI346="Non",$S346="En retard"),$AH346="Non"),"Risque abondement",IF(OR($AI346="Non",$S346="En retard"),"À vérifier (formation ?)",IF($AI346="Oui","Pas de risque","À compléter")))))))</f>
        <v/>
      </c>
      <c r="AK346" s="39"/>
    </row>
    <row r="347" customFormat="false" ht="15" hidden="false" customHeight="false" outlineLevel="0" collapsed="false">
      <c r="A347" s="39"/>
      <c r="B347" s="39"/>
      <c r="C347" s="39"/>
      <c r="D347" s="39"/>
      <c r="E347" s="39"/>
      <c r="F347" s="39"/>
      <c r="G347" s="40"/>
      <c r="H347" s="40"/>
      <c r="I347" s="40"/>
      <c r="J347" s="41" t="str">
        <f aca="false">IF(OR($B347="",$H347=""),"",IF($H347&gt;DateRef,0,YEARFRAC($H347,DateRef,1)))</f>
        <v/>
      </c>
      <c r="K347" s="42" t="str">
        <f aca="false">IF(OR($B347="",$H347=""),"",IF(EDATE($H347,12)&lt;=DateRef,"Plus d'un an","Moins d'un an"))</f>
        <v/>
      </c>
      <c r="L347" s="40"/>
      <c r="M347" s="43" t="str">
        <f aca="false">IF(OR($B347="",$A347=""),"",IF(SUMPRODUCT(MAX((Journal!$A$6:$A$1005=$A347)*Journal!$C$6:$C$1005))=0,"",SUMPRODUCT(MAX((Journal!$A$6:$A$1005=$A347)*Journal!$C$6:$C$1005))))</f>
        <v/>
      </c>
      <c r="N347" s="43" t="str">
        <f aca="false">IF($B347="","",IF(MAX($L347,$M347)=0,"",MAX($L347,$M347)))</f>
        <v/>
      </c>
      <c r="O347" s="44" t="str">
        <f aca="false">IF(OR($B347="",$H347=""),"",IF($N347="",IF(EDATE($H347,DelaiPremierEPP)&gt;DateRef,"1er EPP (1re année)","Aucun entretien renseigné"),IF(AND(ReglesTransitoires="Oui",EDATE($N347,AnciennePeriodiciteEP*12)&lt;DateVigueur),"Retard antérieur à la réforme","Périodicité "&amp;PeriodiciteEPP&amp;" ans")))</f>
        <v/>
      </c>
      <c r="P347" s="43" t="str">
        <f aca="false">IF(OR($B347="",$H347=""),"",IF($N347="",EDATE($H347,DelaiPremierEPP),IF(AND(ReglesTransitoires="Oui",EDATE($N347,AnciennePeriodiciteEP*12)&lt;DateVigueur),EDATE($N347,AnciennePeriodiciteEP*12),EDATE($N347,PeriodiciteEPP*12))))</f>
        <v/>
      </c>
      <c r="Q347" s="40"/>
      <c r="R347" s="45" t="str">
        <f aca="false">IF(OR($P347="",AND($I347&lt;&gt;"",$I347&lt;=DateRef)),"",$P347-DateRef)</f>
        <v/>
      </c>
      <c r="S347" s="42" t="str">
        <f aca="false">IF($B347="","",IF(AND($I347&lt;&gt;"",$I347&lt;=DateRef),"Sorti",IF($H347="","À compléter",IF(AND($Q347&lt;&gt;"",$Q347&gt;=DateRef,$Q347&lt;=$P347),"Planifié",IF($R347&lt;0,"En retard",IF($R347&lt;=SeuilAlerteEPP,"À planifier","À jour"))))))</f>
        <v/>
      </c>
      <c r="T347" s="46" t="str">
        <f aca="false">IF(OR($B347="",$S347="Sorti"),"",MID(IF($H347=""," | Date d'embauche manquante","")&amp;IF(AND($K347="Plus d'un an",$N347="")," | Précédent entretien à renseigner (ancienneté &gt; 1 an)","")&amp;IF($O347="Retard antérieur à la réforme"," | Ancien délai de 2 ans expiré avant la réforme","")&amp;IF(AND($N347&lt;&gt;"",$H347&lt;&gt;"",$N347&lt;$H347)," | Entretien antérieur à l'embauche ?","")&amp;IF(AND($N347&lt;&gt;"",$N347&gt;DateRef)," | Entretien daté dans le futur ?","")&amp;IF(AND($Q347&lt;&gt;"",$P347&lt;&gt;"",$Q347&gt;$P347)," | Date prévue après l'échéance","")&amp;IF(AND($Q347&lt;&gt;"",$Q347&lt;DateRef,OR($N347="",$N347&lt;$Q347))," | Entretien prévu passé : le consigner au Journal","")&amp;IF(AND($G347&lt;&gt;"",$X347="",YEAR(DateRef)-YEAR($G347)&gt;=AgeMiCarriere-1,YEAR(DateRef)-YEAR($G347)&lt;=AgeMiCarriere+1)," | Visite de mi-carrière à vérifier",""),4,1000))</f>
        <v/>
      </c>
      <c r="U347" s="39"/>
      <c r="V347" s="40"/>
      <c r="W347" s="42" t="str">
        <f aca="false">IF(OR($B347="",$V347=""),"",IF(AND($I347&lt;&gt;"",$I347&lt;=DateRef),"",IF(AND($N347&lt;&gt;"",$N347&gt;=$V347),"Réalisé",IF(AND($N347&lt;&gt;"",$N347&gt;=EDATE($V347,-FenetreRetour)),"Dispensé (EPP récent)",IF($V347&gt;DateRef,"À prévoir à la reprise","À proposer (reprise passée)")))))</f>
        <v/>
      </c>
      <c r="X347" s="40"/>
      <c r="Y347" s="43" t="str">
        <f aca="false">IF(OR($B347="",$X347=""),"",EDATE($X347,DelaiMiCarriere))</f>
        <v/>
      </c>
      <c r="Z347" s="42" t="str">
        <f aca="false">IF(OR($B347="",$X347=""),"",IF(AND($I347&lt;&gt;"",$I347&lt;=DateRef),"",IF(AND($N347&lt;&gt;"",$N347&gt;=$X347),"Réalisé",IF($Y347&lt;DateRef,"En retard","À planifier"))))</f>
        <v/>
      </c>
      <c r="AA347" s="47" t="str">
        <f aca="false">IF(OR($B347="",$G347=""),"",IF($G347&gt;DateRef,"",DATEDIF($G347,DateRef,"y")))</f>
        <v/>
      </c>
      <c r="AB347" s="43" t="str">
        <f aca="false">IF(OR($B347="",$G347=""),"",EDATE($G347,AgeFinCarriere*12))</f>
        <v/>
      </c>
      <c r="AC347" s="42" t="str">
        <f aca="false">IF(OR($B347="",$G347="",$H347=""),"",IF(AND($I347&lt;&gt;"",$I347&lt;=DateRef),"",IF($AB347&lt;DateVigueur,"Non concerné",IF(AND($N347&lt;&gt;"",$N347&gt;=MAX(EDATE($AB347,-FenetreFinCarriere*12),DateVigueur),$N347&lt;=$AB347),"Réalisé",IF(DateRef&gt;$AB347,"Non réalisé",IF(AND($Q347&lt;&gt;"",$Q347&gt;=EDATE($AB347,-FenetreFinCarriere*12),$Q347&lt;=$AB347),"Planifié dans la fenêtre",IF(AND(MAX($P347,DateRef)&gt;=EDATE($AB347,-FenetreFinCarriere*12),MAX($P347,DateRef)&lt;=$AB347),"Prochain EPP dans la fenêtre",IF(MAX($P347,DateRef)&gt;$AB347,"À programmer avant 60 ans",""))))))))</f>
        <v/>
      </c>
      <c r="AD347" s="40"/>
      <c r="AE347" s="43" t="str">
        <f aca="false">IF(OR($B347="",$H347="",AND($I347&lt;&gt;"",$I347&lt;=DateRef)),"",MAX($H347,$AD347,IF($A347="",0,SUMPRODUCT(MAX((Journal!$A$6:$A$1005=$A347)*((Journal!$D$6:$D$1005=TypeEDL)+(Journal!$D$6:$D$1005=TypeBilan6))*Journal!$C$6:$C$1005)))))</f>
        <v/>
      </c>
      <c r="AF347" s="43" t="str">
        <f aca="false">IF($AE347="","",IF(AND(ReglesTransitoires="Oui",EDATE($AE347,AnciennePeriodiciteEDL*12)&lt;DateVigueur),EDATE($AE347,AnciennePeriodiciteEDL*12),EDATE($AE347,PeriodiciteEDL*12)))</f>
        <v/>
      </c>
      <c r="AG347" s="42" t="str">
        <f aca="false">IF($AF347="","",IF(AND($I347&lt;&gt;"",$I347&lt;=DateRef),"",IF($AF347&lt;DateRef,"En retard",IF($AF347-DateRef&lt;=SeuilAlerteEDL,"À prévoir","À jour"))))</f>
        <v/>
      </c>
      <c r="AH347" s="39"/>
      <c r="AI347" s="39"/>
      <c r="AJ347" s="42" t="str">
        <f aca="false">IF(OR($B347="",$H347=""),"",IF(AND($I347&lt;&gt;"",$I347&lt;=DateRef),"",IF(Effectif&lt;SeuilEffectif,"Non concerné (&lt; "&amp;SeuilEffectif&amp;" salariés)",IF($AH347="Oui","Pas de risque",IF(AND(OR($AI347="Non",$S347="En retard"),$AH347="Non"),"Risque abondement",IF(OR($AI347="Non",$S347="En retard"),"À vérifier (formation ?)",IF($AI347="Oui","Pas de risque","À compléter")))))))</f>
        <v/>
      </c>
      <c r="AK347" s="39"/>
    </row>
    <row r="348" customFormat="false" ht="15" hidden="false" customHeight="false" outlineLevel="0" collapsed="false">
      <c r="A348" s="39"/>
      <c r="B348" s="39"/>
      <c r="C348" s="39"/>
      <c r="D348" s="39"/>
      <c r="E348" s="39"/>
      <c r="F348" s="39"/>
      <c r="G348" s="40"/>
      <c r="H348" s="40"/>
      <c r="I348" s="40"/>
      <c r="J348" s="41" t="str">
        <f aca="false">IF(OR($B348="",$H348=""),"",IF($H348&gt;DateRef,0,YEARFRAC($H348,DateRef,1)))</f>
        <v/>
      </c>
      <c r="K348" s="42" t="str">
        <f aca="false">IF(OR($B348="",$H348=""),"",IF(EDATE($H348,12)&lt;=DateRef,"Plus d'un an","Moins d'un an"))</f>
        <v/>
      </c>
      <c r="L348" s="40"/>
      <c r="M348" s="43" t="str">
        <f aca="false">IF(OR($B348="",$A348=""),"",IF(SUMPRODUCT(MAX((Journal!$A$6:$A$1005=$A348)*Journal!$C$6:$C$1005))=0,"",SUMPRODUCT(MAX((Journal!$A$6:$A$1005=$A348)*Journal!$C$6:$C$1005))))</f>
        <v/>
      </c>
      <c r="N348" s="43" t="str">
        <f aca="false">IF($B348="","",IF(MAX($L348,$M348)=0,"",MAX($L348,$M348)))</f>
        <v/>
      </c>
      <c r="O348" s="44" t="str">
        <f aca="false">IF(OR($B348="",$H348=""),"",IF($N348="",IF(EDATE($H348,DelaiPremierEPP)&gt;DateRef,"1er EPP (1re année)","Aucun entretien renseigné"),IF(AND(ReglesTransitoires="Oui",EDATE($N348,AnciennePeriodiciteEP*12)&lt;DateVigueur),"Retard antérieur à la réforme","Périodicité "&amp;PeriodiciteEPP&amp;" ans")))</f>
        <v/>
      </c>
      <c r="P348" s="43" t="str">
        <f aca="false">IF(OR($B348="",$H348=""),"",IF($N348="",EDATE($H348,DelaiPremierEPP),IF(AND(ReglesTransitoires="Oui",EDATE($N348,AnciennePeriodiciteEP*12)&lt;DateVigueur),EDATE($N348,AnciennePeriodiciteEP*12),EDATE($N348,PeriodiciteEPP*12))))</f>
        <v/>
      </c>
      <c r="Q348" s="40"/>
      <c r="R348" s="45" t="str">
        <f aca="false">IF(OR($P348="",AND($I348&lt;&gt;"",$I348&lt;=DateRef)),"",$P348-DateRef)</f>
        <v/>
      </c>
      <c r="S348" s="42" t="str">
        <f aca="false">IF($B348="","",IF(AND($I348&lt;&gt;"",$I348&lt;=DateRef),"Sorti",IF($H348="","À compléter",IF(AND($Q348&lt;&gt;"",$Q348&gt;=DateRef,$Q348&lt;=$P348),"Planifié",IF($R348&lt;0,"En retard",IF($R348&lt;=SeuilAlerteEPP,"À planifier","À jour"))))))</f>
        <v/>
      </c>
      <c r="T348" s="46" t="str">
        <f aca="false">IF(OR($B348="",$S348="Sorti"),"",MID(IF($H348=""," | Date d'embauche manquante","")&amp;IF(AND($K348="Plus d'un an",$N348="")," | Précédent entretien à renseigner (ancienneté &gt; 1 an)","")&amp;IF($O348="Retard antérieur à la réforme"," | Ancien délai de 2 ans expiré avant la réforme","")&amp;IF(AND($N348&lt;&gt;"",$H348&lt;&gt;"",$N348&lt;$H348)," | Entretien antérieur à l'embauche ?","")&amp;IF(AND($N348&lt;&gt;"",$N348&gt;DateRef)," | Entretien daté dans le futur ?","")&amp;IF(AND($Q348&lt;&gt;"",$P348&lt;&gt;"",$Q348&gt;$P348)," | Date prévue après l'échéance","")&amp;IF(AND($Q348&lt;&gt;"",$Q348&lt;DateRef,OR($N348="",$N348&lt;$Q348))," | Entretien prévu passé : le consigner au Journal","")&amp;IF(AND($G348&lt;&gt;"",$X348="",YEAR(DateRef)-YEAR($G348)&gt;=AgeMiCarriere-1,YEAR(DateRef)-YEAR($G348)&lt;=AgeMiCarriere+1)," | Visite de mi-carrière à vérifier",""),4,1000))</f>
        <v/>
      </c>
      <c r="U348" s="39"/>
      <c r="V348" s="40"/>
      <c r="W348" s="42" t="str">
        <f aca="false">IF(OR($B348="",$V348=""),"",IF(AND($I348&lt;&gt;"",$I348&lt;=DateRef),"",IF(AND($N348&lt;&gt;"",$N348&gt;=$V348),"Réalisé",IF(AND($N348&lt;&gt;"",$N348&gt;=EDATE($V348,-FenetreRetour)),"Dispensé (EPP récent)",IF($V348&gt;DateRef,"À prévoir à la reprise","À proposer (reprise passée)")))))</f>
        <v/>
      </c>
      <c r="X348" s="40"/>
      <c r="Y348" s="43" t="str">
        <f aca="false">IF(OR($B348="",$X348=""),"",EDATE($X348,DelaiMiCarriere))</f>
        <v/>
      </c>
      <c r="Z348" s="42" t="str">
        <f aca="false">IF(OR($B348="",$X348=""),"",IF(AND($I348&lt;&gt;"",$I348&lt;=DateRef),"",IF(AND($N348&lt;&gt;"",$N348&gt;=$X348),"Réalisé",IF($Y348&lt;DateRef,"En retard","À planifier"))))</f>
        <v/>
      </c>
      <c r="AA348" s="47" t="str">
        <f aca="false">IF(OR($B348="",$G348=""),"",IF($G348&gt;DateRef,"",DATEDIF($G348,DateRef,"y")))</f>
        <v/>
      </c>
      <c r="AB348" s="43" t="str">
        <f aca="false">IF(OR($B348="",$G348=""),"",EDATE($G348,AgeFinCarriere*12))</f>
        <v/>
      </c>
      <c r="AC348" s="42" t="str">
        <f aca="false">IF(OR($B348="",$G348="",$H348=""),"",IF(AND($I348&lt;&gt;"",$I348&lt;=DateRef),"",IF($AB348&lt;DateVigueur,"Non concerné",IF(AND($N348&lt;&gt;"",$N348&gt;=MAX(EDATE($AB348,-FenetreFinCarriere*12),DateVigueur),$N348&lt;=$AB348),"Réalisé",IF(DateRef&gt;$AB348,"Non réalisé",IF(AND($Q348&lt;&gt;"",$Q348&gt;=EDATE($AB348,-FenetreFinCarriere*12),$Q348&lt;=$AB348),"Planifié dans la fenêtre",IF(AND(MAX($P348,DateRef)&gt;=EDATE($AB348,-FenetreFinCarriere*12),MAX($P348,DateRef)&lt;=$AB348),"Prochain EPP dans la fenêtre",IF(MAX($P348,DateRef)&gt;$AB348,"À programmer avant 60 ans",""))))))))</f>
        <v/>
      </c>
      <c r="AD348" s="40"/>
      <c r="AE348" s="43" t="str">
        <f aca="false">IF(OR($B348="",$H348="",AND($I348&lt;&gt;"",$I348&lt;=DateRef)),"",MAX($H348,$AD348,IF($A348="",0,SUMPRODUCT(MAX((Journal!$A$6:$A$1005=$A348)*((Journal!$D$6:$D$1005=TypeEDL)+(Journal!$D$6:$D$1005=TypeBilan6))*Journal!$C$6:$C$1005)))))</f>
        <v/>
      </c>
      <c r="AF348" s="43" t="str">
        <f aca="false">IF($AE348="","",IF(AND(ReglesTransitoires="Oui",EDATE($AE348,AnciennePeriodiciteEDL*12)&lt;DateVigueur),EDATE($AE348,AnciennePeriodiciteEDL*12),EDATE($AE348,PeriodiciteEDL*12)))</f>
        <v/>
      </c>
      <c r="AG348" s="42" t="str">
        <f aca="false">IF($AF348="","",IF(AND($I348&lt;&gt;"",$I348&lt;=DateRef),"",IF($AF348&lt;DateRef,"En retard",IF($AF348-DateRef&lt;=SeuilAlerteEDL,"À prévoir","À jour"))))</f>
        <v/>
      </c>
      <c r="AH348" s="39"/>
      <c r="AI348" s="39"/>
      <c r="AJ348" s="42" t="str">
        <f aca="false">IF(OR($B348="",$H348=""),"",IF(AND($I348&lt;&gt;"",$I348&lt;=DateRef),"",IF(Effectif&lt;SeuilEffectif,"Non concerné (&lt; "&amp;SeuilEffectif&amp;" salariés)",IF($AH348="Oui","Pas de risque",IF(AND(OR($AI348="Non",$S348="En retard"),$AH348="Non"),"Risque abondement",IF(OR($AI348="Non",$S348="En retard"),"À vérifier (formation ?)",IF($AI348="Oui","Pas de risque","À compléter")))))))</f>
        <v/>
      </c>
      <c r="AK348" s="39"/>
    </row>
    <row r="349" customFormat="false" ht="15" hidden="false" customHeight="false" outlineLevel="0" collapsed="false">
      <c r="A349" s="39"/>
      <c r="B349" s="39"/>
      <c r="C349" s="39"/>
      <c r="D349" s="39"/>
      <c r="E349" s="39"/>
      <c r="F349" s="39"/>
      <c r="G349" s="40"/>
      <c r="H349" s="40"/>
      <c r="I349" s="40"/>
      <c r="J349" s="41" t="str">
        <f aca="false">IF(OR($B349="",$H349=""),"",IF($H349&gt;DateRef,0,YEARFRAC($H349,DateRef,1)))</f>
        <v/>
      </c>
      <c r="K349" s="42" t="str">
        <f aca="false">IF(OR($B349="",$H349=""),"",IF(EDATE($H349,12)&lt;=DateRef,"Plus d'un an","Moins d'un an"))</f>
        <v/>
      </c>
      <c r="L349" s="40"/>
      <c r="M349" s="43" t="str">
        <f aca="false">IF(OR($B349="",$A349=""),"",IF(SUMPRODUCT(MAX((Journal!$A$6:$A$1005=$A349)*Journal!$C$6:$C$1005))=0,"",SUMPRODUCT(MAX((Journal!$A$6:$A$1005=$A349)*Journal!$C$6:$C$1005))))</f>
        <v/>
      </c>
      <c r="N349" s="43" t="str">
        <f aca="false">IF($B349="","",IF(MAX($L349,$M349)=0,"",MAX($L349,$M349)))</f>
        <v/>
      </c>
      <c r="O349" s="44" t="str">
        <f aca="false">IF(OR($B349="",$H349=""),"",IF($N349="",IF(EDATE($H349,DelaiPremierEPP)&gt;DateRef,"1er EPP (1re année)","Aucun entretien renseigné"),IF(AND(ReglesTransitoires="Oui",EDATE($N349,AnciennePeriodiciteEP*12)&lt;DateVigueur),"Retard antérieur à la réforme","Périodicité "&amp;PeriodiciteEPP&amp;" ans")))</f>
        <v/>
      </c>
      <c r="P349" s="43" t="str">
        <f aca="false">IF(OR($B349="",$H349=""),"",IF($N349="",EDATE($H349,DelaiPremierEPP),IF(AND(ReglesTransitoires="Oui",EDATE($N349,AnciennePeriodiciteEP*12)&lt;DateVigueur),EDATE($N349,AnciennePeriodiciteEP*12),EDATE($N349,PeriodiciteEPP*12))))</f>
        <v/>
      </c>
      <c r="Q349" s="40"/>
      <c r="R349" s="45" t="str">
        <f aca="false">IF(OR($P349="",AND($I349&lt;&gt;"",$I349&lt;=DateRef)),"",$P349-DateRef)</f>
        <v/>
      </c>
      <c r="S349" s="42" t="str">
        <f aca="false">IF($B349="","",IF(AND($I349&lt;&gt;"",$I349&lt;=DateRef),"Sorti",IF($H349="","À compléter",IF(AND($Q349&lt;&gt;"",$Q349&gt;=DateRef,$Q349&lt;=$P349),"Planifié",IF($R349&lt;0,"En retard",IF($R349&lt;=SeuilAlerteEPP,"À planifier","À jour"))))))</f>
        <v/>
      </c>
      <c r="T349" s="46" t="str">
        <f aca="false">IF(OR($B349="",$S349="Sorti"),"",MID(IF($H349=""," | Date d'embauche manquante","")&amp;IF(AND($K349="Plus d'un an",$N349="")," | Précédent entretien à renseigner (ancienneté &gt; 1 an)","")&amp;IF($O349="Retard antérieur à la réforme"," | Ancien délai de 2 ans expiré avant la réforme","")&amp;IF(AND($N349&lt;&gt;"",$H349&lt;&gt;"",$N349&lt;$H349)," | Entretien antérieur à l'embauche ?","")&amp;IF(AND($N349&lt;&gt;"",$N349&gt;DateRef)," | Entretien daté dans le futur ?","")&amp;IF(AND($Q349&lt;&gt;"",$P349&lt;&gt;"",$Q349&gt;$P349)," | Date prévue après l'échéance","")&amp;IF(AND($Q349&lt;&gt;"",$Q349&lt;DateRef,OR($N349="",$N349&lt;$Q349))," | Entretien prévu passé : le consigner au Journal","")&amp;IF(AND($G349&lt;&gt;"",$X349="",YEAR(DateRef)-YEAR($G349)&gt;=AgeMiCarriere-1,YEAR(DateRef)-YEAR($G349)&lt;=AgeMiCarriere+1)," | Visite de mi-carrière à vérifier",""),4,1000))</f>
        <v/>
      </c>
      <c r="U349" s="39"/>
      <c r="V349" s="40"/>
      <c r="W349" s="42" t="str">
        <f aca="false">IF(OR($B349="",$V349=""),"",IF(AND($I349&lt;&gt;"",$I349&lt;=DateRef),"",IF(AND($N349&lt;&gt;"",$N349&gt;=$V349),"Réalisé",IF(AND($N349&lt;&gt;"",$N349&gt;=EDATE($V349,-FenetreRetour)),"Dispensé (EPP récent)",IF($V349&gt;DateRef,"À prévoir à la reprise","À proposer (reprise passée)")))))</f>
        <v/>
      </c>
      <c r="X349" s="40"/>
      <c r="Y349" s="43" t="str">
        <f aca="false">IF(OR($B349="",$X349=""),"",EDATE($X349,DelaiMiCarriere))</f>
        <v/>
      </c>
      <c r="Z349" s="42" t="str">
        <f aca="false">IF(OR($B349="",$X349=""),"",IF(AND($I349&lt;&gt;"",$I349&lt;=DateRef),"",IF(AND($N349&lt;&gt;"",$N349&gt;=$X349),"Réalisé",IF($Y349&lt;DateRef,"En retard","À planifier"))))</f>
        <v/>
      </c>
      <c r="AA349" s="47" t="str">
        <f aca="false">IF(OR($B349="",$G349=""),"",IF($G349&gt;DateRef,"",DATEDIF($G349,DateRef,"y")))</f>
        <v/>
      </c>
      <c r="AB349" s="43" t="str">
        <f aca="false">IF(OR($B349="",$G349=""),"",EDATE($G349,AgeFinCarriere*12))</f>
        <v/>
      </c>
      <c r="AC349" s="42" t="str">
        <f aca="false">IF(OR($B349="",$G349="",$H349=""),"",IF(AND($I349&lt;&gt;"",$I349&lt;=DateRef),"",IF($AB349&lt;DateVigueur,"Non concerné",IF(AND($N349&lt;&gt;"",$N349&gt;=MAX(EDATE($AB349,-FenetreFinCarriere*12),DateVigueur),$N349&lt;=$AB349),"Réalisé",IF(DateRef&gt;$AB349,"Non réalisé",IF(AND($Q349&lt;&gt;"",$Q349&gt;=EDATE($AB349,-FenetreFinCarriere*12),$Q349&lt;=$AB349),"Planifié dans la fenêtre",IF(AND(MAX($P349,DateRef)&gt;=EDATE($AB349,-FenetreFinCarriere*12),MAX($P349,DateRef)&lt;=$AB349),"Prochain EPP dans la fenêtre",IF(MAX($P349,DateRef)&gt;$AB349,"À programmer avant 60 ans",""))))))))</f>
        <v/>
      </c>
      <c r="AD349" s="40"/>
      <c r="AE349" s="43" t="str">
        <f aca="false">IF(OR($B349="",$H349="",AND($I349&lt;&gt;"",$I349&lt;=DateRef)),"",MAX($H349,$AD349,IF($A349="",0,SUMPRODUCT(MAX((Journal!$A$6:$A$1005=$A349)*((Journal!$D$6:$D$1005=TypeEDL)+(Journal!$D$6:$D$1005=TypeBilan6))*Journal!$C$6:$C$1005)))))</f>
        <v/>
      </c>
      <c r="AF349" s="43" t="str">
        <f aca="false">IF($AE349="","",IF(AND(ReglesTransitoires="Oui",EDATE($AE349,AnciennePeriodiciteEDL*12)&lt;DateVigueur),EDATE($AE349,AnciennePeriodiciteEDL*12),EDATE($AE349,PeriodiciteEDL*12)))</f>
        <v/>
      </c>
      <c r="AG349" s="42" t="str">
        <f aca="false">IF($AF349="","",IF(AND($I349&lt;&gt;"",$I349&lt;=DateRef),"",IF($AF349&lt;DateRef,"En retard",IF($AF349-DateRef&lt;=SeuilAlerteEDL,"À prévoir","À jour"))))</f>
        <v/>
      </c>
      <c r="AH349" s="39"/>
      <c r="AI349" s="39"/>
      <c r="AJ349" s="42" t="str">
        <f aca="false">IF(OR($B349="",$H349=""),"",IF(AND($I349&lt;&gt;"",$I349&lt;=DateRef),"",IF(Effectif&lt;SeuilEffectif,"Non concerné (&lt; "&amp;SeuilEffectif&amp;" salariés)",IF($AH349="Oui","Pas de risque",IF(AND(OR($AI349="Non",$S349="En retard"),$AH349="Non"),"Risque abondement",IF(OR($AI349="Non",$S349="En retard"),"À vérifier (formation ?)",IF($AI349="Oui","Pas de risque","À compléter")))))))</f>
        <v/>
      </c>
      <c r="AK349" s="39"/>
    </row>
    <row r="350" customFormat="false" ht="15" hidden="false" customHeight="false" outlineLevel="0" collapsed="false">
      <c r="A350" s="39"/>
      <c r="B350" s="39"/>
      <c r="C350" s="39"/>
      <c r="D350" s="39"/>
      <c r="E350" s="39"/>
      <c r="F350" s="39"/>
      <c r="G350" s="40"/>
      <c r="H350" s="40"/>
      <c r="I350" s="40"/>
      <c r="J350" s="41" t="str">
        <f aca="false">IF(OR($B350="",$H350=""),"",IF($H350&gt;DateRef,0,YEARFRAC($H350,DateRef,1)))</f>
        <v/>
      </c>
      <c r="K350" s="42" t="str">
        <f aca="false">IF(OR($B350="",$H350=""),"",IF(EDATE($H350,12)&lt;=DateRef,"Plus d'un an","Moins d'un an"))</f>
        <v/>
      </c>
      <c r="L350" s="40"/>
      <c r="M350" s="43" t="str">
        <f aca="false">IF(OR($B350="",$A350=""),"",IF(SUMPRODUCT(MAX((Journal!$A$6:$A$1005=$A350)*Journal!$C$6:$C$1005))=0,"",SUMPRODUCT(MAX((Journal!$A$6:$A$1005=$A350)*Journal!$C$6:$C$1005))))</f>
        <v/>
      </c>
      <c r="N350" s="43" t="str">
        <f aca="false">IF($B350="","",IF(MAX($L350,$M350)=0,"",MAX($L350,$M350)))</f>
        <v/>
      </c>
      <c r="O350" s="44" t="str">
        <f aca="false">IF(OR($B350="",$H350=""),"",IF($N350="",IF(EDATE($H350,DelaiPremierEPP)&gt;DateRef,"1er EPP (1re année)","Aucun entretien renseigné"),IF(AND(ReglesTransitoires="Oui",EDATE($N350,AnciennePeriodiciteEP*12)&lt;DateVigueur),"Retard antérieur à la réforme","Périodicité "&amp;PeriodiciteEPP&amp;" ans")))</f>
        <v/>
      </c>
      <c r="P350" s="43" t="str">
        <f aca="false">IF(OR($B350="",$H350=""),"",IF($N350="",EDATE($H350,DelaiPremierEPP),IF(AND(ReglesTransitoires="Oui",EDATE($N350,AnciennePeriodiciteEP*12)&lt;DateVigueur),EDATE($N350,AnciennePeriodiciteEP*12),EDATE($N350,PeriodiciteEPP*12))))</f>
        <v/>
      </c>
      <c r="Q350" s="40"/>
      <c r="R350" s="45" t="str">
        <f aca="false">IF(OR($P350="",AND($I350&lt;&gt;"",$I350&lt;=DateRef)),"",$P350-DateRef)</f>
        <v/>
      </c>
      <c r="S350" s="42" t="str">
        <f aca="false">IF($B350="","",IF(AND($I350&lt;&gt;"",$I350&lt;=DateRef),"Sorti",IF($H350="","À compléter",IF(AND($Q350&lt;&gt;"",$Q350&gt;=DateRef,$Q350&lt;=$P350),"Planifié",IF($R350&lt;0,"En retard",IF($R350&lt;=SeuilAlerteEPP,"À planifier","À jour"))))))</f>
        <v/>
      </c>
      <c r="T350" s="46" t="str">
        <f aca="false">IF(OR($B350="",$S350="Sorti"),"",MID(IF($H350=""," | Date d'embauche manquante","")&amp;IF(AND($K350="Plus d'un an",$N350="")," | Précédent entretien à renseigner (ancienneté &gt; 1 an)","")&amp;IF($O350="Retard antérieur à la réforme"," | Ancien délai de 2 ans expiré avant la réforme","")&amp;IF(AND($N350&lt;&gt;"",$H350&lt;&gt;"",$N350&lt;$H350)," | Entretien antérieur à l'embauche ?","")&amp;IF(AND($N350&lt;&gt;"",$N350&gt;DateRef)," | Entretien daté dans le futur ?","")&amp;IF(AND($Q350&lt;&gt;"",$P350&lt;&gt;"",$Q350&gt;$P350)," | Date prévue après l'échéance","")&amp;IF(AND($Q350&lt;&gt;"",$Q350&lt;DateRef,OR($N350="",$N350&lt;$Q350))," | Entretien prévu passé : le consigner au Journal","")&amp;IF(AND($G350&lt;&gt;"",$X350="",YEAR(DateRef)-YEAR($G350)&gt;=AgeMiCarriere-1,YEAR(DateRef)-YEAR($G350)&lt;=AgeMiCarriere+1)," | Visite de mi-carrière à vérifier",""),4,1000))</f>
        <v/>
      </c>
      <c r="U350" s="39"/>
      <c r="V350" s="40"/>
      <c r="W350" s="42" t="str">
        <f aca="false">IF(OR($B350="",$V350=""),"",IF(AND($I350&lt;&gt;"",$I350&lt;=DateRef),"",IF(AND($N350&lt;&gt;"",$N350&gt;=$V350),"Réalisé",IF(AND($N350&lt;&gt;"",$N350&gt;=EDATE($V350,-FenetreRetour)),"Dispensé (EPP récent)",IF($V350&gt;DateRef,"À prévoir à la reprise","À proposer (reprise passée)")))))</f>
        <v/>
      </c>
      <c r="X350" s="40"/>
      <c r="Y350" s="43" t="str">
        <f aca="false">IF(OR($B350="",$X350=""),"",EDATE($X350,DelaiMiCarriere))</f>
        <v/>
      </c>
      <c r="Z350" s="42" t="str">
        <f aca="false">IF(OR($B350="",$X350=""),"",IF(AND($I350&lt;&gt;"",$I350&lt;=DateRef),"",IF(AND($N350&lt;&gt;"",$N350&gt;=$X350),"Réalisé",IF($Y350&lt;DateRef,"En retard","À planifier"))))</f>
        <v/>
      </c>
      <c r="AA350" s="47" t="str">
        <f aca="false">IF(OR($B350="",$G350=""),"",IF($G350&gt;DateRef,"",DATEDIF($G350,DateRef,"y")))</f>
        <v/>
      </c>
      <c r="AB350" s="43" t="str">
        <f aca="false">IF(OR($B350="",$G350=""),"",EDATE($G350,AgeFinCarriere*12))</f>
        <v/>
      </c>
      <c r="AC350" s="42" t="str">
        <f aca="false">IF(OR($B350="",$G350="",$H350=""),"",IF(AND($I350&lt;&gt;"",$I350&lt;=DateRef),"",IF($AB350&lt;DateVigueur,"Non concerné",IF(AND($N350&lt;&gt;"",$N350&gt;=MAX(EDATE($AB350,-FenetreFinCarriere*12),DateVigueur),$N350&lt;=$AB350),"Réalisé",IF(DateRef&gt;$AB350,"Non réalisé",IF(AND($Q350&lt;&gt;"",$Q350&gt;=EDATE($AB350,-FenetreFinCarriere*12),$Q350&lt;=$AB350),"Planifié dans la fenêtre",IF(AND(MAX($P350,DateRef)&gt;=EDATE($AB350,-FenetreFinCarriere*12),MAX($P350,DateRef)&lt;=$AB350),"Prochain EPP dans la fenêtre",IF(MAX($P350,DateRef)&gt;$AB350,"À programmer avant 60 ans",""))))))))</f>
        <v/>
      </c>
      <c r="AD350" s="40"/>
      <c r="AE350" s="43" t="str">
        <f aca="false">IF(OR($B350="",$H350="",AND($I350&lt;&gt;"",$I350&lt;=DateRef)),"",MAX($H350,$AD350,IF($A350="",0,SUMPRODUCT(MAX((Journal!$A$6:$A$1005=$A350)*((Journal!$D$6:$D$1005=TypeEDL)+(Journal!$D$6:$D$1005=TypeBilan6))*Journal!$C$6:$C$1005)))))</f>
        <v/>
      </c>
      <c r="AF350" s="43" t="str">
        <f aca="false">IF($AE350="","",IF(AND(ReglesTransitoires="Oui",EDATE($AE350,AnciennePeriodiciteEDL*12)&lt;DateVigueur),EDATE($AE350,AnciennePeriodiciteEDL*12),EDATE($AE350,PeriodiciteEDL*12)))</f>
        <v/>
      </c>
      <c r="AG350" s="42" t="str">
        <f aca="false">IF($AF350="","",IF(AND($I350&lt;&gt;"",$I350&lt;=DateRef),"",IF($AF350&lt;DateRef,"En retard",IF($AF350-DateRef&lt;=SeuilAlerteEDL,"À prévoir","À jour"))))</f>
        <v/>
      </c>
      <c r="AH350" s="39"/>
      <c r="AI350" s="39"/>
      <c r="AJ350" s="42" t="str">
        <f aca="false">IF(OR($B350="",$H350=""),"",IF(AND($I350&lt;&gt;"",$I350&lt;=DateRef),"",IF(Effectif&lt;SeuilEffectif,"Non concerné (&lt; "&amp;SeuilEffectif&amp;" salariés)",IF($AH350="Oui","Pas de risque",IF(AND(OR($AI350="Non",$S350="En retard"),$AH350="Non"),"Risque abondement",IF(OR($AI350="Non",$S350="En retard"),"À vérifier (formation ?)",IF($AI350="Oui","Pas de risque","À compléter")))))))</f>
        <v/>
      </c>
      <c r="AK350" s="39"/>
    </row>
    <row r="351" customFormat="false" ht="15" hidden="false" customHeight="false" outlineLevel="0" collapsed="false">
      <c r="A351" s="39"/>
      <c r="B351" s="39"/>
      <c r="C351" s="39"/>
      <c r="D351" s="39"/>
      <c r="E351" s="39"/>
      <c r="F351" s="39"/>
      <c r="G351" s="40"/>
      <c r="H351" s="40"/>
      <c r="I351" s="40"/>
      <c r="J351" s="41" t="str">
        <f aca="false">IF(OR($B351="",$H351=""),"",IF($H351&gt;DateRef,0,YEARFRAC($H351,DateRef,1)))</f>
        <v/>
      </c>
      <c r="K351" s="42" t="str">
        <f aca="false">IF(OR($B351="",$H351=""),"",IF(EDATE($H351,12)&lt;=DateRef,"Plus d'un an","Moins d'un an"))</f>
        <v/>
      </c>
      <c r="L351" s="40"/>
      <c r="M351" s="43" t="str">
        <f aca="false">IF(OR($B351="",$A351=""),"",IF(SUMPRODUCT(MAX((Journal!$A$6:$A$1005=$A351)*Journal!$C$6:$C$1005))=0,"",SUMPRODUCT(MAX((Journal!$A$6:$A$1005=$A351)*Journal!$C$6:$C$1005))))</f>
        <v/>
      </c>
      <c r="N351" s="43" t="str">
        <f aca="false">IF($B351="","",IF(MAX($L351,$M351)=0,"",MAX($L351,$M351)))</f>
        <v/>
      </c>
      <c r="O351" s="44" t="str">
        <f aca="false">IF(OR($B351="",$H351=""),"",IF($N351="",IF(EDATE($H351,DelaiPremierEPP)&gt;DateRef,"1er EPP (1re année)","Aucun entretien renseigné"),IF(AND(ReglesTransitoires="Oui",EDATE($N351,AnciennePeriodiciteEP*12)&lt;DateVigueur),"Retard antérieur à la réforme","Périodicité "&amp;PeriodiciteEPP&amp;" ans")))</f>
        <v/>
      </c>
      <c r="P351" s="43" t="str">
        <f aca="false">IF(OR($B351="",$H351=""),"",IF($N351="",EDATE($H351,DelaiPremierEPP),IF(AND(ReglesTransitoires="Oui",EDATE($N351,AnciennePeriodiciteEP*12)&lt;DateVigueur),EDATE($N351,AnciennePeriodiciteEP*12),EDATE($N351,PeriodiciteEPP*12))))</f>
        <v/>
      </c>
      <c r="Q351" s="40"/>
      <c r="R351" s="45" t="str">
        <f aca="false">IF(OR($P351="",AND($I351&lt;&gt;"",$I351&lt;=DateRef)),"",$P351-DateRef)</f>
        <v/>
      </c>
      <c r="S351" s="42" t="str">
        <f aca="false">IF($B351="","",IF(AND($I351&lt;&gt;"",$I351&lt;=DateRef),"Sorti",IF($H351="","À compléter",IF(AND($Q351&lt;&gt;"",$Q351&gt;=DateRef,$Q351&lt;=$P351),"Planifié",IF($R351&lt;0,"En retard",IF($R351&lt;=SeuilAlerteEPP,"À planifier","À jour"))))))</f>
        <v/>
      </c>
      <c r="T351" s="46" t="str">
        <f aca="false">IF(OR($B351="",$S351="Sorti"),"",MID(IF($H351=""," | Date d'embauche manquante","")&amp;IF(AND($K351="Plus d'un an",$N351="")," | Précédent entretien à renseigner (ancienneté &gt; 1 an)","")&amp;IF($O351="Retard antérieur à la réforme"," | Ancien délai de 2 ans expiré avant la réforme","")&amp;IF(AND($N351&lt;&gt;"",$H351&lt;&gt;"",$N351&lt;$H351)," | Entretien antérieur à l'embauche ?","")&amp;IF(AND($N351&lt;&gt;"",$N351&gt;DateRef)," | Entretien daté dans le futur ?","")&amp;IF(AND($Q351&lt;&gt;"",$P351&lt;&gt;"",$Q351&gt;$P351)," | Date prévue après l'échéance","")&amp;IF(AND($Q351&lt;&gt;"",$Q351&lt;DateRef,OR($N351="",$N351&lt;$Q351))," | Entretien prévu passé : le consigner au Journal","")&amp;IF(AND($G351&lt;&gt;"",$X351="",YEAR(DateRef)-YEAR($G351)&gt;=AgeMiCarriere-1,YEAR(DateRef)-YEAR($G351)&lt;=AgeMiCarriere+1)," | Visite de mi-carrière à vérifier",""),4,1000))</f>
        <v/>
      </c>
      <c r="U351" s="39"/>
      <c r="V351" s="40"/>
      <c r="W351" s="42" t="str">
        <f aca="false">IF(OR($B351="",$V351=""),"",IF(AND($I351&lt;&gt;"",$I351&lt;=DateRef),"",IF(AND($N351&lt;&gt;"",$N351&gt;=$V351),"Réalisé",IF(AND($N351&lt;&gt;"",$N351&gt;=EDATE($V351,-FenetreRetour)),"Dispensé (EPP récent)",IF($V351&gt;DateRef,"À prévoir à la reprise","À proposer (reprise passée)")))))</f>
        <v/>
      </c>
      <c r="X351" s="40"/>
      <c r="Y351" s="43" t="str">
        <f aca="false">IF(OR($B351="",$X351=""),"",EDATE($X351,DelaiMiCarriere))</f>
        <v/>
      </c>
      <c r="Z351" s="42" t="str">
        <f aca="false">IF(OR($B351="",$X351=""),"",IF(AND($I351&lt;&gt;"",$I351&lt;=DateRef),"",IF(AND($N351&lt;&gt;"",$N351&gt;=$X351),"Réalisé",IF($Y351&lt;DateRef,"En retard","À planifier"))))</f>
        <v/>
      </c>
      <c r="AA351" s="47" t="str">
        <f aca="false">IF(OR($B351="",$G351=""),"",IF($G351&gt;DateRef,"",DATEDIF($G351,DateRef,"y")))</f>
        <v/>
      </c>
      <c r="AB351" s="43" t="str">
        <f aca="false">IF(OR($B351="",$G351=""),"",EDATE($G351,AgeFinCarriere*12))</f>
        <v/>
      </c>
      <c r="AC351" s="42" t="str">
        <f aca="false">IF(OR($B351="",$G351="",$H351=""),"",IF(AND($I351&lt;&gt;"",$I351&lt;=DateRef),"",IF($AB351&lt;DateVigueur,"Non concerné",IF(AND($N351&lt;&gt;"",$N351&gt;=MAX(EDATE($AB351,-FenetreFinCarriere*12),DateVigueur),$N351&lt;=$AB351),"Réalisé",IF(DateRef&gt;$AB351,"Non réalisé",IF(AND($Q351&lt;&gt;"",$Q351&gt;=EDATE($AB351,-FenetreFinCarriere*12),$Q351&lt;=$AB351),"Planifié dans la fenêtre",IF(AND(MAX($P351,DateRef)&gt;=EDATE($AB351,-FenetreFinCarriere*12),MAX($P351,DateRef)&lt;=$AB351),"Prochain EPP dans la fenêtre",IF(MAX($P351,DateRef)&gt;$AB351,"À programmer avant 60 ans",""))))))))</f>
        <v/>
      </c>
      <c r="AD351" s="40"/>
      <c r="AE351" s="43" t="str">
        <f aca="false">IF(OR($B351="",$H351="",AND($I351&lt;&gt;"",$I351&lt;=DateRef)),"",MAX($H351,$AD351,IF($A351="",0,SUMPRODUCT(MAX((Journal!$A$6:$A$1005=$A351)*((Journal!$D$6:$D$1005=TypeEDL)+(Journal!$D$6:$D$1005=TypeBilan6))*Journal!$C$6:$C$1005)))))</f>
        <v/>
      </c>
      <c r="AF351" s="43" t="str">
        <f aca="false">IF($AE351="","",IF(AND(ReglesTransitoires="Oui",EDATE($AE351,AnciennePeriodiciteEDL*12)&lt;DateVigueur),EDATE($AE351,AnciennePeriodiciteEDL*12),EDATE($AE351,PeriodiciteEDL*12)))</f>
        <v/>
      </c>
      <c r="AG351" s="42" t="str">
        <f aca="false">IF($AF351="","",IF(AND($I351&lt;&gt;"",$I351&lt;=DateRef),"",IF($AF351&lt;DateRef,"En retard",IF($AF351-DateRef&lt;=SeuilAlerteEDL,"À prévoir","À jour"))))</f>
        <v/>
      </c>
      <c r="AH351" s="39"/>
      <c r="AI351" s="39"/>
      <c r="AJ351" s="42" t="str">
        <f aca="false">IF(OR($B351="",$H351=""),"",IF(AND($I351&lt;&gt;"",$I351&lt;=DateRef),"",IF(Effectif&lt;SeuilEffectif,"Non concerné (&lt; "&amp;SeuilEffectif&amp;" salariés)",IF($AH351="Oui","Pas de risque",IF(AND(OR($AI351="Non",$S351="En retard"),$AH351="Non"),"Risque abondement",IF(OR($AI351="Non",$S351="En retard"),"À vérifier (formation ?)",IF($AI351="Oui","Pas de risque","À compléter")))))))</f>
        <v/>
      </c>
      <c r="AK351" s="39"/>
    </row>
    <row r="352" customFormat="false" ht="15" hidden="false" customHeight="false" outlineLevel="0" collapsed="false">
      <c r="A352" s="39"/>
      <c r="B352" s="39"/>
      <c r="C352" s="39"/>
      <c r="D352" s="39"/>
      <c r="E352" s="39"/>
      <c r="F352" s="39"/>
      <c r="G352" s="40"/>
      <c r="H352" s="40"/>
      <c r="I352" s="40"/>
      <c r="J352" s="41" t="str">
        <f aca="false">IF(OR($B352="",$H352=""),"",IF($H352&gt;DateRef,0,YEARFRAC($H352,DateRef,1)))</f>
        <v/>
      </c>
      <c r="K352" s="42" t="str">
        <f aca="false">IF(OR($B352="",$H352=""),"",IF(EDATE($H352,12)&lt;=DateRef,"Plus d'un an","Moins d'un an"))</f>
        <v/>
      </c>
      <c r="L352" s="40"/>
      <c r="M352" s="43" t="str">
        <f aca="false">IF(OR($B352="",$A352=""),"",IF(SUMPRODUCT(MAX((Journal!$A$6:$A$1005=$A352)*Journal!$C$6:$C$1005))=0,"",SUMPRODUCT(MAX((Journal!$A$6:$A$1005=$A352)*Journal!$C$6:$C$1005))))</f>
        <v/>
      </c>
      <c r="N352" s="43" t="str">
        <f aca="false">IF($B352="","",IF(MAX($L352,$M352)=0,"",MAX($L352,$M352)))</f>
        <v/>
      </c>
      <c r="O352" s="44" t="str">
        <f aca="false">IF(OR($B352="",$H352=""),"",IF($N352="",IF(EDATE($H352,DelaiPremierEPP)&gt;DateRef,"1er EPP (1re année)","Aucun entretien renseigné"),IF(AND(ReglesTransitoires="Oui",EDATE($N352,AnciennePeriodiciteEP*12)&lt;DateVigueur),"Retard antérieur à la réforme","Périodicité "&amp;PeriodiciteEPP&amp;" ans")))</f>
        <v/>
      </c>
      <c r="P352" s="43" t="str">
        <f aca="false">IF(OR($B352="",$H352=""),"",IF($N352="",EDATE($H352,DelaiPremierEPP),IF(AND(ReglesTransitoires="Oui",EDATE($N352,AnciennePeriodiciteEP*12)&lt;DateVigueur),EDATE($N352,AnciennePeriodiciteEP*12),EDATE($N352,PeriodiciteEPP*12))))</f>
        <v/>
      </c>
      <c r="Q352" s="40"/>
      <c r="R352" s="45" t="str">
        <f aca="false">IF(OR($P352="",AND($I352&lt;&gt;"",$I352&lt;=DateRef)),"",$P352-DateRef)</f>
        <v/>
      </c>
      <c r="S352" s="42" t="str">
        <f aca="false">IF($B352="","",IF(AND($I352&lt;&gt;"",$I352&lt;=DateRef),"Sorti",IF($H352="","À compléter",IF(AND($Q352&lt;&gt;"",$Q352&gt;=DateRef,$Q352&lt;=$P352),"Planifié",IF($R352&lt;0,"En retard",IF($R352&lt;=SeuilAlerteEPP,"À planifier","À jour"))))))</f>
        <v/>
      </c>
      <c r="T352" s="46" t="str">
        <f aca="false">IF(OR($B352="",$S352="Sorti"),"",MID(IF($H352=""," | Date d'embauche manquante","")&amp;IF(AND($K352="Plus d'un an",$N352="")," | Précédent entretien à renseigner (ancienneté &gt; 1 an)","")&amp;IF($O352="Retard antérieur à la réforme"," | Ancien délai de 2 ans expiré avant la réforme","")&amp;IF(AND($N352&lt;&gt;"",$H352&lt;&gt;"",$N352&lt;$H352)," | Entretien antérieur à l'embauche ?","")&amp;IF(AND($N352&lt;&gt;"",$N352&gt;DateRef)," | Entretien daté dans le futur ?","")&amp;IF(AND($Q352&lt;&gt;"",$P352&lt;&gt;"",$Q352&gt;$P352)," | Date prévue après l'échéance","")&amp;IF(AND($Q352&lt;&gt;"",$Q352&lt;DateRef,OR($N352="",$N352&lt;$Q352))," | Entretien prévu passé : le consigner au Journal","")&amp;IF(AND($G352&lt;&gt;"",$X352="",YEAR(DateRef)-YEAR($G352)&gt;=AgeMiCarriere-1,YEAR(DateRef)-YEAR($G352)&lt;=AgeMiCarriere+1)," | Visite de mi-carrière à vérifier",""),4,1000))</f>
        <v/>
      </c>
      <c r="U352" s="39"/>
      <c r="V352" s="40"/>
      <c r="W352" s="42" t="str">
        <f aca="false">IF(OR($B352="",$V352=""),"",IF(AND($I352&lt;&gt;"",$I352&lt;=DateRef),"",IF(AND($N352&lt;&gt;"",$N352&gt;=$V352),"Réalisé",IF(AND($N352&lt;&gt;"",$N352&gt;=EDATE($V352,-FenetreRetour)),"Dispensé (EPP récent)",IF($V352&gt;DateRef,"À prévoir à la reprise","À proposer (reprise passée)")))))</f>
        <v/>
      </c>
      <c r="X352" s="40"/>
      <c r="Y352" s="43" t="str">
        <f aca="false">IF(OR($B352="",$X352=""),"",EDATE($X352,DelaiMiCarriere))</f>
        <v/>
      </c>
      <c r="Z352" s="42" t="str">
        <f aca="false">IF(OR($B352="",$X352=""),"",IF(AND($I352&lt;&gt;"",$I352&lt;=DateRef),"",IF(AND($N352&lt;&gt;"",$N352&gt;=$X352),"Réalisé",IF($Y352&lt;DateRef,"En retard","À planifier"))))</f>
        <v/>
      </c>
      <c r="AA352" s="47" t="str">
        <f aca="false">IF(OR($B352="",$G352=""),"",IF($G352&gt;DateRef,"",DATEDIF($G352,DateRef,"y")))</f>
        <v/>
      </c>
      <c r="AB352" s="43" t="str">
        <f aca="false">IF(OR($B352="",$G352=""),"",EDATE($G352,AgeFinCarriere*12))</f>
        <v/>
      </c>
      <c r="AC352" s="42" t="str">
        <f aca="false">IF(OR($B352="",$G352="",$H352=""),"",IF(AND($I352&lt;&gt;"",$I352&lt;=DateRef),"",IF($AB352&lt;DateVigueur,"Non concerné",IF(AND($N352&lt;&gt;"",$N352&gt;=MAX(EDATE($AB352,-FenetreFinCarriere*12),DateVigueur),$N352&lt;=$AB352),"Réalisé",IF(DateRef&gt;$AB352,"Non réalisé",IF(AND($Q352&lt;&gt;"",$Q352&gt;=EDATE($AB352,-FenetreFinCarriere*12),$Q352&lt;=$AB352),"Planifié dans la fenêtre",IF(AND(MAX($P352,DateRef)&gt;=EDATE($AB352,-FenetreFinCarriere*12),MAX($P352,DateRef)&lt;=$AB352),"Prochain EPP dans la fenêtre",IF(MAX($P352,DateRef)&gt;$AB352,"À programmer avant 60 ans",""))))))))</f>
        <v/>
      </c>
      <c r="AD352" s="40"/>
      <c r="AE352" s="43" t="str">
        <f aca="false">IF(OR($B352="",$H352="",AND($I352&lt;&gt;"",$I352&lt;=DateRef)),"",MAX($H352,$AD352,IF($A352="",0,SUMPRODUCT(MAX((Journal!$A$6:$A$1005=$A352)*((Journal!$D$6:$D$1005=TypeEDL)+(Journal!$D$6:$D$1005=TypeBilan6))*Journal!$C$6:$C$1005)))))</f>
        <v/>
      </c>
      <c r="AF352" s="43" t="str">
        <f aca="false">IF($AE352="","",IF(AND(ReglesTransitoires="Oui",EDATE($AE352,AnciennePeriodiciteEDL*12)&lt;DateVigueur),EDATE($AE352,AnciennePeriodiciteEDL*12),EDATE($AE352,PeriodiciteEDL*12)))</f>
        <v/>
      </c>
      <c r="AG352" s="42" t="str">
        <f aca="false">IF($AF352="","",IF(AND($I352&lt;&gt;"",$I352&lt;=DateRef),"",IF($AF352&lt;DateRef,"En retard",IF($AF352-DateRef&lt;=SeuilAlerteEDL,"À prévoir","À jour"))))</f>
        <v/>
      </c>
      <c r="AH352" s="39"/>
      <c r="AI352" s="39"/>
      <c r="AJ352" s="42" t="str">
        <f aca="false">IF(OR($B352="",$H352=""),"",IF(AND($I352&lt;&gt;"",$I352&lt;=DateRef),"",IF(Effectif&lt;SeuilEffectif,"Non concerné (&lt; "&amp;SeuilEffectif&amp;" salariés)",IF($AH352="Oui","Pas de risque",IF(AND(OR($AI352="Non",$S352="En retard"),$AH352="Non"),"Risque abondement",IF(OR($AI352="Non",$S352="En retard"),"À vérifier (formation ?)",IF($AI352="Oui","Pas de risque","À compléter")))))))</f>
        <v/>
      </c>
      <c r="AK352" s="39"/>
    </row>
    <row r="353" customFormat="false" ht="15" hidden="false" customHeight="false" outlineLevel="0" collapsed="false">
      <c r="A353" s="39"/>
      <c r="B353" s="39"/>
      <c r="C353" s="39"/>
      <c r="D353" s="39"/>
      <c r="E353" s="39"/>
      <c r="F353" s="39"/>
      <c r="G353" s="40"/>
      <c r="H353" s="40"/>
      <c r="I353" s="40"/>
      <c r="J353" s="41" t="str">
        <f aca="false">IF(OR($B353="",$H353=""),"",IF($H353&gt;DateRef,0,YEARFRAC($H353,DateRef,1)))</f>
        <v/>
      </c>
      <c r="K353" s="42" t="str">
        <f aca="false">IF(OR($B353="",$H353=""),"",IF(EDATE($H353,12)&lt;=DateRef,"Plus d'un an","Moins d'un an"))</f>
        <v/>
      </c>
      <c r="L353" s="40"/>
      <c r="M353" s="43" t="str">
        <f aca="false">IF(OR($B353="",$A353=""),"",IF(SUMPRODUCT(MAX((Journal!$A$6:$A$1005=$A353)*Journal!$C$6:$C$1005))=0,"",SUMPRODUCT(MAX((Journal!$A$6:$A$1005=$A353)*Journal!$C$6:$C$1005))))</f>
        <v/>
      </c>
      <c r="N353" s="43" t="str">
        <f aca="false">IF($B353="","",IF(MAX($L353,$M353)=0,"",MAX($L353,$M353)))</f>
        <v/>
      </c>
      <c r="O353" s="44" t="str">
        <f aca="false">IF(OR($B353="",$H353=""),"",IF($N353="",IF(EDATE($H353,DelaiPremierEPP)&gt;DateRef,"1er EPP (1re année)","Aucun entretien renseigné"),IF(AND(ReglesTransitoires="Oui",EDATE($N353,AnciennePeriodiciteEP*12)&lt;DateVigueur),"Retard antérieur à la réforme","Périodicité "&amp;PeriodiciteEPP&amp;" ans")))</f>
        <v/>
      </c>
      <c r="P353" s="43" t="str">
        <f aca="false">IF(OR($B353="",$H353=""),"",IF($N353="",EDATE($H353,DelaiPremierEPP),IF(AND(ReglesTransitoires="Oui",EDATE($N353,AnciennePeriodiciteEP*12)&lt;DateVigueur),EDATE($N353,AnciennePeriodiciteEP*12),EDATE($N353,PeriodiciteEPP*12))))</f>
        <v/>
      </c>
      <c r="Q353" s="40"/>
      <c r="R353" s="45" t="str">
        <f aca="false">IF(OR($P353="",AND($I353&lt;&gt;"",$I353&lt;=DateRef)),"",$P353-DateRef)</f>
        <v/>
      </c>
      <c r="S353" s="42" t="str">
        <f aca="false">IF($B353="","",IF(AND($I353&lt;&gt;"",$I353&lt;=DateRef),"Sorti",IF($H353="","À compléter",IF(AND($Q353&lt;&gt;"",$Q353&gt;=DateRef,$Q353&lt;=$P353),"Planifié",IF($R353&lt;0,"En retard",IF($R353&lt;=SeuilAlerteEPP,"À planifier","À jour"))))))</f>
        <v/>
      </c>
      <c r="T353" s="46" t="str">
        <f aca="false">IF(OR($B353="",$S353="Sorti"),"",MID(IF($H353=""," | Date d'embauche manquante","")&amp;IF(AND($K353="Plus d'un an",$N353="")," | Précédent entretien à renseigner (ancienneté &gt; 1 an)","")&amp;IF($O353="Retard antérieur à la réforme"," | Ancien délai de 2 ans expiré avant la réforme","")&amp;IF(AND($N353&lt;&gt;"",$H353&lt;&gt;"",$N353&lt;$H353)," | Entretien antérieur à l'embauche ?","")&amp;IF(AND($N353&lt;&gt;"",$N353&gt;DateRef)," | Entretien daté dans le futur ?","")&amp;IF(AND($Q353&lt;&gt;"",$P353&lt;&gt;"",$Q353&gt;$P353)," | Date prévue après l'échéance","")&amp;IF(AND($Q353&lt;&gt;"",$Q353&lt;DateRef,OR($N353="",$N353&lt;$Q353))," | Entretien prévu passé : le consigner au Journal","")&amp;IF(AND($G353&lt;&gt;"",$X353="",YEAR(DateRef)-YEAR($G353)&gt;=AgeMiCarriere-1,YEAR(DateRef)-YEAR($G353)&lt;=AgeMiCarriere+1)," | Visite de mi-carrière à vérifier",""),4,1000))</f>
        <v/>
      </c>
      <c r="U353" s="39"/>
      <c r="V353" s="40"/>
      <c r="W353" s="42" t="str">
        <f aca="false">IF(OR($B353="",$V353=""),"",IF(AND($I353&lt;&gt;"",$I353&lt;=DateRef),"",IF(AND($N353&lt;&gt;"",$N353&gt;=$V353),"Réalisé",IF(AND($N353&lt;&gt;"",$N353&gt;=EDATE($V353,-FenetreRetour)),"Dispensé (EPP récent)",IF($V353&gt;DateRef,"À prévoir à la reprise","À proposer (reprise passée)")))))</f>
        <v/>
      </c>
      <c r="X353" s="40"/>
      <c r="Y353" s="43" t="str">
        <f aca="false">IF(OR($B353="",$X353=""),"",EDATE($X353,DelaiMiCarriere))</f>
        <v/>
      </c>
      <c r="Z353" s="42" t="str">
        <f aca="false">IF(OR($B353="",$X353=""),"",IF(AND($I353&lt;&gt;"",$I353&lt;=DateRef),"",IF(AND($N353&lt;&gt;"",$N353&gt;=$X353),"Réalisé",IF($Y353&lt;DateRef,"En retard","À planifier"))))</f>
        <v/>
      </c>
      <c r="AA353" s="47" t="str">
        <f aca="false">IF(OR($B353="",$G353=""),"",IF($G353&gt;DateRef,"",DATEDIF($G353,DateRef,"y")))</f>
        <v/>
      </c>
      <c r="AB353" s="43" t="str">
        <f aca="false">IF(OR($B353="",$G353=""),"",EDATE($G353,AgeFinCarriere*12))</f>
        <v/>
      </c>
      <c r="AC353" s="42" t="str">
        <f aca="false">IF(OR($B353="",$G353="",$H353=""),"",IF(AND($I353&lt;&gt;"",$I353&lt;=DateRef),"",IF($AB353&lt;DateVigueur,"Non concerné",IF(AND($N353&lt;&gt;"",$N353&gt;=MAX(EDATE($AB353,-FenetreFinCarriere*12),DateVigueur),$N353&lt;=$AB353),"Réalisé",IF(DateRef&gt;$AB353,"Non réalisé",IF(AND($Q353&lt;&gt;"",$Q353&gt;=EDATE($AB353,-FenetreFinCarriere*12),$Q353&lt;=$AB353),"Planifié dans la fenêtre",IF(AND(MAX($P353,DateRef)&gt;=EDATE($AB353,-FenetreFinCarriere*12),MAX($P353,DateRef)&lt;=$AB353),"Prochain EPP dans la fenêtre",IF(MAX($P353,DateRef)&gt;$AB353,"À programmer avant 60 ans",""))))))))</f>
        <v/>
      </c>
      <c r="AD353" s="40"/>
      <c r="AE353" s="43" t="str">
        <f aca="false">IF(OR($B353="",$H353="",AND($I353&lt;&gt;"",$I353&lt;=DateRef)),"",MAX($H353,$AD353,IF($A353="",0,SUMPRODUCT(MAX((Journal!$A$6:$A$1005=$A353)*((Journal!$D$6:$D$1005=TypeEDL)+(Journal!$D$6:$D$1005=TypeBilan6))*Journal!$C$6:$C$1005)))))</f>
        <v/>
      </c>
      <c r="AF353" s="43" t="str">
        <f aca="false">IF($AE353="","",IF(AND(ReglesTransitoires="Oui",EDATE($AE353,AnciennePeriodiciteEDL*12)&lt;DateVigueur),EDATE($AE353,AnciennePeriodiciteEDL*12),EDATE($AE353,PeriodiciteEDL*12)))</f>
        <v/>
      </c>
      <c r="AG353" s="42" t="str">
        <f aca="false">IF($AF353="","",IF(AND($I353&lt;&gt;"",$I353&lt;=DateRef),"",IF($AF353&lt;DateRef,"En retard",IF($AF353-DateRef&lt;=SeuilAlerteEDL,"À prévoir","À jour"))))</f>
        <v/>
      </c>
      <c r="AH353" s="39"/>
      <c r="AI353" s="39"/>
      <c r="AJ353" s="42" t="str">
        <f aca="false">IF(OR($B353="",$H353=""),"",IF(AND($I353&lt;&gt;"",$I353&lt;=DateRef),"",IF(Effectif&lt;SeuilEffectif,"Non concerné (&lt; "&amp;SeuilEffectif&amp;" salariés)",IF($AH353="Oui","Pas de risque",IF(AND(OR($AI353="Non",$S353="En retard"),$AH353="Non"),"Risque abondement",IF(OR($AI353="Non",$S353="En retard"),"À vérifier (formation ?)",IF($AI353="Oui","Pas de risque","À compléter")))))))</f>
        <v/>
      </c>
      <c r="AK353" s="39"/>
    </row>
    <row r="354" customFormat="false" ht="15" hidden="false" customHeight="false" outlineLevel="0" collapsed="false">
      <c r="A354" s="39"/>
      <c r="B354" s="39"/>
      <c r="C354" s="39"/>
      <c r="D354" s="39"/>
      <c r="E354" s="39"/>
      <c r="F354" s="39"/>
      <c r="G354" s="40"/>
      <c r="H354" s="40"/>
      <c r="I354" s="40"/>
      <c r="J354" s="41" t="str">
        <f aca="false">IF(OR($B354="",$H354=""),"",IF($H354&gt;DateRef,0,YEARFRAC($H354,DateRef,1)))</f>
        <v/>
      </c>
      <c r="K354" s="42" t="str">
        <f aca="false">IF(OR($B354="",$H354=""),"",IF(EDATE($H354,12)&lt;=DateRef,"Plus d'un an","Moins d'un an"))</f>
        <v/>
      </c>
      <c r="L354" s="40"/>
      <c r="M354" s="43" t="str">
        <f aca="false">IF(OR($B354="",$A354=""),"",IF(SUMPRODUCT(MAX((Journal!$A$6:$A$1005=$A354)*Journal!$C$6:$C$1005))=0,"",SUMPRODUCT(MAX((Journal!$A$6:$A$1005=$A354)*Journal!$C$6:$C$1005))))</f>
        <v/>
      </c>
      <c r="N354" s="43" t="str">
        <f aca="false">IF($B354="","",IF(MAX($L354,$M354)=0,"",MAX($L354,$M354)))</f>
        <v/>
      </c>
      <c r="O354" s="44" t="str">
        <f aca="false">IF(OR($B354="",$H354=""),"",IF($N354="",IF(EDATE($H354,DelaiPremierEPP)&gt;DateRef,"1er EPP (1re année)","Aucun entretien renseigné"),IF(AND(ReglesTransitoires="Oui",EDATE($N354,AnciennePeriodiciteEP*12)&lt;DateVigueur),"Retard antérieur à la réforme","Périodicité "&amp;PeriodiciteEPP&amp;" ans")))</f>
        <v/>
      </c>
      <c r="P354" s="43" t="str">
        <f aca="false">IF(OR($B354="",$H354=""),"",IF($N354="",EDATE($H354,DelaiPremierEPP),IF(AND(ReglesTransitoires="Oui",EDATE($N354,AnciennePeriodiciteEP*12)&lt;DateVigueur),EDATE($N354,AnciennePeriodiciteEP*12),EDATE($N354,PeriodiciteEPP*12))))</f>
        <v/>
      </c>
      <c r="Q354" s="40"/>
      <c r="R354" s="45" t="str">
        <f aca="false">IF(OR($P354="",AND($I354&lt;&gt;"",$I354&lt;=DateRef)),"",$P354-DateRef)</f>
        <v/>
      </c>
      <c r="S354" s="42" t="str">
        <f aca="false">IF($B354="","",IF(AND($I354&lt;&gt;"",$I354&lt;=DateRef),"Sorti",IF($H354="","À compléter",IF(AND($Q354&lt;&gt;"",$Q354&gt;=DateRef,$Q354&lt;=$P354),"Planifié",IF($R354&lt;0,"En retard",IF($R354&lt;=SeuilAlerteEPP,"À planifier","À jour"))))))</f>
        <v/>
      </c>
      <c r="T354" s="46" t="str">
        <f aca="false">IF(OR($B354="",$S354="Sorti"),"",MID(IF($H354=""," | Date d'embauche manquante","")&amp;IF(AND($K354="Plus d'un an",$N354="")," | Précédent entretien à renseigner (ancienneté &gt; 1 an)","")&amp;IF($O354="Retard antérieur à la réforme"," | Ancien délai de 2 ans expiré avant la réforme","")&amp;IF(AND($N354&lt;&gt;"",$H354&lt;&gt;"",$N354&lt;$H354)," | Entretien antérieur à l'embauche ?","")&amp;IF(AND($N354&lt;&gt;"",$N354&gt;DateRef)," | Entretien daté dans le futur ?","")&amp;IF(AND($Q354&lt;&gt;"",$P354&lt;&gt;"",$Q354&gt;$P354)," | Date prévue après l'échéance","")&amp;IF(AND($Q354&lt;&gt;"",$Q354&lt;DateRef,OR($N354="",$N354&lt;$Q354))," | Entretien prévu passé : le consigner au Journal","")&amp;IF(AND($G354&lt;&gt;"",$X354="",YEAR(DateRef)-YEAR($G354)&gt;=AgeMiCarriere-1,YEAR(DateRef)-YEAR($G354)&lt;=AgeMiCarriere+1)," | Visite de mi-carrière à vérifier",""),4,1000))</f>
        <v/>
      </c>
      <c r="U354" s="39"/>
      <c r="V354" s="40"/>
      <c r="W354" s="42" t="str">
        <f aca="false">IF(OR($B354="",$V354=""),"",IF(AND($I354&lt;&gt;"",$I354&lt;=DateRef),"",IF(AND($N354&lt;&gt;"",$N354&gt;=$V354),"Réalisé",IF(AND($N354&lt;&gt;"",$N354&gt;=EDATE($V354,-FenetreRetour)),"Dispensé (EPP récent)",IF($V354&gt;DateRef,"À prévoir à la reprise","À proposer (reprise passée)")))))</f>
        <v/>
      </c>
      <c r="X354" s="40"/>
      <c r="Y354" s="43" t="str">
        <f aca="false">IF(OR($B354="",$X354=""),"",EDATE($X354,DelaiMiCarriere))</f>
        <v/>
      </c>
      <c r="Z354" s="42" t="str">
        <f aca="false">IF(OR($B354="",$X354=""),"",IF(AND($I354&lt;&gt;"",$I354&lt;=DateRef),"",IF(AND($N354&lt;&gt;"",$N354&gt;=$X354),"Réalisé",IF($Y354&lt;DateRef,"En retard","À planifier"))))</f>
        <v/>
      </c>
      <c r="AA354" s="47" t="str">
        <f aca="false">IF(OR($B354="",$G354=""),"",IF($G354&gt;DateRef,"",DATEDIF($G354,DateRef,"y")))</f>
        <v/>
      </c>
      <c r="AB354" s="43" t="str">
        <f aca="false">IF(OR($B354="",$G354=""),"",EDATE($G354,AgeFinCarriere*12))</f>
        <v/>
      </c>
      <c r="AC354" s="42" t="str">
        <f aca="false">IF(OR($B354="",$G354="",$H354=""),"",IF(AND($I354&lt;&gt;"",$I354&lt;=DateRef),"",IF($AB354&lt;DateVigueur,"Non concerné",IF(AND($N354&lt;&gt;"",$N354&gt;=MAX(EDATE($AB354,-FenetreFinCarriere*12),DateVigueur),$N354&lt;=$AB354),"Réalisé",IF(DateRef&gt;$AB354,"Non réalisé",IF(AND($Q354&lt;&gt;"",$Q354&gt;=EDATE($AB354,-FenetreFinCarriere*12),$Q354&lt;=$AB354),"Planifié dans la fenêtre",IF(AND(MAX($P354,DateRef)&gt;=EDATE($AB354,-FenetreFinCarriere*12),MAX($P354,DateRef)&lt;=$AB354),"Prochain EPP dans la fenêtre",IF(MAX($P354,DateRef)&gt;$AB354,"À programmer avant 60 ans",""))))))))</f>
        <v/>
      </c>
      <c r="AD354" s="40"/>
      <c r="AE354" s="43" t="str">
        <f aca="false">IF(OR($B354="",$H354="",AND($I354&lt;&gt;"",$I354&lt;=DateRef)),"",MAX($H354,$AD354,IF($A354="",0,SUMPRODUCT(MAX((Journal!$A$6:$A$1005=$A354)*((Journal!$D$6:$D$1005=TypeEDL)+(Journal!$D$6:$D$1005=TypeBilan6))*Journal!$C$6:$C$1005)))))</f>
        <v/>
      </c>
      <c r="AF354" s="43" t="str">
        <f aca="false">IF($AE354="","",IF(AND(ReglesTransitoires="Oui",EDATE($AE354,AnciennePeriodiciteEDL*12)&lt;DateVigueur),EDATE($AE354,AnciennePeriodiciteEDL*12),EDATE($AE354,PeriodiciteEDL*12)))</f>
        <v/>
      </c>
      <c r="AG354" s="42" t="str">
        <f aca="false">IF($AF354="","",IF(AND($I354&lt;&gt;"",$I354&lt;=DateRef),"",IF($AF354&lt;DateRef,"En retard",IF($AF354-DateRef&lt;=SeuilAlerteEDL,"À prévoir","À jour"))))</f>
        <v/>
      </c>
      <c r="AH354" s="39"/>
      <c r="AI354" s="39"/>
      <c r="AJ354" s="42" t="str">
        <f aca="false">IF(OR($B354="",$H354=""),"",IF(AND($I354&lt;&gt;"",$I354&lt;=DateRef),"",IF(Effectif&lt;SeuilEffectif,"Non concerné (&lt; "&amp;SeuilEffectif&amp;" salariés)",IF($AH354="Oui","Pas de risque",IF(AND(OR($AI354="Non",$S354="En retard"),$AH354="Non"),"Risque abondement",IF(OR($AI354="Non",$S354="En retard"),"À vérifier (formation ?)",IF($AI354="Oui","Pas de risque","À compléter")))))))</f>
        <v/>
      </c>
      <c r="AK354" s="39"/>
    </row>
    <row r="355" customFormat="false" ht="15" hidden="false" customHeight="false" outlineLevel="0" collapsed="false">
      <c r="A355" s="39"/>
      <c r="B355" s="39"/>
      <c r="C355" s="39"/>
      <c r="D355" s="39"/>
      <c r="E355" s="39"/>
      <c r="F355" s="39"/>
      <c r="G355" s="40"/>
      <c r="H355" s="40"/>
      <c r="I355" s="40"/>
      <c r="J355" s="41" t="str">
        <f aca="false">IF(OR($B355="",$H355=""),"",IF($H355&gt;DateRef,0,YEARFRAC($H355,DateRef,1)))</f>
        <v/>
      </c>
      <c r="K355" s="42" t="str">
        <f aca="false">IF(OR($B355="",$H355=""),"",IF(EDATE($H355,12)&lt;=DateRef,"Plus d'un an","Moins d'un an"))</f>
        <v/>
      </c>
      <c r="L355" s="40"/>
      <c r="M355" s="43" t="str">
        <f aca="false">IF(OR($B355="",$A355=""),"",IF(SUMPRODUCT(MAX((Journal!$A$6:$A$1005=$A355)*Journal!$C$6:$C$1005))=0,"",SUMPRODUCT(MAX((Journal!$A$6:$A$1005=$A355)*Journal!$C$6:$C$1005))))</f>
        <v/>
      </c>
      <c r="N355" s="43" t="str">
        <f aca="false">IF($B355="","",IF(MAX($L355,$M355)=0,"",MAX($L355,$M355)))</f>
        <v/>
      </c>
      <c r="O355" s="44" t="str">
        <f aca="false">IF(OR($B355="",$H355=""),"",IF($N355="",IF(EDATE($H355,DelaiPremierEPP)&gt;DateRef,"1er EPP (1re année)","Aucun entretien renseigné"),IF(AND(ReglesTransitoires="Oui",EDATE($N355,AnciennePeriodiciteEP*12)&lt;DateVigueur),"Retard antérieur à la réforme","Périodicité "&amp;PeriodiciteEPP&amp;" ans")))</f>
        <v/>
      </c>
      <c r="P355" s="43" t="str">
        <f aca="false">IF(OR($B355="",$H355=""),"",IF($N355="",EDATE($H355,DelaiPremierEPP),IF(AND(ReglesTransitoires="Oui",EDATE($N355,AnciennePeriodiciteEP*12)&lt;DateVigueur),EDATE($N355,AnciennePeriodiciteEP*12),EDATE($N355,PeriodiciteEPP*12))))</f>
        <v/>
      </c>
      <c r="Q355" s="40"/>
      <c r="R355" s="45" t="str">
        <f aca="false">IF(OR($P355="",AND($I355&lt;&gt;"",$I355&lt;=DateRef)),"",$P355-DateRef)</f>
        <v/>
      </c>
      <c r="S355" s="42" t="str">
        <f aca="false">IF($B355="","",IF(AND($I355&lt;&gt;"",$I355&lt;=DateRef),"Sorti",IF($H355="","À compléter",IF(AND($Q355&lt;&gt;"",$Q355&gt;=DateRef,$Q355&lt;=$P355),"Planifié",IF($R355&lt;0,"En retard",IF($R355&lt;=SeuilAlerteEPP,"À planifier","À jour"))))))</f>
        <v/>
      </c>
      <c r="T355" s="46" t="str">
        <f aca="false">IF(OR($B355="",$S355="Sorti"),"",MID(IF($H355=""," | Date d'embauche manquante","")&amp;IF(AND($K355="Plus d'un an",$N355="")," | Précédent entretien à renseigner (ancienneté &gt; 1 an)","")&amp;IF($O355="Retard antérieur à la réforme"," | Ancien délai de 2 ans expiré avant la réforme","")&amp;IF(AND($N355&lt;&gt;"",$H355&lt;&gt;"",$N355&lt;$H355)," | Entretien antérieur à l'embauche ?","")&amp;IF(AND($N355&lt;&gt;"",$N355&gt;DateRef)," | Entretien daté dans le futur ?","")&amp;IF(AND($Q355&lt;&gt;"",$P355&lt;&gt;"",$Q355&gt;$P355)," | Date prévue après l'échéance","")&amp;IF(AND($Q355&lt;&gt;"",$Q355&lt;DateRef,OR($N355="",$N355&lt;$Q355))," | Entretien prévu passé : le consigner au Journal","")&amp;IF(AND($G355&lt;&gt;"",$X355="",YEAR(DateRef)-YEAR($G355)&gt;=AgeMiCarriere-1,YEAR(DateRef)-YEAR($G355)&lt;=AgeMiCarriere+1)," | Visite de mi-carrière à vérifier",""),4,1000))</f>
        <v/>
      </c>
      <c r="U355" s="39"/>
      <c r="V355" s="40"/>
      <c r="W355" s="42" t="str">
        <f aca="false">IF(OR($B355="",$V355=""),"",IF(AND($I355&lt;&gt;"",$I355&lt;=DateRef),"",IF(AND($N355&lt;&gt;"",$N355&gt;=$V355),"Réalisé",IF(AND($N355&lt;&gt;"",$N355&gt;=EDATE($V355,-FenetreRetour)),"Dispensé (EPP récent)",IF($V355&gt;DateRef,"À prévoir à la reprise","À proposer (reprise passée)")))))</f>
        <v/>
      </c>
      <c r="X355" s="40"/>
      <c r="Y355" s="43" t="str">
        <f aca="false">IF(OR($B355="",$X355=""),"",EDATE($X355,DelaiMiCarriere))</f>
        <v/>
      </c>
      <c r="Z355" s="42" t="str">
        <f aca="false">IF(OR($B355="",$X355=""),"",IF(AND($I355&lt;&gt;"",$I355&lt;=DateRef),"",IF(AND($N355&lt;&gt;"",$N355&gt;=$X355),"Réalisé",IF($Y355&lt;DateRef,"En retard","À planifier"))))</f>
        <v/>
      </c>
      <c r="AA355" s="47" t="str">
        <f aca="false">IF(OR($B355="",$G355=""),"",IF($G355&gt;DateRef,"",DATEDIF($G355,DateRef,"y")))</f>
        <v/>
      </c>
      <c r="AB355" s="43" t="str">
        <f aca="false">IF(OR($B355="",$G355=""),"",EDATE($G355,AgeFinCarriere*12))</f>
        <v/>
      </c>
      <c r="AC355" s="42" t="str">
        <f aca="false">IF(OR($B355="",$G355="",$H355=""),"",IF(AND($I355&lt;&gt;"",$I355&lt;=DateRef),"",IF($AB355&lt;DateVigueur,"Non concerné",IF(AND($N355&lt;&gt;"",$N355&gt;=MAX(EDATE($AB355,-FenetreFinCarriere*12),DateVigueur),$N355&lt;=$AB355),"Réalisé",IF(DateRef&gt;$AB355,"Non réalisé",IF(AND($Q355&lt;&gt;"",$Q355&gt;=EDATE($AB355,-FenetreFinCarriere*12),$Q355&lt;=$AB355),"Planifié dans la fenêtre",IF(AND(MAX($P355,DateRef)&gt;=EDATE($AB355,-FenetreFinCarriere*12),MAX($P355,DateRef)&lt;=$AB355),"Prochain EPP dans la fenêtre",IF(MAX($P355,DateRef)&gt;$AB355,"À programmer avant 60 ans",""))))))))</f>
        <v/>
      </c>
      <c r="AD355" s="40"/>
      <c r="AE355" s="43" t="str">
        <f aca="false">IF(OR($B355="",$H355="",AND($I355&lt;&gt;"",$I355&lt;=DateRef)),"",MAX($H355,$AD355,IF($A355="",0,SUMPRODUCT(MAX((Journal!$A$6:$A$1005=$A355)*((Journal!$D$6:$D$1005=TypeEDL)+(Journal!$D$6:$D$1005=TypeBilan6))*Journal!$C$6:$C$1005)))))</f>
        <v/>
      </c>
      <c r="AF355" s="43" t="str">
        <f aca="false">IF($AE355="","",IF(AND(ReglesTransitoires="Oui",EDATE($AE355,AnciennePeriodiciteEDL*12)&lt;DateVigueur),EDATE($AE355,AnciennePeriodiciteEDL*12),EDATE($AE355,PeriodiciteEDL*12)))</f>
        <v/>
      </c>
      <c r="AG355" s="42" t="str">
        <f aca="false">IF($AF355="","",IF(AND($I355&lt;&gt;"",$I355&lt;=DateRef),"",IF($AF355&lt;DateRef,"En retard",IF($AF355-DateRef&lt;=SeuilAlerteEDL,"À prévoir","À jour"))))</f>
        <v/>
      </c>
      <c r="AH355" s="39"/>
      <c r="AI355" s="39"/>
      <c r="AJ355" s="42" t="str">
        <f aca="false">IF(OR($B355="",$H355=""),"",IF(AND($I355&lt;&gt;"",$I355&lt;=DateRef),"",IF(Effectif&lt;SeuilEffectif,"Non concerné (&lt; "&amp;SeuilEffectif&amp;" salariés)",IF($AH355="Oui","Pas de risque",IF(AND(OR($AI355="Non",$S355="En retard"),$AH355="Non"),"Risque abondement",IF(OR($AI355="Non",$S355="En retard"),"À vérifier (formation ?)",IF($AI355="Oui","Pas de risque","À compléter")))))))</f>
        <v/>
      </c>
      <c r="AK355" s="39"/>
    </row>
    <row r="356" customFormat="false" ht="15" hidden="false" customHeight="false" outlineLevel="0" collapsed="false">
      <c r="A356" s="39"/>
      <c r="B356" s="39"/>
      <c r="C356" s="39"/>
      <c r="D356" s="39"/>
      <c r="E356" s="39"/>
      <c r="F356" s="39"/>
      <c r="G356" s="40"/>
      <c r="H356" s="40"/>
      <c r="I356" s="40"/>
      <c r="J356" s="41" t="str">
        <f aca="false">IF(OR($B356="",$H356=""),"",IF($H356&gt;DateRef,0,YEARFRAC($H356,DateRef,1)))</f>
        <v/>
      </c>
      <c r="K356" s="42" t="str">
        <f aca="false">IF(OR($B356="",$H356=""),"",IF(EDATE($H356,12)&lt;=DateRef,"Plus d'un an","Moins d'un an"))</f>
        <v/>
      </c>
      <c r="L356" s="40"/>
      <c r="M356" s="43" t="str">
        <f aca="false">IF(OR($B356="",$A356=""),"",IF(SUMPRODUCT(MAX((Journal!$A$6:$A$1005=$A356)*Journal!$C$6:$C$1005))=0,"",SUMPRODUCT(MAX((Journal!$A$6:$A$1005=$A356)*Journal!$C$6:$C$1005))))</f>
        <v/>
      </c>
      <c r="N356" s="43" t="str">
        <f aca="false">IF($B356="","",IF(MAX($L356,$M356)=0,"",MAX($L356,$M356)))</f>
        <v/>
      </c>
      <c r="O356" s="44" t="str">
        <f aca="false">IF(OR($B356="",$H356=""),"",IF($N356="",IF(EDATE($H356,DelaiPremierEPP)&gt;DateRef,"1er EPP (1re année)","Aucun entretien renseigné"),IF(AND(ReglesTransitoires="Oui",EDATE($N356,AnciennePeriodiciteEP*12)&lt;DateVigueur),"Retard antérieur à la réforme","Périodicité "&amp;PeriodiciteEPP&amp;" ans")))</f>
        <v/>
      </c>
      <c r="P356" s="43" t="str">
        <f aca="false">IF(OR($B356="",$H356=""),"",IF($N356="",EDATE($H356,DelaiPremierEPP),IF(AND(ReglesTransitoires="Oui",EDATE($N356,AnciennePeriodiciteEP*12)&lt;DateVigueur),EDATE($N356,AnciennePeriodiciteEP*12),EDATE($N356,PeriodiciteEPP*12))))</f>
        <v/>
      </c>
      <c r="Q356" s="40"/>
      <c r="R356" s="45" t="str">
        <f aca="false">IF(OR($P356="",AND($I356&lt;&gt;"",$I356&lt;=DateRef)),"",$P356-DateRef)</f>
        <v/>
      </c>
      <c r="S356" s="42" t="str">
        <f aca="false">IF($B356="","",IF(AND($I356&lt;&gt;"",$I356&lt;=DateRef),"Sorti",IF($H356="","À compléter",IF(AND($Q356&lt;&gt;"",$Q356&gt;=DateRef,$Q356&lt;=$P356),"Planifié",IF($R356&lt;0,"En retard",IF($R356&lt;=SeuilAlerteEPP,"À planifier","À jour"))))))</f>
        <v/>
      </c>
      <c r="T356" s="46" t="str">
        <f aca="false">IF(OR($B356="",$S356="Sorti"),"",MID(IF($H356=""," | Date d'embauche manquante","")&amp;IF(AND($K356="Plus d'un an",$N356="")," | Précédent entretien à renseigner (ancienneté &gt; 1 an)","")&amp;IF($O356="Retard antérieur à la réforme"," | Ancien délai de 2 ans expiré avant la réforme","")&amp;IF(AND($N356&lt;&gt;"",$H356&lt;&gt;"",$N356&lt;$H356)," | Entretien antérieur à l'embauche ?","")&amp;IF(AND($N356&lt;&gt;"",$N356&gt;DateRef)," | Entretien daté dans le futur ?","")&amp;IF(AND($Q356&lt;&gt;"",$P356&lt;&gt;"",$Q356&gt;$P356)," | Date prévue après l'échéance","")&amp;IF(AND($Q356&lt;&gt;"",$Q356&lt;DateRef,OR($N356="",$N356&lt;$Q356))," | Entretien prévu passé : le consigner au Journal","")&amp;IF(AND($G356&lt;&gt;"",$X356="",YEAR(DateRef)-YEAR($G356)&gt;=AgeMiCarriere-1,YEAR(DateRef)-YEAR($G356)&lt;=AgeMiCarriere+1)," | Visite de mi-carrière à vérifier",""),4,1000))</f>
        <v/>
      </c>
      <c r="U356" s="39"/>
      <c r="V356" s="40"/>
      <c r="W356" s="42" t="str">
        <f aca="false">IF(OR($B356="",$V356=""),"",IF(AND($I356&lt;&gt;"",$I356&lt;=DateRef),"",IF(AND($N356&lt;&gt;"",$N356&gt;=$V356),"Réalisé",IF(AND($N356&lt;&gt;"",$N356&gt;=EDATE($V356,-FenetreRetour)),"Dispensé (EPP récent)",IF($V356&gt;DateRef,"À prévoir à la reprise","À proposer (reprise passée)")))))</f>
        <v/>
      </c>
      <c r="X356" s="40"/>
      <c r="Y356" s="43" t="str">
        <f aca="false">IF(OR($B356="",$X356=""),"",EDATE($X356,DelaiMiCarriere))</f>
        <v/>
      </c>
      <c r="Z356" s="42" t="str">
        <f aca="false">IF(OR($B356="",$X356=""),"",IF(AND($I356&lt;&gt;"",$I356&lt;=DateRef),"",IF(AND($N356&lt;&gt;"",$N356&gt;=$X356),"Réalisé",IF($Y356&lt;DateRef,"En retard","À planifier"))))</f>
        <v/>
      </c>
      <c r="AA356" s="47" t="str">
        <f aca="false">IF(OR($B356="",$G356=""),"",IF($G356&gt;DateRef,"",DATEDIF($G356,DateRef,"y")))</f>
        <v/>
      </c>
      <c r="AB356" s="43" t="str">
        <f aca="false">IF(OR($B356="",$G356=""),"",EDATE($G356,AgeFinCarriere*12))</f>
        <v/>
      </c>
      <c r="AC356" s="42" t="str">
        <f aca="false">IF(OR($B356="",$G356="",$H356=""),"",IF(AND($I356&lt;&gt;"",$I356&lt;=DateRef),"",IF($AB356&lt;DateVigueur,"Non concerné",IF(AND($N356&lt;&gt;"",$N356&gt;=MAX(EDATE($AB356,-FenetreFinCarriere*12),DateVigueur),$N356&lt;=$AB356),"Réalisé",IF(DateRef&gt;$AB356,"Non réalisé",IF(AND($Q356&lt;&gt;"",$Q356&gt;=EDATE($AB356,-FenetreFinCarriere*12),$Q356&lt;=$AB356),"Planifié dans la fenêtre",IF(AND(MAX($P356,DateRef)&gt;=EDATE($AB356,-FenetreFinCarriere*12),MAX($P356,DateRef)&lt;=$AB356),"Prochain EPP dans la fenêtre",IF(MAX($P356,DateRef)&gt;$AB356,"À programmer avant 60 ans",""))))))))</f>
        <v/>
      </c>
      <c r="AD356" s="40"/>
      <c r="AE356" s="43" t="str">
        <f aca="false">IF(OR($B356="",$H356="",AND($I356&lt;&gt;"",$I356&lt;=DateRef)),"",MAX($H356,$AD356,IF($A356="",0,SUMPRODUCT(MAX((Journal!$A$6:$A$1005=$A356)*((Journal!$D$6:$D$1005=TypeEDL)+(Journal!$D$6:$D$1005=TypeBilan6))*Journal!$C$6:$C$1005)))))</f>
        <v/>
      </c>
      <c r="AF356" s="43" t="str">
        <f aca="false">IF($AE356="","",IF(AND(ReglesTransitoires="Oui",EDATE($AE356,AnciennePeriodiciteEDL*12)&lt;DateVigueur),EDATE($AE356,AnciennePeriodiciteEDL*12),EDATE($AE356,PeriodiciteEDL*12)))</f>
        <v/>
      </c>
      <c r="AG356" s="42" t="str">
        <f aca="false">IF($AF356="","",IF(AND($I356&lt;&gt;"",$I356&lt;=DateRef),"",IF($AF356&lt;DateRef,"En retard",IF($AF356-DateRef&lt;=SeuilAlerteEDL,"À prévoir","À jour"))))</f>
        <v/>
      </c>
      <c r="AH356" s="39"/>
      <c r="AI356" s="39"/>
      <c r="AJ356" s="42" t="str">
        <f aca="false">IF(OR($B356="",$H356=""),"",IF(AND($I356&lt;&gt;"",$I356&lt;=DateRef),"",IF(Effectif&lt;SeuilEffectif,"Non concerné (&lt; "&amp;SeuilEffectif&amp;" salariés)",IF($AH356="Oui","Pas de risque",IF(AND(OR($AI356="Non",$S356="En retard"),$AH356="Non"),"Risque abondement",IF(OR($AI356="Non",$S356="En retard"),"À vérifier (formation ?)",IF($AI356="Oui","Pas de risque","À compléter")))))))</f>
        <v/>
      </c>
      <c r="AK356" s="39"/>
    </row>
    <row r="357" customFormat="false" ht="15" hidden="false" customHeight="false" outlineLevel="0" collapsed="false">
      <c r="A357" s="39"/>
      <c r="B357" s="39"/>
      <c r="C357" s="39"/>
      <c r="D357" s="39"/>
      <c r="E357" s="39"/>
      <c r="F357" s="39"/>
      <c r="G357" s="40"/>
      <c r="H357" s="40"/>
      <c r="I357" s="40"/>
      <c r="J357" s="41" t="str">
        <f aca="false">IF(OR($B357="",$H357=""),"",IF($H357&gt;DateRef,0,YEARFRAC($H357,DateRef,1)))</f>
        <v/>
      </c>
      <c r="K357" s="42" t="str">
        <f aca="false">IF(OR($B357="",$H357=""),"",IF(EDATE($H357,12)&lt;=DateRef,"Plus d'un an","Moins d'un an"))</f>
        <v/>
      </c>
      <c r="L357" s="40"/>
      <c r="M357" s="43" t="str">
        <f aca="false">IF(OR($B357="",$A357=""),"",IF(SUMPRODUCT(MAX((Journal!$A$6:$A$1005=$A357)*Journal!$C$6:$C$1005))=0,"",SUMPRODUCT(MAX((Journal!$A$6:$A$1005=$A357)*Journal!$C$6:$C$1005))))</f>
        <v/>
      </c>
      <c r="N357" s="43" t="str">
        <f aca="false">IF($B357="","",IF(MAX($L357,$M357)=0,"",MAX($L357,$M357)))</f>
        <v/>
      </c>
      <c r="O357" s="44" t="str">
        <f aca="false">IF(OR($B357="",$H357=""),"",IF($N357="",IF(EDATE($H357,DelaiPremierEPP)&gt;DateRef,"1er EPP (1re année)","Aucun entretien renseigné"),IF(AND(ReglesTransitoires="Oui",EDATE($N357,AnciennePeriodiciteEP*12)&lt;DateVigueur),"Retard antérieur à la réforme","Périodicité "&amp;PeriodiciteEPP&amp;" ans")))</f>
        <v/>
      </c>
      <c r="P357" s="43" t="str">
        <f aca="false">IF(OR($B357="",$H357=""),"",IF($N357="",EDATE($H357,DelaiPremierEPP),IF(AND(ReglesTransitoires="Oui",EDATE($N357,AnciennePeriodiciteEP*12)&lt;DateVigueur),EDATE($N357,AnciennePeriodiciteEP*12),EDATE($N357,PeriodiciteEPP*12))))</f>
        <v/>
      </c>
      <c r="Q357" s="40"/>
      <c r="R357" s="45" t="str">
        <f aca="false">IF(OR($P357="",AND($I357&lt;&gt;"",$I357&lt;=DateRef)),"",$P357-DateRef)</f>
        <v/>
      </c>
      <c r="S357" s="42" t="str">
        <f aca="false">IF($B357="","",IF(AND($I357&lt;&gt;"",$I357&lt;=DateRef),"Sorti",IF($H357="","À compléter",IF(AND($Q357&lt;&gt;"",$Q357&gt;=DateRef,$Q357&lt;=$P357),"Planifié",IF($R357&lt;0,"En retard",IF($R357&lt;=SeuilAlerteEPP,"À planifier","À jour"))))))</f>
        <v/>
      </c>
      <c r="T357" s="46" t="str">
        <f aca="false">IF(OR($B357="",$S357="Sorti"),"",MID(IF($H357=""," | Date d'embauche manquante","")&amp;IF(AND($K357="Plus d'un an",$N357="")," | Précédent entretien à renseigner (ancienneté &gt; 1 an)","")&amp;IF($O357="Retard antérieur à la réforme"," | Ancien délai de 2 ans expiré avant la réforme","")&amp;IF(AND($N357&lt;&gt;"",$H357&lt;&gt;"",$N357&lt;$H357)," | Entretien antérieur à l'embauche ?","")&amp;IF(AND($N357&lt;&gt;"",$N357&gt;DateRef)," | Entretien daté dans le futur ?","")&amp;IF(AND($Q357&lt;&gt;"",$P357&lt;&gt;"",$Q357&gt;$P357)," | Date prévue après l'échéance","")&amp;IF(AND($Q357&lt;&gt;"",$Q357&lt;DateRef,OR($N357="",$N357&lt;$Q357))," | Entretien prévu passé : le consigner au Journal","")&amp;IF(AND($G357&lt;&gt;"",$X357="",YEAR(DateRef)-YEAR($G357)&gt;=AgeMiCarriere-1,YEAR(DateRef)-YEAR($G357)&lt;=AgeMiCarriere+1)," | Visite de mi-carrière à vérifier",""),4,1000))</f>
        <v/>
      </c>
      <c r="U357" s="39"/>
      <c r="V357" s="40"/>
      <c r="W357" s="42" t="str">
        <f aca="false">IF(OR($B357="",$V357=""),"",IF(AND($I357&lt;&gt;"",$I357&lt;=DateRef),"",IF(AND($N357&lt;&gt;"",$N357&gt;=$V357),"Réalisé",IF(AND($N357&lt;&gt;"",$N357&gt;=EDATE($V357,-FenetreRetour)),"Dispensé (EPP récent)",IF($V357&gt;DateRef,"À prévoir à la reprise","À proposer (reprise passée)")))))</f>
        <v/>
      </c>
      <c r="X357" s="40"/>
      <c r="Y357" s="43" t="str">
        <f aca="false">IF(OR($B357="",$X357=""),"",EDATE($X357,DelaiMiCarriere))</f>
        <v/>
      </c>
      <c r="Z357" s="42" t="str">
        <f aca="false">IF(OR($B357="",$X357=""),"",IF(AND($I357&lt;&gt;"",$I357&lt;=DateRef),"",IF(AND($N357&lt;&gt;"",$N357&gt;=$X357),"Réalisé",IF($Y357&lt;DateRef,"En retard","À planifier"))))</f>
        <v/>
      </c>
      <c r="AA357" s="47" t="str">
        <f aca="false">IF(OR($B357="",$G357=""),"",IF($G357&gt;DateRef,"",DATEDIF($G357,DateRef,"y")))</f>
        <v/>
      </c>
      <c r="AB357" s="43" t="str">
        <f aca="false">IF(OR($B357="",$G357=""),"",EDATE($G357,AgeFinCarriere*12))</f>
        <v/>
      </c>
      <c r="AC357" s="42" t="str">
        <f aca="false">IF(OR($B357="",$G357="",$H357=""),"",IF(AND($I357&lt;&gt;"",$I357&lt;=DateRef),"",IF($AB357&lt;DateVigueur,"Non concerné",IF(AND($N357&lt;&gt;"",$N357&gt;=MAX(EDATE($AB357,-FenetreFinCarriere*12),DateVigueur),$N357&lt;=$AB357),"Réalisé",IF(DateRef&gt;$AB357,"Non réalisé",IF(AND($Q357&lt;&gt;"",$Q357&gt;=EDATE($AB357,-FenetreFinCarriere*12),$Q357&lt;=$AB357),"Planifié dans la fenêtre",IF(AND(MAX($P357,DateRef)&gt;=EDATE($AB357,-FenetreFinCarriere*12),MAX($P357,DateRef)&lt;=$AB357),"Prochain EPP dans la fenêtre",IF(MAX($P357,DateRef)&gt;$AB357,"À programmer avant 60 ans",""))))))))</f>
        <v/>
      </c>
      <c r="AD357" s="40"/>
      <c r="AE357" s="43" t="str">
        <f aca="false">IF(OR($B357="",$H357="",AND($I357&lt;&gt;"",$I357&lt;=DateRef)),"",MAX($H357,$AD357,IF($A357="",0,SUMPRODUCT(MAX((Journal!$A$6:$A$1005=$A357)*((Journal!$D$6:$D$1005=TypeEDL)+(Journal!$D$6:$D$1005=TypeBilan6))*Journal!$C$6:$C$1005)))))</f>
        <v/>
      </c>
      <c r="AF357" s="43" t="str">
        <f aca="false">IF($AE357="","",IF(AND(ReglesTransitoires="Oui",EDATE($AE357,AnciennePeriodiciteEDL*12)&lt;DateVigueur),EDATE($AE357,AnciennePeriodiciteEDL*12),EDATE($AE357,PeriodiciteEDL*12)))</f>
        <v/>
      </c>
      <c r="AG357" s="42" t="str">
        <f aca="false">IF($AF357="","",IF(AND($I357&lt;&gt;"",$I357&lt;=DateRef),"",IF($AF357&lt;DateRef,"En retard",IF($AF357-DateRef&lt;=SeuilAlerteEDL,"À prévoir","À jour"))))</f>
        <v/>
      </c>
      <c r="AH357" s="39"/>
      <c r="AI357" s="39"/>
      <c r="AJ357" s="42" t="str">
        <f aca="false">IF(OR($B357="",$H357=""),"",IF(AND($I357&lt;&gt;"",$I357&lt;=DateRef),"",IF(Effectif&lt;SeuilEffectif,"Non concerné (&lt; "&amp;SeuilEffectif&amp;" salariés)",IF($AH357="Oui","Pas de risque",IF(AND(OR($AI357="Non",$S357="En retard"),$AH357="Non"),"Risque abondement",IF(OR($AI357="Non",$S357="En retard"),"À vérifier (formation ?)",IF($AI357="Oui","Pas de risque","À compléter")))))))</f>
        <v/>
      </c>
      <c r="AK357" s="39"/>
    </row>
    <row r="358" customFormat="false" ht="15" hidden="false" customHeight="false" outlineLevel="0" collapsed="false">
      <c r="A358" s="39"/>
      <c r="B358" s="39"/>
      <c r="C358" s="39"/>
      <c r="D358" s="39"/>
      <c r="E358" s="39"/>
      <c r="F358" s="39"/>
      <c r="G358" s="40"/>
      <c r="H358" s="40"/>
      <c r="I358" s="40"/>
      <c r="J358" s="41" t="str">
        <f aca="false">IF(OR($B358="",$H358=""),"",IF($H358&gt;DateRef,0,YEARFRAC($H358,DateRef,1)))</f>
        <v/>
      </c>
      <c r="K358" s="42" t="str">
        <f aca="false">IF(OR($B358="",$H358=""),"",IF(EDATE($H358,12)&lt;=DateRef,"Plus d'un an","Moins d'un an"))</f>
        <v/>
      </c>
      <c r="L358" s="40"/>
      <c r="M358" s="43" t="str">
        <f aca="false">IF(OR($B358="",$A358=""),"",IF(SUMPRODUCT(MAX((Journal!$A$6:$A$1005=$A358)*Journal!$C$6:$C$1005))=0,"",SUMPRODUCT(MAX((Journal!$A$6:$A$1005=$A358)*Journal!$C$6:$C$1005))))</f>
        <v/>
      </c>
      <c r="N358" s="43" t="str">
        <f aca="false">IF($B358="","",IF(MAX($L358,$M358)=0,"",MAX($L358,$M358)))</f>
        <v/>
      </c>
      <c r="O358" s="44" t="str">
        <f aca="false">IF(OR($B358="",$H358=""),"",IF($N358="",IF(EDATE($H358,DelaiPremierEPP)&gt;DateRef,"1er EPP (1re année)","Aucun entretien renseigné"),IF(AND(ReglesTransitoires="Oui",EDATE($N358,AnciennePeriodiciteEP*12)&lt;DateVigueur),"Retard antérieur à la réforme","Périodicité "&amp;PeriodiciteEPP&amp;" ans")))</f>
        <v/>
      </c>
      <c r="P358" s="43" t="str">
        <f aca="false">IF(OR($B358="",$H358=""),"",IF($N358="",EDATE($H358,DelaiPremierEPP),IF(AND(ReglesTransitoires="Oui",EDATE($N358,AnciennePeriodiciteEP*12)&lt;DateVigueur),EDATE($N358,AnciennePeriodiciteEP*12),EDATE($N358,PeriodiciteEPP*12))))</f>
        <v/>
      </c>
      <c r="Q358" s="40"/>
      <c r="R358" s="45" t="str">
        <f aca="false">IF(OR($P358="",AND($I358&lt;&gt;"",$I358&lt;=DateRef)),"",$P358-DateRef)</f>
        <v/>
      </c>
      <c r="S358" s="42" t="str">
        <f aca="false">IF($B358="","",IF(AND($I358&lt;&gt;"",$I358&lt;=DateRef),"Sorti",IF($H358="","À compléter",IF(AND($Q358&lt;&gt;"",$Q358&gt;=DateRef,$Q358&lt;=$P358),"Planifié",IF($R358&lt;0,"En retard",IF($R358&lt;=SeuilAlerteEPP,"À planifier","À jour"))))))</f>
        <v/>
      </c>
      <c r="T358" s="46" t="str">
        <f aca="false">IF(OR($B358="",$S358="Sorti"),"",MID(IF($H358=""," | Date d'embauche manquante","")&amp;IF(AND($K358="Plus d'un an",$N358="")," | Précédent entretien à renseigner (ancienneté &gt; 1 an)","")&amp;IF($O358="Retard antérieur à la réforme"," | Ancien délai de 2 ans expiré avant la réforme","")&amp;IF(AND($N358&lt;&gt;"",$H358&lt;&gt;"",$N358&lt;$H358)," | Entretien antérieur à l'embauche ?","")&amp;IF(AND($N358&lt;&gt;"",$N358&gt;DateRef)," | Entretien daté dans le futur ?","")&amp;IF(AND($Q358&lt;&gt;"",$P358&lt;&gt;"",$Q358&gt;$P358)," | Date prévue après l'échéance","")&amp;IF(AND($Q358&lt;&gt;"",$Q358&lt;DateRef,OR($N358="",$N358&lt;$Q358))," | Entretien prévu passé : le consigner au Journal","")&amp;IF(AND($G358&lt;&gt;"",$X358="",YEAR(DateRef)-YEAR($G358)&gt;=AgeMiCarriere-1,YEAR(DateRef)-YEAR($G358)&lt;=AgeMiCarriere+1)," | Visite de mi-carrière à vérifier",""),4,1000))</f>
        <v/>
      </c>
      <c r="U358" s="39"/>
      <c r="V358" s="40"/>
      <c r="W358" s="42" t="str">
        <f aca="false">IF(OR($B358="",$V358=""),"",IF(AND($I358&lt;&gt;"",$I358&lt;=DateRef),"",IF(AND($N358&lt;&gt;"",$N358&gt;=$V358),"Réalisé",IF(AND($N358&lt;&gt;"",$N358&gt;=EDATE($V358,-FenetreRetour)),"Dispensé (EPP récent)",IF($V358&gt;DateRef,"À prévoir à la reprise","À proposer (reprise passée)")))))</f>
        <v/>
      </c>
      <c r="X358" s="40"/>
      <c r="Y358" s="43" t="str">
        <f aca="false">IF(OR($B358="",$X358=""),"",EDATE($X358,DelaiMiCarriere))</f>
        <v/>
      </c>
      <c r="Z358" s="42" t="str">
        <f aca="false">IF(OR($B358="",$X358=""),"",IF(AND($I358&lt;&gt;"",$I358&lt;=DateRef),"",IF(AND($N358&lt;&gt;"",$N358&gt;=$X358),"Réalisé",IF($Y358&lt;DateRef,"En retard","À planifier"))))</f>
        <v/>
      </c>
      <c r="AA358" s="47" t="str">
        <f aca="false">IF(OR($B358="",$G358=""),"",IF($G358&gt;DateRef,"",DATEDIF($G358,DateRef,"y")))</f>
        <v/>
      </c>
      <c r="AB358" s="43" t="str">
        <f aca="false">IF(OR($B358="",$G358=""),"",EDATE($G358,AgeFinCarriere*12))</f>
        <v/>
      </c>
      <c r="AC358" s="42" t="str">
        <f aca="false">IF(OR($B358="",$G358="",$H358=""),"",IF(AND($I358&lt;&gt;"",$I358&lt;=DateRef),"",IF($AB358&lt;DateVigueur,"Non concerné",IF(AND($N358&lt;&gt;"",$N358&gt;=MAX(EDATE($AB358,-FenetreFinCarriere*12),DateVigueur),$N358&lt;=$AB358),"Réalisé",IF(DateRef&gt;$AB358,"Non réalisé",IF(AND($Q358&lt;&gt;"",$Q358&gt;=EDATE($AB358,-FenetreFinCarriere*12),$Q358&lt;=$AB358),"Planifié dans la fenêtre",IF(AND(MAX($P358,DateRef)&gt;=EDATE($AB358,-FenetreFinCarriere*12),MAX($P358,DateRef)&lt;=$AB358),"Prochain EPP dans la fenêtre",IF(MAX($P358,DateRef)&gt;$AB358,"À programmer avant 60 ans",""))))))))</f>
        <v/>
      </c>
      <c r="AD358" s="40"/>
      <c r="AE358" s="43" t="str">
        <f aca="false">IF(OR($B358="",$H358="",AND($I358&lt;&gt;"",$I358&lt;=DateRef)),"",MAX($H358,$AD358,IF($A358="",0,SUMPRODUCT(MAX((Journal!$A$6:$A$1005=$A358)*((Journal!$D$6:$D$1005=TypeEDL)+(Journal!$D$6:$D$1005=TypeBilan6))*Journal!$C$6:$C$1005)))))</f>
        <v/>
      </c>
      <c r="AF358" s="43" t="str">
        <f aca="false">IF($AE358="","",IF(AND(ReglesTransitoires="Oui",EDATE($AE358,AnciennePeriodiciteEDL*12)&lt;DateVigueur),EDATE($AE358,AnciennePeriodiciteEDL*12),EDATE($AE358,PeriodiciteEDL*12)))</f>
        <v/>
      </c>
      <c r="AG358" s="42" t="str">
        <f aca="false">IF($AF358="","",IF(AND($I358&lt;&gt;"",$I358&lt;=DateRef),"",IF($AF358&lt;DateRef,"En retard",IF($AF358-DateRef&lt;=SeuilAlerteEDL,"À prévoir","À jour"))))</f>
        <v/>
      </c>
      <c r="AH358" s="39"/>
      <c r="AI358" s="39"/>
      <c r="AJ358" s="42" t="str">
        <f aca="false">IF(OR($B358="",$H358=""),"",IF(AND($I358&lt;&gt;"",$I358&lt;=DateRef),"",IF(Effectif&lt;SeuilEffectif,"Non concerné (&lt; "&amp;SeuilEffectif&amp;" salariés)",IF($AH358="Oui","Pas de risque",IF(AND(OR($AI358="Non",$S358="En retard"),$AH358="Non"),"Risque abondement",IF(OR($AI358="Non",$S358="En retard"),"À vérifier (formation ?)",IF($AI358="Oui","Pas de risque","À compléter")))))))</f>
        <v/>
      </c>
      <c r="AK358" s="39"/>
    </row>
    <row r="359" customFormat="false" ht="15" hidden="false" customHeight="false" outlineLevel="0" collapsed="false">
      <c r="A359" s="39"/>
      <c r="B359" s="39"/>
      <c r="C359" s="39"/>
      <c r="D359" s="39"/>
      <c r="E359" s="39"/>
      <c r="F359" s="39"/>
      <c r="G359" s="40"/>
      <c r="H359" s="40"/>
      <c r="I359" s="40"/>
      <c r="J359" s="41" t="str">
        <f aca="false">IF(OR($B359="",$H359=""),"",IF($H359&gt;DateRef,0,YEARFRAC($H359,DateRef,1)))</f>
        <v/>
      </c>
      <c r="K359" s="42" t="str">
        <f aca="false">IF(OR($B359="",$H359=""),"",IF(EDATE($H359,12)&lt;=DateRef,"Plus d'un an","Moins d'un an"))</f>
        <v/>
      </c>
      <c r="L359" s="40"/>
      <c r="M359" s="43" t="str">
        <f aca="false">IF(OR($B359="",$A359=""),"",IF(SUMPRODUCT(MAX((Journal!$A$6:$A$1005=$A359)*Journal!$C$6:$C$1005))=0,"",SUMPRODUCT(MAX((Journal!$A$6:$A$1005=$A359)*Journal!$C$6:$C$1005))))</f>
        <v/>
      </c>
      <c r="N359" s="43" t="str">
        <f aca="false">IF($B359="","",IF(MAX($L359,$M359)=0,"",MAX($L359,$M359)))</f>
        <v/>
      </c>
      <c r="O359" s="44" t="str">
        <f aca="false">IF(OR($B359="",$H359=""),"",IF($N359="",IF(EDATE($H359,DelaiPremierEPP)&gt;DateRef,"1er EPP (1re année)","Aucun entretien renseigné"),IF(AND(ReglesTransitoires="Oui",EDATE($N359,AnciennePeriodiciteEP*12)&lt;DateVigueur),"Retard antérieur à la réforme","Périodicité "&amp;PeriodiciteEPP&amp;" ans")))</f>
        <v/>
      </c>
      <c r="P359" s="43" t="str">
        <f aca="false">IF(OR($B359="",$H359=""),"",IF($N359="",EDATE($H359,DelaiPremierEPP),IF(AND(ReglesTransitoires="Oui",EDATE($N359,AnciennePeriodiciteEP*12)&lt;DateVigueur),EDATE($N359,AnciennePeriodiciteEP*12),EDATE($N359,PeriodiciteEPP*12))))</f>
        <v/>
      </c>
      <c r="Q359" s="40"/>
      <c r="R359" s="45" t="str">
        <f aca="false">IF(OR($P359="",AND($I359&lt;&gt;"",$I359&lt;=DateRef)),"",$P359-DateRef)</f>
        <v/>
      </c>
      <c r="S359" s="42" t="str">
        <f aca="false">IF($B359="","",IF(AND($I359&lt;&gt;"",$I359&lt;=DateRef),"Sorti",IF($H359="","À compléter",IF(AND($Q359&lt;&gt;"",$Q359&gt;=DateRef,$Q359&lt;=$P359),"Planifié",IF($R359&lt;0,"En retard",IF($R359&lt;=SeuilAlerteEPP,"À planifier","À jour"))))))</f>
        <v/>
      </c>
      <c r="T359" s="46" t="str">
        <f aca="false">IF(OR($B359="",$S359="Sorti"),"",MID(IF($H359=""," | Date d'embauche manquante","")&amp;IF(AND($K359="Plus d'un an",$N359="")," | Précédent entretien à renseigner (ancienneté &gt; 1 an)","")&amp;IF($O359="Retard antérieur à la réforme"," | Ancien délai de 2 ans expiré avant la réforme","")&amp;IF(AND($N359&lt;&gt;"",$H359&lt;&gt;"",$N359&lt;$H359)," | Entretien antérieur à l'embauche ?","")&amp;IF(AND($N359&lt;&gt;"",$N359&gt;DateRef)," | Entretien daté dans le futur ?","")&amp;IF(AND($Q359&lt;&gt;"",$P359&lt;&gt;"",$Q359&gt;$P359)," | Date prévue après l'échéance","")&amp;IF(AND($Q359&lt;&gt;"",$Q359&lt;DateRef,OR($N359="",$N359&lt;$Q359))," | Entretien prévu passé : le consigner au Journal","")&amp;IF(AND($G359&lt;&gt;"",$X359="",YEAR(DateRef)-YEAR($G359)&gt;=AgeMiCarriere-1,YEAR(DateRef)-YEAR($G359)&lt;=AgeMiCarriere+1)," | Visite de mi-carrière à vérifier",""),4,1000))</f>
        <v/>
      </c>
      <c r="U359" s="39"/>
      <c r="V359" s="40"/>
      <c r="W359" s="42" t="str">
        <f aca="false">IF(OR($B359="",$V359=""),"",IF(AND($I359&lt;&gt;"",$I359&lt;=DateRef),"",IF(AND($N359&lt;&gt;"",$N359&gt;=$V359),"Réalisé",IF(AND($N359&lt;&gt;"",$N359&gt;=EDATE($V359,-FenetreRetour)),"Dispensé (EPP récent)",IF($V359&gt;DateRef,"À prévoir à la reprise","À proposer (reprise passée)")))))</f>
        <v/>
      </c>
      <c r="X359" s="40"/>
      <c r="Y359" s="43" t="str">
        <f aca="false">IF(OR($B359="",$X359=""),"",EDATE($X359,DelaiMiCarriere))</f>
        <v/>
      </c>
      <c r="Z359" s="42" t="str">
        <f aca="false">IF(OR($B359="",$X359=""),"",IF(AND($I359&lt;&gt;"",$I359&lt;=DateRef),"",IF(AND($N359&lt;&gt;"",$N359&gt;=$X359),"Réalisé",IF($Y359&lt;DateRef,"En retard","À planifier"))))</f>
        <v/>
      </c>
      <c r="AA359" s="47" t="str">
        <f aca="false">IF(OR($B359="",$G359=""),"",IF($G359&gt;DateRef,"",DATEDIF($G359,DateRef,"y")))</f>
        <v/>
      </c>
      <c r="AB359" s="43" t="str">
        <f aca="false">IF(OR($B359="",$G359=""),"",EDATE($G359,AgeFinCarriere*12))</f>
        <v/>
      </c>
      <c r="AC359" s="42" t="str">
        <f aca="false">IF(OR($B359="",$G359="",$H359=""),"",IF(AND($I359&lt;&gt;"",$I359&lt;=DateRef),"",IF($AB359&lt;DateVigueur,"Non concerné",IF(AND($N359&lt;&gt;"",$N359&gt;=MAX(EDATE($AB359,-FenetreFinCarriere*12),DateVigueur),$N359&lt;=$AB359),"Réalisé",IF(DateRef&gt;$AB359,"Non réalisé",IF(AND($Q359&lt;&gt;"",$Q359&gt;=EDATE($AB359,-FenetreFinCarriere*12),$Q359&lt;=$AB359),"Planifié dans la fenêtre",IF(AND(MAX($P359,DateRef)&gt;=EDATE($AB359,-FenetreFinCarriere*12),MAX($P359,DateRef)&lt;=$AB359),"Prochain EPP dans la fenêtre",IF(MAX($P359,DateRef)&gt;$AB359,"À programmer avant 60 ans",""))))))))</f>
        <v/>
      </c>
      <c r="AD359" s="40"/>
      <c r="AE359" s="43" t="str">
        <f aca="false">IF(OR($B359="",$H359="",AND($I359&lt;&gt;"",$I359&lt;=DateRef)),"",MAX($H359,$AD359,IF($A359="",0,SUMPRODUCT(MAX((Journal!$A$6:$A$1005=$A359)*((Journal!$D$6:$D$1005=TypeEDL)+(Journal!$D$6:$D$1005=TypeBilan6))*Journal!$C$6:$C$1005)))))</f>
        <v/>
      </c>
      <c r="AF359" s="43" t="str">
        <f aca="false">IF($AE359="","",IF(AND(ReglesTransitoires="Oui",EDATE($AE359,AnciennePeriodiciteEDL*12)&lt;DateVigueur),EDATE($AE359,AnciennePeriodiciteEDL*12),EDATE($AE359,PeriodiciteEDL*12)))</f>
        <v/>
      </c>
      <c r="AG359" s="42" t="str">
        <f aca="false">IF($AF359="","",IF(AND($I359&lt;&gt;"",$I359&lt;=DateRef),"",IF($AF359&lt;DateRef,"En retard",IF($AF359-DateRef&lt;=SeuilAlerteEDL,"À prévoir","À jour"))))</f>
        <v/>
      </c>
      <c r="AH359" s="39"/>
      <c r="AI359" s="39"/>
      <c r="AJ359" s="42" t="str">
        <f aca="false">IF(OR($B359="",$H359=""),"",IF(AND($I359&lt;&gt;"",$I359&lt;=DateRef),"",IF(Effectif&lt;SeuilEffectif,"Non concerné (&lt; "&amp;SeuilEffectif&amp;" salariés)",IF($AH359="Oui","Pas de risque",IF(AND(OR($AI359="Non",$S359="En retard"),$AH359="Non"),"Risque abondement",IF(OR($AI359="Non",$S359="En retard"),"À vérifier (formation ?)",IF($AI359="Oui","Pas de risque","À compléter")))))))</f>
        <v/>
      </c>
      <c r="AK359" s="39"/>
    </row>
    <row r="360" customFormat="false" ht="15" hidden="false" customHeight="false" outlineLevel="0" collapsed="false">
      <c r="A360" s="39"/>
      <c r="B360" s="39"/>
      <c r="C360" s="39"/>
      <c r="D360" s="39"/>
      <c r="E360" s="39"/>
      <c r="F360" s="39"/>
      <c r="G360" s="40"/>
      <c r="H360" s="40"/>
      <c r="I360" s="40"/>
      <c r="J360" s="41" t="str">
        <f aca="false">IF(OR($B360="",$H360=""),"",IF($H360&gt;DateRef,0,YEARFRAC($H360,DateRef,1)))</f>
        <v/>
      </c>
      <c r="K360" s="42" t="str">
        <f aca="false">IF(OR($B360="",$H360=""),"",IF(EDATE($H360,12)&lt;=DateRef,"Plus d'un an","Moins d'un an"))</f>
        <v/>
      </c>
      <c r="L360" s="40"/>
      <c r="M360" s="43" t="str">
        <f aca="false">IF(OR($B360="",$A360=""),"",IF(SUMPRODUCT(MAX((Journal!$A$6:$A$1005=$A360)*Journal!$C$6:$C$1005))=0,"",SUMPRODUCT(MAX((Journal!$A$6:$A$1005=$A360)*Journal!$C$6:$C$1005))))</f>
        <v/>
      </c>
      <c r="N360" s="43" t="str">
        <f aca="false">IF($B360="","",IF(MAX($L360,$M360)=0,"",MAX($L360,$M360)))</f>
        <v/>
      </c>
      <c r="O360" s="44" t="str">
        <f aca="false">IF(OR($B360="",$H360=""),"",IF($N360="",IF(EDATE($H360,DelaiPremierEPP)&gt;DateRef,"1er EPP (1re année)","Aucun entretien renseigné"),IF(AND(ReglesTransitoires="Oui",EDATE($N360,AnciennePeriodiciteEP*12)&lt;DateVigueur),"Retard antérieur à la réforme","Périodicité "&amp;PeriodiciteEPP&amp;" ans")))</f>
        <v/>
      </c>
      <c r="P360" s="43" t="str">
        <f aca="false">IF(OR($B360="",$H360=""),"",IF($N360="",EDATE($H360,DelaiPremierEPP),IF(AND(ReglesTransitoires="Oui",EDATE($N360,AnciennePeriodiciteEP*12)&lt;DateVigueur),EDATE($N360,AnciennePeriodiciteEP*12),EDATE($N360,PeriodiciteEPP*12))))</f>
        <v/>
      </c>
      <c r="Q360" s="40"/>
      <c r="R360" s="45" t="str">
        <f aca="false">IF(OR($P360="",AND($I360&lt;&gt;"",$I360&lt;=DateRef)),"",$P360-DateRef)</f>
        <v/>
      </c>
      <c r="S360" s="42" t="str">
        <f aca="false">IF($B360="","",IF(AND($I360&lt;&gt;"",$I360&lt;=DateRef),"Sorti",IF($H360="","À compléter",IF(AND($Q360&lt;&gt;"",$Q360&gt;=DateRef,$Q360&lt;=$P360),"Planifié",IF($R360&lt;0,"En retard",IF($R360&lt;=SeuilAlerteEPP,"À planifier","À jour"))))))</f>
        <v/>
      </c>
      <c r="T360" s="46" t="str">
        <f aca="false">IF(OR($B360="",$S360="Sorti"),"",MID(IF($H360=""," | Date d'embauche manquante","")&amp;IF(AND($K360="Plus d'un an",$N360="")," | Précédent entretien à renseigner (ancienneté &gt; 1 an)","")&amp;IF($O360="Retard antérieur à la réforme"," | Ancien délai de 2 ans expiré avant la réforme","")&amp;IF(AND($N360&lt;&gt;"",$H360&lt;&gt;"",$N360&lt;$H360)," | Entretien antérieur à l'embauche ?","")&amp;IF(AND($N360&lt;&gt;"",$N360&gt;DateRef)," | Entretien daté dans le futur ?","")&amp;IF(AND($Q360&lt;&gt;"",$P360&lt;&gt;"",$Q360&gt;$P360)," | Date prévue après l'échéance","")&amp;IF(AND($Q360&lt;&gt;"",$Q360&lt;DateRef,OR($N360="",$N360&lt;$Q360))," | Entretien prévu passé : le consigner au Journal","")&amp;IF(AND($G360&lt;&gt;"",$X360="",YEAR(DateRef)-YEAR($G360)&gt;=AgeMiCarriere-1,YEAR(DateRef)-YEAR($G360)&lt;=AgeMiCarriere+1)," | Visite de mi-carrière à vérifier",""),4,1000))</f>
        <v/>
      </c>
      <c r="U360" s="39"/>
      <c r="V360" s="40"/>
      <c r="W360" s="42" t="str">
        <f aca="false">IF(OR($B360="",$V360=""),"",IF(AND($I360&lt;&gt;"",$I360&lt;=DateRef),"",IF(AND($N360&lt;&gt;"",$N360&gt;=$V360),"Réalisé",IF(AND($N360&lt;&gt;"",$N360&gt;=EDATE($V360,-FenetreRetour)),"Dispensé (EPP récent)",IF($V360&gt;DateRef,"À prévoir à la reprise","À proposer (reprise passée)")))))</f>
        <v/>
      </c>
      <c r="X360" s="40"/>
      <c r="Y360" s="43" t="str">
        <f aca="false">IF(OR($B360="",$X360=""),"",EDATE($X360,DelaiMiCarriere))</f>
        <v/>
      </c>
      <c r="Z360" s="42" t="str">
        <f aca="false">IF(OR($B360="",$X360=""),"",IF(AND($I360&lt;&gt;"",$I360&lt;=DateRef),"",IF(AND($N360&lt;&gt;"",$N360&gt;=$X360),"Réalisé",IF($Y360&lt;DateRef,"En retard","À planifier"))))</f>
        <v/>
      </c>
      <c r="AA360" s="47" t="str">
        <f aca="false">IF(OR($B360="",$G360=""),"",IF($G360&gt;DateRef,"",DATEDIF($G360,DateRef,"y")))</f>
        <v/>
      </c>
      <c r="AB360" s="43" t="str">
        <f aca="false">IF(OR($B360="",$G360=""),"",EDATE($G360,AgeFinCarriere*12))</f>
        <v/>
      </c>
      <c r="AC360" s="42" t="str">
        <f aca="false">IF(OR($B360="",$G360="",$H360=""),"",IF(AND($I360&lt;&gt;"",$I360&lt;=DateRef),"",IF($AB360&lt;DateVigueur,"Non concerné",IF(AND($N360&lt;&gt;"",$N360&gt;=MAX(EDATE($AB360,-FenetreFinCarriere*12),DateVigueur),$N360&lt;=$AB360),"Réalisé",IF(DateRef&gt;$AB360,"Non réalisé",IF(AND($Q360&lt;&gt;"",$Q360&gt;=EDATE($AB360,-FenetreFinCarriere*12),$Q360&lt;=$AB360),"Planifié dans la fenêtre",IF(AND(MAX($P360,DateRef)&gt;=EDATE($AB360,-FenetreFinCarriere*12),MAX($P360,DateRef)&lt;=$AB360),"Prochain EPP dans la fenêtre",IF(MAX($P360,DateRef)&gt;$AB360,"À programmer avant 60 ans",""))))))))</f>
        <v/>
      </c>
      <c r="AD360" s="40"/>
      <c r="AE360" s="43" t="str">
        <f aca="false">IF(OR($B360="",$H360="",AND($I360&lt;&gt;"",$I360&lt;=DateRef)),"",MAX($H360,$AD360,IF($A360="",0,SUMPRODUCT(MAX((Journal!$A$6:$A$1005=$A360)*((Journal!$D$6:$D$1005=TypeEDL)+(Journal!$D$6:$D$1005=TypeBilan6))*Journal!$C$6:$C$1005)))))</f>
        <v/>
      </c>
      <c r="AF360" s="43" t="str">
        <f aca="false">IF($AE360="","",IF(AND(ReglesTransitoires="Oui",EDATE($AE360,AnciennePeriodiciteEDL*12)&lt;DateVigueur),EDATE($AE360,AnciennePeriodiciteEDL*12),EDATE($AE360,PeriodiciteEDL*12)))</f>
        <v/>
      </c>
      <c r="AG360" s="42" t="str">
        <f aca="false">IF($AF360="","",IF(AND($I360&lt;&gt;"",$I360&lt;=DateRef),"",IF($AF360&lt;DateRef,"En retard",IF($AF360-DateRef&lt;=SeuilAlerteEDL,"À prévoir","À jour"))))</f>
        <v/>
      </c>
      <c r="AH360" s="39"/>
      <c r="AI360" s="39"/>
      <c r="AJ360" s="42" t="str">
        <f aca="false">IF(OR($B360="",$H360=""),"",IF(AND($I360&lt;&gt;"",$I360&lt;=DateRef),"",IF(Effectif&lt;SeuilEffectif,"Non concerné (&lt; "&amp;SeuilEffectif&amp;" salariés)",IF($AH360="Oui","Pas de risque",IF(AND(OR($AI360="Non",$S360="En retard"),$AH360="Non"),"Risque abondement",IF(OR($AI360="Non",$S360="En retard"),"À vérifier (formation ?)",IF($AI360="Oui","Pas de risque","À compléter")))))))</f>
        <v/>
      </c>
      <c r="AK360" s="39"/>
    </row>
    <row r="361" customFormat="false" ht="15" hidden="false" customHeight="false" outlineLevel="0" collapsed="false">
      <c r="A361" s="39"/>
      <c r="B361" s="39"/>
      <c r="C361" s="39"/>
      <c r="D361" s="39"/>
      <c r="E361" s="39"/>
      <c r="F361" s="39"/>
      <c r="G361" s="40"/>
      <c r="H361" s="40"/>
      <c r="I361" s="40"/>
      <c r="J361" s="41" t="str">
        <f aca="false">IF(OR($B361="",$H361=""),"",IF($H361&gt;DateRef,0,YEARFRAC($H361,DateRef,1)))</f>
        <v/>
      </c>
      <c r="K361" s="42" t="str">
        <f aca="false">IF(OR($B361="",$H361=""),"",IF(EDATE($H361,12)&lt;=DateRef,"Plus d'un an","Moins d'un an"))</f>
        <v/>
      </c>
      <c r="L361" s="40"/>
      <c r="M361" s="43" t="str">
        <f aca="false">IF(OR($B361="",$A361=""),"",IF(SUMPRODUCT(MAX((Journal!$A$6:$A$1005=$A361)*Journal!$C$6:$C$1005))=0,"",SUMPRODUCT(MAX((Journal!$A$6:$A$1005=$A361)*Journal!$C$6:$C$1005))))</f>
        <v/>
      </c>
      <c r="N361" s="43" t="str">
        <f aca="false">IF($B361="","",IF(MAX($L361,$M361)=0,"",MAX($L361,$M361)))</f>
        <v/>
      </c>
      <c r="O361" s="44" t="str">
        <f aca="false">IF(OR($B361="",$H361=""),"",IF($N361="",IF(EDATE($H361,DelaiPremierEPP)&gt;DateRef,"1er EPP (1re année)","Aucun entretien renseigné"),IF(AND(ReglesTransitoires="Oui",EDATE($N361,AnciennePeriodiciteEP*12)&lt;DateVigueur),"Retard antérieur à la réforme","Périodicité "&amp;PeriodiciteEPP&amp;" ans")))</f>
        <v/>
      </c>
      <c r="P361" s="43" t="str">
        <f aca="false">IF(OR($B361="",$H361=""),"",IF($N361="",EDATE($H361,DelaiPremierEPP),IF(AND(ReglesTransitoires="Oui",EDATE($N361,AnciennePeriodiciteEP*12)&lt;DateVigueur),EDATE($N361,AnciennePeriodiciteEP*12),EDATE($N361,PeriodiciteEPP*12))))</f>
        <v/>
      </c>
      <c r="Q361" s="40"/>
      <c r="R361" s="45" t="str">
        <f aca="false">IF(OR($P361="",AND($I361&lt;&gt;"",$I361&lt;=DateRef)),"",$P361-DateRef)</f>
        <v/>
      </c>
      <c r="S361" s="42" t="str">
        <f aca="false">IF($B361="","",IF(AND($I361&lt;&gt;"",$I361&lt;=DateRef),"Sorti",IF($H361="","À compléter",IF(AND($Q361&lt;&gt;"",$Q361&gt;=DateRef,$Q361&lt;=$P361),"Planifié",IF($R361&lt;0,"En retard",IF($R361&lt;=SeuilAlerteEPP,"À planifier","À jour"))))))</f>
        <v/>
      </c>
      <c r="T361" s="46" t="str">
        <f aca="false">IF(OR($B361="",$S361="Sorti"),"",MID(IF($H361=""," | Date d'embauche manquante","")&amp;IF(AND($K361="Plus d'un an",$N361="")," | Précédent entretien à renseigner (ancienneté &gt; 1 an)","")&amp;IF($O361="Retard antérieur à la réforme"," | Ancien délai de 2 ans expiré avant la réforme","")&amp;IF(AND($N361&lt;&gt;"",$H361&lt;&gt;"",$N361&lt;$H361)," | Entretien antérieur à l'embauche ?","")&amp;IF(AND($N361&lt;&gt;"",$N361&gt;DateRef)," | Entretien daté dans le futur ?","")&amp;IF(AND($Q361&lt;&gt;"",$P361&lt;&gt;"",$Q361&gt;$P361)," | Date prévue après l'échéance","")&amp;IF(AND($Q361&lt;&gt;"",$Q361&lt;DateRef,OR($N361="",$N361&lt;$Q361))," | Entretien prévu passé : le consigner au Journal","")&amp;IF(AND($G361&lt;&gt;"",$X361="",YEAR(DateRef)-YEAR($G361)&gt;=AgeMiCarriere-1,YEAR(DateRef)-YEAR($G361)&lt;=AgeMiCarriere+1)," | Visite de mi-carrière à vérifier",""),4,1000))</f>
        <v/>
      </c>
      <c r="U361" s="39"/>
      <c r="V361" s="40"/>
      <c r="W361" s="42" t="str">
        <f aca="false">IF(OR($B361="",$V361=""),"",IF(AND($I361&lt;&gt;"",$I361&lt;=DateRef),"",IF(AND($N361&lt;&gt;"",$N361&gt;=$V361),"Réalisé",IF(AND($N361&lt;&gt;"",$N361&gt;=EDATE($V361,-FenetreRetour)),"Dispensé (EPP récent)",IF($V361&gt;DateRef,"À prévoir à la reprise","À proposer (reprise passée)")))))</f>
        <v/>
      </c>
      <c r="X361" s="40"/>
      <c r="Y361" s="43" t="str">
        <f aca="false">IF(OR($B361="",$X361=""),"",EDATE($X361,DelaiMiCarriere))</f>
        <v/>
      </c>
      <c r="Z361" s="42" t="str">
        <f aca="false">IF(OR($B361="",$X361=""),"",IF(AND($I361&lt;&gt;"",$I361&lt;=DateRef),"",IF(AND($N361&lt;&gt;"",$N361&gt;=$X361),"Réalisé",IF($Y361&lt;DateRef,"En retard","À planifier"))))</f>
        <v/>
      </c>
      <c r="AA361" s="47" t="str">
        <f aca="false">IF(OR($B361="",$G361=""),"",IF($G361&gt;DateRef,"",DATEDIF($G361,DateRef,"y")))</f>
        <v/>
      </c>
      <c r="AB361" s="43" t="str">
        <f aca="false">IF(OR($B361="",$G361=""),"",EDATE($G361,AgeFinCarriere*12))</f>
        <v/>
      </c>
      <c r="AC361" s="42" t="str">
        <f aca="false">IF(OR($B361="",$G361="",$H361=""),"",IF(AND($I361&lt;&gt;"",$I361&lt;=DateRef),"",IF($AB361&lt;DateVigueur,"Non concerné",IF(AND($N361&lt;&gt;"",$N361&gt;=MAX(EDATE($AB361,-FenetreFinCarriere*12),DateVigueur),$N361&lt;=$AB361),"Réalisé",IF(DateRef&gt;$AB361,"Non réalisé",IF(AND($Q361&lt;&gt;"",$Q361&gt;=EDATE($AB361,-FenetreFinCarriere*12),$Q361&lt;=$AB361),"Planifié dans la fenêtre",IF(AND(MAX($P361,DateRef)&gt;=EDATE($AB361,-FenetreFinCarriere*12),MAX($P361,DateRef)&lt;=$AB361),"Prochain EPP dans la fenêtre",IF(MAX($P361,DateRef)&gt;$AB361,"À programmer avant 60 ans",""))))))))</f>
        <v/>
      </c>
      <c r="AD361" s="40"/>
      <c r="AE361" s="43" t="str">
        <f aca="false">IF(OR($B361="",$H361="",AND($I361&lt;&gt;"",$I361&lt;=DateRef)),"",MAX($H361,$AD361,IF($A361="",0,SUMPRODUCT(MAX((Journal!$A$6:$A$1005=$A361)*((Journal!$D$6:$D$1005=TypeEDL)+(Journal!$D$6:$D$1005=TypeBilan6))*Journal!$C$6:$C$1005)))))</f>
        <v/>
      </c>
      <c r="AF361" s="43" t="str">
        <f aca="false">IF($AE361="","",IF(AND(ReglesTransitoires="Oui",EDATE($AE361,AnciennePeriodiciteEDL*12)&lt;DateVigueur),EDATE($AE361,AnciennePeriodiciteEDL*12),EDATE($AE361,PeriodiciteEDL*12)))</f>
        <v/>
      </c>
      <c r="AG361" s="42" t="str">
        <f aca="false">IF($AF361="","",IF(AND($I361&lt;&gt;"",$I361&lt;=DateRef),"",IF($AF361&lt;DateRef,"En retard",IF($AF361-DateRef&lt;=SeuilAlerteEDL,"À prévoir","À jour"))))</f>
        <v/>
      </c>
      <c r="AH361" s="39"/>
      <c r="AI361" s="39"/>
      <c r="AJ361" s="42" t="str">
        <f aca="false">IF(OR($B361="",$H361=""),"",IF(AND($I361&lt;&gt;"",$I361&lt;=DateRef),"",IF(Effectif&lt;SeuilEffectif,"Non concerné (&lt; "&amp;SeuilEffectif&amp;" salariés)",IF($AH361="Oui","Pas de risque",IF(AND(OR($AI361="Non",$S361="En retard"),$AH361="Non"),"Risque abondement",IF(OR($AI361="Non",$S361="En retard"),"À vérifier (formation ?)",IF($AI361="Oui","Pas de risque","À compléter")))))))</f>
        <v/>
      </c>
      <c r="AK361" s="39"/>
    </row>
    <row r="362" customFormat="false" ht="15" hidden="false" customHeight="false" outlineLevel="0" collapsed="false">
      <c r="A362" s="39"/>
      <c r="B362" s="39"/>
      <c r="C362" s="39"/>
      <c r="D362" s="39"/>
      <c r="E362" s="39"/>
      <c r="F362" s="39"/>
      <c r="G362" s="40"/>
      <c r="H362" s="40"/>
      <c r="I362" s="40"/>
      <c r="J362" s="41" t="str">
        <f aca="false">IF(OR($B362="",$H362=""),"",IF($H362&gt;DateRef,0,YEARFRAC($H362,DateRef,1)))</f>
        <v/>
      </c>
      <c r="K362" s="42" t="str">
        <f aca="false">IF(OR($B362="",$H362=""),"",IF(EDATE($H362,12)&lt;=DateRef,"Plus d'un an","Moins d'un an"))</f>
        <v/>
      </c>
      <c r="L362" s="40"/>
      <c r="M362" s="43" t="str">
        <f aca="false">IF(OR($B362="",$A362=""),"",IF(SUMPRODUCT(MAX((Journal!$A$6:$A$1005=$A362)*Journal!$C$6:$C$1005))=0,"",SUMPRODUCT(MAX((Journal!$A$6:$A$1005=$A362)*Journal!$C$6:$C$1005))))</f>
        <v/>
      </c>
      <c r="N362" s="43" t="str">
        <f aca="false">IF($B362="","",IF(MAX($L362,$M362)=0,"",MAX($L362,$M362)))</f>
        <v/>
      </c>
      <c r="O362" s="44" t="str">
        <f aca="false">IF(OR($B362="",$H362=""),"",IF($N362="",IF(EDATE($H362,DelaiPremierEPP)&gt;DateRef,"1er EPP (1re année)","Aucun entretien renseigné"),IF(AND(ReglesTransitoires="Oui",EDATE($N362,AnciennePeriodiciteEP*12)&lt;DateVigueur),"Retard antérieur à la réforme","Périodicité "&amp;PeriodiciteEPP&amp;" ans")))</f>
        <v/>
      </c>
      <c r="P362" s="43" t="str">
        <f aca="false">IF(OR($B362="",$H362=""),"",IF($N362="",EDATE($H362,DelaiPremierEPP),IF(AND(ReglesTransitoires="Oui",EDATE($N362,AnciennePeriodiciteEP*12)&lt;DateVigueur),EDATE($N362,AnciennePeriodiciteEP*12),EDATE($N362,PeriodiciteEPP*12))))</f>
        <v/>
      </c>
      <c r="Q362" s="40"/>
      <c r="R362" s="45" t="str">
        <f aca="false">IF(OR($P362="",AND($I362&lt;&gt;"",$I362&lt;=DateRef)),"",$P362-DateRef)</f>
        <v/>
      </c>
      <c r="S362" s="42" t="str">
        <f aca="false">IF($B362="","",IF(AND($I362&lt;&gt;"",$I362&lt;=DateRef),"Sorti",IF($H362="","À compléter",IF(AND($Q362&lt;&gt;"",$Q362&gt;=DateRef,$Q362&lt;=$P362),"Planifié",IF($R362&lt;0,"En retard",IF($R362&lt;=SeuilAlerteEPP,"À planifier","À jour"))))))</f>
        <v/>
      </c>
      <c r="T362" s="46" t="str">
        <f aca="false">IF(OR($B362="",$S362="Sorti"),"",MID(IF($H362=""," | Date d'embauche manquante","")&amp;IF(AND($K362="Plus d'un an",$N362="")," | Précédent entretien à renseigner (ancienneté &gt; 1 an)","")&amp;IF($O362="Retard antérieur à la réforme"," | Ancien délai de 2 ans expiré avant la réforme","")&amp;IF(AND($N362&lt;&gt;"",$H362&lt;&gt;"",$N362&lt;$H362)," | Entretien antérieur à l'embauche ?","")&amp;IF(AND($N362&lt;&gt;"",$N362&gt;DateRef)," | Entretien daté dans le futur ?","")&amp;IF(AND($Q362&lt;&gt;"",$P362&lt;&gt;"",$Q362&gt;$P362)," | Date prévue après l'échéance","")&amp;IF(AND($Q362&lt;&gt;"",$Q362&lt;DateRef,OR($N362="",$N362&lt;$Q362))," | Entretien prévu passé : le consigner au Journal","")&amp;IF(AND($G362&lt;&gt;"",$X362="",YEAR(DateRef)-YEAR($G362)&gt;=AgeMiCarriere-1,YEAR(DateRef)-YEAR($G362)&lt;=AgeMiCarriere+1)," | Visite de mi-carrière à vérifier",""),4,1000))</f>
        <v/>
      </c>
      <c r="U362" s="39"/>
      <c r="V362" s="40"/>
      <c r="W362" s="42" t="str">
        <f aca="false">IF(OR($B362="",$V362=""),"",IF(AND($I362&lt;&gt;"",$I362&lt;=DateRef),"",IF(AND($N362&lt;&gt;"",$N362&gt;=$V362),"Réalisé",IF(AND($N362&lt;&gt;"",$N362&gt;=EDATE($V362,-FenetreRetour)),"Dispensé (EPP récent)",IF($V362&gt;DateRef,"À prévoir à la reprise","À proposer (reprise passée)")))))</f>
        <v/>
      </c>
      <c r="X362" s="40"/>
      <c r="Y362" s="43" t="str">
        <f aca="false">IF(OR($B362="",$X362=""),"",EDATE($X362,DelaiMiCarriere))</f>
        <v/>
      </c>
      <c r="Z362" s="42" t="str">
        <f aca="false">IF(OR($B362="",$X362=""),"",IF(AND($I362&lt;&gt;"",$I362&lt;=DateRef),"",IF(AND($N362&lt;&gt;"",$N362&gt;=$X362),"Réalisé",IF($Y362&lt;DateRef,"En retard","À planifier"))))</f>
        <v/>
      </c>
      <c r="AA362" s="47" t="str">
        <f aca="false">IF(OR($B362="",$G362=""),"",IF($G362&gt;DateRef,"",DATEDIF($G362,DateRef,"y")))</f>
        <v/>
      </c>
      <c r="AB362" s="43" t="str">
        <f aca="false">IF(OR($B362="",$G362=""),"",EDATE($G362,AgeFinCarriere*12))</f>
        <v/>
      </c>
      <c r="AC362" s="42" t="str">
        <f aca="false">IF(OR($B362="",$G362="",$H362=""),"",IF(AND($I362&lt;&gt;"",$I362&lt;=DateRef),"",IF($AB362&lt;DateVigueur,"Non concerné",IF(AND($N362&lt;&gt;"",$N362&gt;=MAX(EDATE($AB362,-FenetreFinCarriere*12),DateVigueur),$N362&lt;=$AB362),"Réalisé",IF(DateRef&gt;$AB362,"Non réalisé",IF(AND($Q362&lt;&gt;"",$Q362&gt;=EDATE($AB362,-FenetreFinCarriere*12),$Q362&lt;=$AB362),"Planifié dans la fenêtre",IF(AND(MAX($P362,DateRef)&gt;=EDATE($AB362,-FenetreFinCarriere*12),MAX($P362,DateRef)&lt;=$AB362),"Prochain EPP dans la fenêtre",IF(MAX($P362,DateRef)&gt;$AB362,"À programmer avant 60 ans",""))))))))</f>
        <v/>
      </c>
      <c r="AD362" s="40"/>
      <c r="AE362" s="43" t="str">
        <f aca="false">IF(OR($B362="",$H362="",AND($I362&lt;&gt;"",$I362&lt;=DateRef)),"",MAX($H362,$AD362,IF($A362="",0,SUMPRODUCT(MAX((Journal!$A$6:$A$1005=$A362)*((Journal!$D$6:$D$1005=TypeEDL)+(Journal!$D$6:$D$1005=TypeBilan6))*Journal!$C$6:$C$1005)))))</f>
        <v/>
      </c>
      <c r="AF362" s="43" t="str">
        <f aca="false">IF($AE362="","",IF(AND(ReglesTransitoires="Oui",EDATE($AE362,AnciennePeriodiciteEDL*12)&lt;DateVigueur),EDATE($AE362,AnciennePeriodiciteEDL*12),EDATE($AE362,PeriodiciteEDL*12)))</f>
        <v/>
      </c>
      <c r="AG362" s="42" t="str">
        <f aca="false">IF($AF362="","",IF(AND($I362&lt;&gt;"",$I362&lt;=DateRef),"",IF($AF362&lt;DateRef,"En retard",IF($AF362-DateRef&lt;=SeuilAlerteEDL,"À prévoir","À jour"))))</f>
        <v/>
      </c>
      <c r="AH362" s="39"/>
      <c r="AI362" s="39"/>
      <c r="AJ362" s="42" t="str">
        <f aca="false">IF(OR($B362="",$H362=""),"",IF(AND($I362&lt;&gt;"",$I362&lt;=DateRef),"",IF(Effectif&lt;SeuilEffectif,"Non concerné (&lt; "&amp;SeuilEffectif&amp;" salariés)",IF($AH362="Oui","Pas de risque",IF(AND(OR($AI362="Non",$S362="En retard"),$AH362="Non"),"Risque abondement",IF(OR($AI362="Non",$S362="En retard"),"À vérifier (formation ?)",IF($AI362="Oui","Pas de risque","À compléter")))))))</f>
        <v/>
      </c>
      <c r="AK362" s="39"/>
    </row>
    <row r="363" customFormat="false" ht="15" hidden="false" customHeight="false" outlineLevel="0" collapsed="false">
      <c r="A363" s="39"/>
      <c r="B363" s="39"/>
      <c r="C363" s="39"/>
      <c r="D363" s="39"/>
      <c r="E363" s="39"/>
      <c r="F363" s="39"/>
      <c r="G363" s="40"/>
      <c r="H363" s="40"/>
      <c r="I363" s="40"/>
      <c r="J363" s="41" t="str">
        <f aca="false">IF(OR($B363="",$H363=""),"",IF($H363&gt;DateRef,0,YEARFRAC($H363,DateRef,1)))</f>
        <v/>
      </c>
      <c r="K363" s="42" t="str">
        <f aca="false">IF(OR($B363="",$H363=""),"",IF(EDATE($H363,12)&lt;=DateRef,"Plus d'un an","Moins d'un an"))</f>
        <v/>
      </c>
      <c r="L363" s="40"/>
      <c r="M363" s="43" t="str">
        <f aca="false">IF(OR($B363="",$A363=""),"",IF(SUMPRODUCT(MAX((Journal!$A$6:$A$1005=$A363)*Journal!$C$6:$C$1005))=0,"",SUMPRODUCT(MAX((Journal!$A$6:$A$1005=$A363)*Journal!$C$6:$C$1005))))</f>
        <v/>
      </c>
      <c r="N363" s="43" t="str">
        <f aca="false">IF($B363="","",IF(MAX($L363,$M363)=0,"",MAX($L363,$M363)))</f>
        <v/>
      </c>
      <c r="O363" s="44" t="str">
        <f aca="false">IF(OR($B363="",$H363=""),"",IF($N363="",IF(EDATE($H363,DelaiPremierEPP)&gt;DateRef,"1er EPP (1re année)","Aucun entretien renseigné"),IF(AND(ReglesTransitoires="Oui",EDATE($N363,AnciennePeriodiciteEP*12)&lt;DateVigueur),"Retard antérieur à la réforme","Périodicité "&amp;PeriodiciteEPP&amp;" ans")))</f>
        <v/>
      </c>
      <c r="P363" s="43" t="str">
        <f aca="false">IF(OR($B363="",$H363=""),"",IF($N363="",EDATE($H363,DelaiPremierEPP),IF(AND(ReglesTransitoires="Oui",EDATE($N363,AnciennePeriodiciteEP*12)&lt;DateVigueur),EDATE($N363,AnciennePeriodiciteEP*12),EDATE($N363,PeriodiciteEPP*12))))</f>
        <v/>
      </c>
      <c r="Q363" s="40"/>
      <c r="R363" s="45" t="str">
        <f aca="false">IF(OR($P363="",AND($I363&lt;&gt;"",$I363&lt;=DateRef)),"",$P363-DateRef)</f>
        <v/>
      </c>
      <c r="S363" s="42" t="str">
        <f aca="false">IF($B363="","",IF(AND($I363&lt;&gt;"",$I363&lt;=DateRef),"Sorti",IF($H363="","À compléter",IF(AND($Q363&lt;&gt;"",$Q363&gt;=DateRef,$Q363&lt;=$P363),"Planifié",IF($R363&lt;0,"En retard",IF($R363&lt;=SeuilAlerteEPP,"À planifier","À jour"))))))</f>
        <v/>
      </c>
      <c r="T363" s="46" t="str">
        <f aca="false">IF(OR($B363="",$S363="Sorti"),"",MID(IF($H363=""," | Date d'embauche manquante","")&amp;IF(AND($K363="Plus d'un an",$N363="")," | Précédent entretien à renseigner (ancienneté &gt; 1 an)","")&amp;IF($O363="Retard antérieur à la réforme"," | Ancien délai de 2 ans expiré avant la réforme","")&amp;IF(AND($N363&lt;&gt;"",$H363&lt;&gt;"",$N363&lt;$H363)," | Entretien antérieur à l'embauche ?","")&amp;IF(AND($N363&lt;&gt;"",$N363&gt;DateRef)," | Entretien daté dans le futur ?","")&amp;IF(AND($Q363&lt;&gt;"",$P363&lt;&gt;"",$Q363&gt;$P363)," | Date prévue après l'échéance","")&amp;IF(AND($Q363&lt;&gt;"",$Q363&lt;DateRef,OR($N363="",$N363&lt;$Q363))," | Entretien prévu passé : le consigner au Journal","")&amp;IF(AND($G363&lt;&gt;"",$X363="",YEAR(DateRef)-YEAR($G363)&gt;=AgeMiCarriere-1,YEAR(DateRef)-YEAR($G363)&lt;=AgeMiCarriere+1)," | Visite de mi-carrière à vérifier",""),4,1000))</f>
        <v/>
      </c>
      <c r="U363" s="39"/>
      <c r="V363" s="40"/>
      <c r="W363" s="42" t="str">
        <f aca="false">IF(OR($B363="",$V363=""),"",IF(AND($I363&lt;&gt;"",$I363&lt;=DateRef),"",IF(AND($N363&lt;&gt;"",$N363&gt;=$V363),"Réalisé",IF(AND($N363&lt;&gt;"",$N363&gt;=EDATE($V363,-FenetreRetour)),"Dispensé (EPP récent)",IF($V363&gt;DateRef,"À prévoir à la reprise","À proposer (reprise passée)")))))</f>
        <v/>
      </c>
      <c r="X363" s="40"/>
      <c r="Y363" s="43" t="str">
        <f aca="false">IF(OR($B363="",$X363=""),"",EDATE($X363,DelaiMiCarriere))</f>
        <v/>
      </c>
      <c r="Z363" s="42" t="str">
        <f aca="false">IF(OR($B363="",$X363=""),"",IF(AND($I363&lt;&gt;"",$I363&lt;=DateRef),"",IF(AND($N363&lt;&gt;"",$N363&gt;=$X363),"Réalisé",IF($Y363&lt;DateRef,"En retard","À planifier"))))</f>
        <v/>
      </c>
      <c r="AA363" s="47" t="str">
        <f aca="false">IF(OR($B363="",$G363=""),"",IF($G363&gt;DateRef,"",DATEDIF($G363,DateRef,"y")))</f>
        <v/>
      </c>
      <c r="AB363" s="43" t="str">
        <f aca="false">IF(OR($B363="",$G363=""),"",EDATE($G363,AgeFinCarriere*12))</f>
        <v/>
      </c>
      <c r="AC363" s="42" t="str">
        <f aca="false">IF(OR($B363="",$G363="",$H363=""),"",IF(AND($I363&lt;&gt;"",$I363&lt;=DateRef),"",IF($AB363&lt;DateVigueur,"Non concerné",IF(AND($N363&lt;&gt;"",$N363&gt;=MAX(EDATE($AB363,-FenetreFinCarriere*12),DateVigueur),$N363&lt;=$AB363),"Réalisé",IF(DateRef&gt;$AB363,"Non réalisé",IF(AND($Q363&lt;&gt;"",$Q363&gt;=EDATE($AB363,-FenetreFinCarriere*12),$Q363&lt;=$AB363),"Planifié dans la fenêtre",IF(AND(MAX($P363,DateRef)&gt;=EDATE($AB363,-FenetreFinCarriere*12),MAX($P363,DateRef)&lt;=$AB363),"Prochain EPP dans la fenêtre",IF(MAX($P363,DateRef)&gt;$AB363,"À programmer avant 60 ans",""))))))))</f>
        <v/>
      </c>
      <c r="AD363" s="40"/>
      <c r="AE363" s="43" t="str">
        <f aca="false">IF(OR($B363="",$H363="",AND($I363&lt;&gt;"",$I363&lt;=DateRef)),"",MAX($H363,$AD363,IF($A363="",0,SUMPRODUCT(MAX((Journal!$A$6:$A$1005=$A363)*((Journal!$D$6:$D$1005=TypeEDL)+(Journal!$D$6:$D$1005=TypeBilan6))*Journal!$C$6:$C$1005)))))</f>
        <v/>
      </c>
      <c r="AF363" s="43" t="str">
        <f aca="false">IF($AE363="","",IF(AND(ReglesTransitoires="Oui",EDATE($AE363,AnciennePeriodiciteEDL*12)&lt;DateVigueur),EDATE($AE363,AnciennePeriodiciteEDL*12),EDATE($AE363,PeriodiciteEDL*12)))</f>
        <v/>
      </c>
      <c r="AG363" s="42" t="str">
        <f aca="false">IF($AF363="","",IF(AND($I363&lt;&gt;"",$I363&lt;=DateRef),"",IF($AF363&lt;DateRef,"En retard",IF($AF363-DateRef&lt;=SeuilAlerteEDL,"À prévoir","À jour"))))</f>
        <v/>
      </c>
      <c r="AH363" s="39"/>
      <c r="AI363" s="39"/>
      <c r="AJ363" s="42" t="str">
        <f aca="false">IF(OR($B363="",$H363=""),"",IF(AND($I363&lt;&gt;"",$I363&lt;=DateRef),"",IF(Effectif&lt;SeuilEffectif,"Non concerné (&lt; "&amp;SeuilEffectif&amp;" salariés)",IF($AH363="Oui","Pas de risque",IF(AND(OR($AI363="Non",$S363="En retard"),$AH363="Non"),"Risque abondement",IF(OR($AI363="Non",$S363="En retard"),"À vérifier (formation ?)",IF($AI363="Oui","Pas de risque","À compléter")))))))</f>
        <v/>
      </c>
      <c r="AK363" s="39"/>
    </row>
    <row r="364" customFormat="false" ht="15" hidden="false" customHeight="false" outlineLevel="0" collapsed="false">
      <c r="A364" s="39"/>
      <c r="B364" s="39"/>
      <c r="C364" s="39"/>
      <c r="D364" s="39"/>
      <c r="E364" s="39"/>
      <c r="F364" s="39"/>
      <c r="G364" s="40"/>
      <c r="H364" s="40"/>
      <c r="I364" s="40"/>
      <c r="J364" s="41" t="str">
        <f aca="false">IF(OR($B364="",$H364=""),"",IF($H364&gt;DateRef,0,YEARFRAC($H364,DateRef,1)))</f>
        <v/>
      </c>
      <c r="K364" s="42" t="str">
        <f aca="false">IF(OR($B364="",$H364=""),"",IF(EDATE($H364,12)&lt;=DateRef,"Plus d'un an","Moins d'un an"))</f>
        <v/>
      </c>
      <c r="L364" s="40"/>
      <c r="M364" s="43" t="str">
        <f aca="false">IF(OR($B364="",$A364=""),"",IF(SUMPRODUCT(MAX((Journal!$A$6:$A$1005=$A364)*Journal!$C$6:$C$1005))=0,"",SUMPRODUCT(MAX((Journal!$A$6:$A$1005=$A364)*Journal!$C$6:$C$1005))))</f>
        <v/>
      </c>
      <c r="N364" s="43" t="str">
        <f aca="false">IF($B364="","",IF(MAX($L364,$M364)=0,"",MAX($L364,$M364)))</f>
        <v/>
      </c>
      <c r="O364" s="44" t="str">
        <f aca="false">IF(OR($B364="",$H364=""),"",IF($N364="",IF(EDATE($H364,DelaiPremierEPP)&gt;DateRef,"1er EPP (1re année)","Aucun entretien renseigné"),IF(AND(ReglesTransitoires="Oui",EDATE($N364,AnciennePeriodiciteEP*12)&lt;DateVigueur),"Retard antérieur à la réforme","Périodicité "&amp;PeriodiciteEPP&amp;" ans")))</f>
        <v/>
      </c>
      <c r="P364" s="43" t="str">
        <f aca="false">IF(OR($B364="",$H364=""),"",IF($N364="",EDATE($H364,DelaiPremierEPP),IF(AND(ReglesTransitoires="Oui",EDATE($N364,AnciennePeriodiciteEP*12)&lt;DateVigueur),EDATE($N364,AnciennePeriodiciteEP*12),EDATE($N364,PeriodiciteEPP*12))))</f>
        <v/>
      </c>
      <c r="Q364" s="40"/>
      <c r="R364" s="45" t="str">
        <f aca="false">IF(OR($P364="",AND($I364&lt;&gt;"",$I364&lt;=DateRef)),"",$P364-DateRef)</f>
        <v/>
      </c>
      <c r="S364" s="42" t="str">
        <f aca="false">IF($B364="","",IF(AND($I364&lt;&gt;"",$I364&lt;=DateRef),"Sorti",IF($H364="","À compléter",IF(AND($Q364&lt;&gt;"",$Q364&gt;=DateRef,$Q364&lt;=$P364),"Planifié",IF($R364&lt;0,"En retard",IF($R364&lt;=SeuilAlerteEPP,"À planifier","À jour"))))))</f>
        <v/>
      </c>
      <c r="T364" s="46" t="str">
        <f aca="false">IF(OR($B364="",$S364="Sorti"),"",MID(IF($H364=""," | Date d'embauche manquante","")&amp;IF(AND($K364="Plus d'un an",$N364="")," | Précédent entretien à renseigner (ancienneté &gt; 1 an)","")&amp;IF($O364="Retard antérieur à la réforme"," | Ancien délai de 2 ans expiré avant la réforme","")&amp;IF(AND($N364&lt;&gt;"",$H364&lt;&gt;"",$N364&lt;$H364)," | Entretien antérieur à l'embauche ?","")&amp;IF(AND($N364&lt;&gt;"",$N364&gt;DateRef)," | Entretien daté dans le futur ?","")&amp;IF(AND($Q364&lt;&gt;"",$P364&lt;&gt;"",$Q364&gt;$P364)," | Date prévue après l'échéance","")&amp;IF(AND($Q364&lt;&gt;"",$Q364&lt;DateRef,OR($N364="",$N364&lt;$Q364))," | Entretien prévu passé : le consigner au Journal","")&amp;IF(AND($G364&lt;&gt;"",$X364="",YEAR(DateRef)-YEAR($G364)&gt;=AgeMiCarriere-1,YEAR(DateRef)-YEAR($G364)&lt;=AgeMiCarriere+1)," | Visite de mi-carrière à vérifier",""),4,1000))</f>
        <v/>
      </c>
      <c r="U364" s="39"/>
      <c r="V364" s="40"/>
      <c r="W364" s="42" t="str">
        <f aca="false">IF(OR($B364="",$V364=""),"",IF(AND($I364&lt;&gt;"",$I364&lt;=DateRef),"",IF(AND($N364&lt;&gt;"",$N364&gt;=$V364),"Réalisé",IF(AND($N364&lt;&gt;"",$N364&gt;=EDATE($V364,-FenetreRetour)),"Dispensé (EPP récent)",IF($V364&gt;DateRef,"À prévoir à la reprise","À proposer (reprise passée)")))))</f>
        <v/>
      </c>
      <c r="X364" s="40"/>
      <c r="Y364" s="43" t="str">
        <f aca="false">IF(OR($B364="",$X364=""),"",EDATE($X364,DelaiMiCarriere))</f>
        <v/>
      </c>
      <c r="Z364" s="42" t="str">
        <f aca="false">IF(OR($B364="",$X364=""),"",IF(AND($I364&lt;&gt;"",$I364&lt;=DateRef),"",IF(AND($N364&lt;&gt;"",$N364&gt;=$X364),"Réalisé",IF($Y364&lt;DateRef,"En retard","À planifier"))))</f>
        <v/>
      </c>
      <c r="AA364" s="47" t="str">
        <f aca="false">IF(OR($B364="",$G364=""),"",IF($G364&gt;DateRef,"",DATEDIF($G364,DateRef,"y")))</f>
        <v/>
      </c>
      <c r="AB364" s="43" t="str">
        <f aca="false">IF(OR($B364="",$G364=""),"",EDATE($G364,AgeFinCarriere*12))</f>
        <v/>
      </c>
      <c r="AC364" s="42" t="str">
        <f aca="false">IF(OR($B364="",$G364="",$H364=""),"",IF(AND($I364&lt;&gt;"",$I364&lt;=DateRef),"",IF($AB364&lt;DateVigueur,"Non concerné",IF(AND($N364&lt;&gt;"",$N364&gt;=MAX(EDATE($AB364,-FenetreFinCarriere*12),DateVigueur),$N364&lt;=$AB364),"Réalisé",IF(DateRef&gt;$AB364,"Non réalisé",IF(AND($Q364&lt;&gt;"",$Q364&gt;=EDATE($AB364,-FenetreFinCarriere*12),$Q364&lt;=$AB364),"Planifié dans la fenêtre",IF(AND(MAX($P364,DateRef)&gt;=EDATE($AB364,-FenetreFinCarriere*12),MAX($P364,DateRef)&lt;=$AB364),"Prochain EPP dans la fenêtre",IF(MAX($P364,DateRef)&gt;$AB364,"À programmer avant 60 ans",""))))))))</f>
        <v/>
      </c>
      <c r="AD364" s="40"/>
      <c r="AE364" s="43" t="str">
        <f aca="false">IF(OR($B364="",$H364="",AND($I364&lt;&gt;"",$I364&lt;=DateRef)),"",MAX($H364,$AD364,IF($A364="",0,SUMPRODUCT(MAX((Journal!$A$6:$A$1005=$A364)*((Journal!$D$6:$D$1005=TypeEDL)+(Journal!$D$6:$D$1005=TypeBilan6))*Journal!$C$6:$C$1005)))))</f>
        <v/>
      </c>
      <c r="AF364" s="43" t="str">
        <f aca="false">IF($AE364="","",IF(AND(ReglesTransitoires="Oui",EDATE($AE364,AnciennePeriodiciteEDL*12)&lt;DateVigueur),EDATE($AE364,AnciennePeriodiciteEDL*12),EDATE($AE364,PeriodiciteEDL*12)))</f>
        <v/>
      </c>
      <c r="AG364" s="42" t="str">
        <f aca="false">IF($AF364="","",IF(AND($I364&lt;&gt;"",$I364&lt;=DateRef),"",IF($AF364&lt;DateRef,"En retard",IF($AF364-DateRef&lt;=SeuilAlerteEDL,"À prévoir","À jour"))))</f>
        <v/>
      </c>
      <c r="AH364" s="39"/>
      <c r="AI364" s="39"/>
      <c r="AJ364" s="42" t="str">
        <f aca="false">IF(OR($B364="",$H364=""),"",IF(AND($I364&lt;&gt;"",$I364&lt;=DateRef),"",IF(Effectif&lt;SeuilEffectif,"Non concerné (&lt; "&amp;SeuilEffectif&amp;" salariés)",IF($AH364="Oui","Pas de risque",IF(AND(OR($AI364="Non",$S364="En retard"),$AH364="Non"),"Risque abondement",IF(OR($AI364="Non",$S364="En retard"),"À vérifier (formation ?)",IF($AI364="Oui","Pas de risque","À compléter")))))))</f>
        <v/>
      </c>
      <c r="AK364" s="39"/>
    </row>
    <row r="365" customFormat="false" ht="15" hidden="false" customHeight="false" outlineLevel="0" collapsed="false">
      <c r="A365" s="39"/>
      <c r="B365" s="39"/>
      <c r="C365" s="39"/>
      <c r="D365" s="39"/>
      <c r="E365" s="39"/>
      <c r="F365" s="39"/>
      <c r="G365" s="40"/>
      <c r="H365" s="40"/>
      <c r="I365" s="40"/>
      <c r="J365" s="41" t="str">
        <f aca="false">IF(OR($B365="",$H365=""),"",IF($H365&gt;DateRef,0,YEARFRAC($H365,DateRef,1)))</f>
        <v/>
      </c>
      <c r="K365" s="42" t="str">
        <f aca="false">IF(OR($B365="",$H365=""),"",IF(EDATE($H365,12)&lt;=DateRef,"Plus d'un an","Moins d'un an"))</f>
        <v/>
      </c>
      <c r="L365" s="40"/>
      <c r="M365" s="43" t="str">
        <f aca="false">IF(OR($B365="",$A365=""),"",IF(SUMPRODUCT(MAX((Journal!$A$6:$A$1005=$A365)*Journal!$C$6:$C$1005))=0,"",SUMPRODUCT(MAX((Journal!$A$6:$A$1005=$A365)*Journal!$C$6:$C$1005))))</f>
        <v/>
      </c>
      <c r="N365" s="43" t="str">
        <f aca="false">IF($B365="","",IF(MAX($L365,$M365)=0,"",MAX($L365,$M365)))</f>
        <v/>
      </c>
      <c r="O365" s="44" t="str">
        <f aca="false">IF(OR($B365="",$H365=""),"",IF($N365="",IF(EDATE($H365,DelaiPremierEPP)&gt;DateRef,"1er EPP (1re année)","Aucun entretien renseigné"),IF(AND(ReglesTransitoires="Oui",EDATE($N365,AnciennePeriodiciteEP*12)&lt;DateVigueur),"Retard antérieur à la réforme","Périodicité "&amp;PeriodiciteEPP&amp;" ans")))</f>
        <v/>
      </c>
      <c r="P365" s="43" t="str">
        <f aca="false">IF(OR($B365="",$H365=""),"",IF($N365="",EDATE($H365,DelaiPremierEPP),IF(AND(ReglesTransitoires="Oui",EDATE($N365,AnciennePeriodiciteEP*12)&lt;DateVigueur),EDATE($N365,AnciennePeriodiciteEP*12),EDATE($N365,PeriodiciteEPP*12))))</f>
        <v/>
      </c>
      <c r="Q365" s="40"/>
      <c r="R365" s="45" t="str">
        <f aca="false">IF(OR($P365="",AND($I365&lt;&gt;"",$I365&lt;=DateRef)),"",$P365-DateRef)</f>
        <v/>
      </c>
      <c r="S365" s="42" t="str">
        <f aca="false">IF($B365="","",IF(AND($I365&lt;&gt;"",$I365&lt;=DateRef),"Sorti",IF($H365="","À compléter",IF(AND($Q365&lt;&gt;"",$Q365&gt;=DateRef,$Q365&lt;=$P365),"Planifié",IF($R365&lt;0,"En retard",IF($R365&lt;=SeuilAlerteEPP,"À planifier","À jour"))))))</f>
        <v/>
      </c>
      <c r="T365" s="46" t="str">
        <f aca="false">IF(OR($B365="",$S365="Sorti"),"",MID(IF($H365=""," | Date d'embauche manquante","")&amp;IF(AND($K365="Plus d'un an",$N365="")," | Précédent entretien à renseigner (ancienneté &gt; 1 an)","")&amp;IF($O365="Retard antérieur à la réforme"," | Ancien délai de 2 ans expiré avant la réforme","")&amp;IF(AND($N365&lt;&gt;"",$H365&lt;&gt;"",$N365&lt;$H365)," | Entretien antérieur à l'embauche ?","")&amp;IF(AND($N365&lt;&gt;"",$N365&gt;DateRef)," | Entretien daté dans le futur ?","")&amp;IF(AND($Q365&lt;&gt;"",$P365&lt;&gt;"",$Q365&gt;$P365)," | Date prévue après l'échéance","")&amp;IF(AND($Q365&lt;&gt;"",$Q365&lt;DateRef,OR($N365="",$N365&lt;$Q365))," | Entretien prévu passé : le consigner au Journal","")&amp;IF(AND($G365&lt;&gt;"",$X365="",YEAR(DateRef)-YEAR($G365)&gt;=AgeMiCarriere-1,YEAR(DateRef)-YEAR($G365)&lt;=AgeMiCarriere+1)," | Visite de mi-carrière à vérifier",""),4,1000))</f>
        <v/>
      </c>
      <c r="U365" s="39"/>
      <c r="V365" s="40"/>
      <c r="W365" s="42" t="str">
        <f aca="false">IF(OR($B365="",$V365=""),"",IF(AND($I365&lt;&gt;"",$I365&lt;=DateRef),"",IF(AND($N365&lt;&gt;"",$N365&gt;=$V365),"Réalisé",IF(AND($N365&lt;&gt;"",$N365&gt;=EDATE($V365,-FenetreRetour)),"Dispensé (EPP récent)",IF($V365&gt;DateRef,"À prévoir à la reprise","À proposer (reprise passée)")))))</f>
        <v/>
      </c>
      <c r="X365" s="40"/>
      <c r="Y365" s="43" t="str">
        <f aca="false">IF(OR($B365="",$X365=""),"",EDATE($X365,DelaiMiCarriere))</f>
        <v/>
      </c>
      <c r="Z365" s="42" t="str">
        <f aca="false">IF(OR($B365="",$X365=""),"",IF(AND($I365&lt;&gt;"",$I365&lt;=DateRef),"",IF(AND($N365&lt;&gt;"",$N365&gt;=$X365),"Réalisé",IF($Y365&lt;DateRef,"En retard","À planifier"))))</f>
        <v/>
      </c>
      <c r="AA365" s="47" t="str">
        <f aca="false">IF(OR($B365="",$G365=""),"",IF($G365&gt;DateRef,"",DATEDIF($G365,DateRef,"y")))</f>
        <v/>
      </c>
      <c r="AB365" s="43" t="str">
        <f aca="false">IF(OR($B365="",$G365=""),"",EDATE($G365,AgeFinCarriere*12))</f>
        <v/>
      </c>
      <c r="AC365" s="42" t="str">
        <f aca="false">IF(OR($B365="",$G365="",$H365=""),"",IF(AND($I365&lt;&gt;"",$I365&lt;=DateRef),"",IF($AB365&lt;DateVigueur,"Non concerné",IF(AND($N365&lt;&gt;"",$N365&gt;=MAX(EDATE($AB365,-FenetreFinCarriere*12),DateVigueur),$N365&lt;=$AB365),"Réalisé",IF(DateRef&gt;$AB365,"Non réalisé",IF(AND($Q365&lt;&gt;"",$Q365&gt;=EDATE($AB365,-FenetreFinCarriere*12),$Q365&lt;=$AB365),"Planifié dans la fenêtre",IF(AND(MAX($P365,DateRef)&gt;=EDATE($AB365,-FenetreFinCarriere*12),MAX($P365,DateRef)&lt;=$AB365),"Prochain EPP dans la fenêtre",IF(MAX($P365,DateRef)&gt;$AB365,"À programmer avant 60 ans",""))))))))</f>
        <v/>
      </c>
      <c r="AD365" s="40"/>
      <c r="AE365" s="43" t="str">
        <f aca="false">IF(OR($B365="",$H365="",AND($I365&lt;&gt;"",$I365&lt;=DateRef)),"",MAX($H365,$AD365,IF($A365="",0,SUMPRODUCT(MAX((Journal!$A$6:$A$1005=$A365)*((Journal!$D$6:$D$1005=TypeEDL)+(Journal!$D$6:$D$1005=TypeBilan6))*Journal!$C$6:$C$1005)))))</f>
        <v/>
      </c>
      <c r="AF365" s="43" t="str">
        <f aca="false">IF($AE365="","",IF(AND(ReglesTransitoires="Oui",EDATE($AE365,AnciennePeriodiciteEDL*12)&lt;DateVigueur),EDATE($AE365,AnciennePeriodiciteEDL*12),EDATE($AE365,PeriodiciteEDL*12)))</f>
        <v/>
      </c>
      <c r="AG365" s="42" t="str">
        <f aca="false">IF($AF365="","",IF(AND($I365&lt;&gt;"",$I365&lt;=DateRef),"",IF($AF365&lt;DateRef,"En retard",IF($AF365-DateRef&lt;=SeuilAlerteEDL,"À prévoir","À jour"))))</f>
        <v/>
      </c>
      <c r="AH365" s="39"/>
      <c r="AI365" s="39"/>
      <c r="AJ365" s="42" t="str">
        <f aca="false">IF(OR($B365="",$H365=""),"",IF(AND($I365&lt;&gt;"",$I365&lt;=DateRef),"",IF(Effectif&lt;SeuilEffectif,"Non concerné (&lt; "&amp;SeuilEffectif&amp;" salariés)",IF($AH365="Oui","Pas de risque",IF(AND(OR($AI365="Non",$S365="En retard"),$AH365="Non"),"Risque abondement",IF(OR($AI365="Non",$S365="En retard"),"À vérifier (formation ?)",IF($AI365="Oui","Pas de risque","À compléter")))))))</f>
        <v/>
      </c>
      <c r="AK365" s="39"/>
    </row>
    <row r="366" customFormat="false" ht="15" hidden="false" customHeight="false" outlineLevel="0" collapsed="false">
      <c r="A366" s="39"/>
      <c r="B366" s="39"/>
      <c r="C366" s="39"/>
      <c r="D366" s="39"/>
      <c r="E366" s="39"/>
      <c r="F366" s="39"/>
      <c r="G366" s="40"/>
      <c r="H366" s="40"/>
      <c r="I366" s="40"/>
      <c r="J366" s="41" t="str">
        <f aca="false">IF(OR($B366="",$H366=""),"",IF($H366&gt;DateRef,0,YEARFRAC($H366,DateRef,1)))</f>
        <v/>
      </c>
      <c r="K366" s="42" t="str">
        <f aca="false">IF(OR($B366="",$H366=""),"",IF(EDATE($H366,12)&lt;=DateRef,"Plus d'un an","Moins d'un an"))</f>
        <v/>
      </c>
      <c r="L366" s="40"/>
      <c r="M366" s="43" t="str">
        <f aca="false">IF(OR($B366="",$A366=""),"",IF(SUMPRODUCT(MAX((Journal!$A$6:$A$1005=$A366)*Journal!$C$6:$C$1005))=0,"",SUMPRODUCT(MAX((Journal!$A$6:$A$1005=$A366)*Journal!$C$6:$C$1005))))</f>
        <v/>
      </c>
      <c r="N366" s="43" t="str">
        <f aca="false">IF($B366="","",IF(MAX($L366,$M366)=0,"",MAX($L366,$M366)))</f>
        <v/>
      </c>
      <c r="O366" s="44" t="str">
        <f aca="false">IF(OR($B366="",$H366=""),"",IF($N366="",IF(EDATE($H366,DelaiPremierEPP)&gt;DateRef,"1er EPP (1re année)","Aucun entretien renseigné"),IF(AND(ReglesTransitoires="Oui",EDATE($N366,AnciennePeriodiciteEP*12)&lt;DateVigueur),"Retard antérieur à la réforme","Périodicité "&amp;PeriodiciteEPP&amp;" ans")))</f>
        <v/>
      </c>
      <c r="P366" s="43" t="str">
        <f aca="false">IF(OR($B366="",$H366=""),"",IF($N366="",EDATE($H366,DelaiPremierEPP),IF(AND(ReglesTransitoires="Oui",EDATE($N366,AnciennePeriodiciteEP*12)&lt;DateVigueur),EDATE($N366,AnciennePeriodiciteEP*12),EDATE($N366,PeriodiciteEPP*12))))</f>
        <v/>
      </c>
      <c r="Q366" s="40"/>
      <c r="R366" s="45" t="str">
        <f aca="false">IF(OR($P366="",AND($I366&lt;&gt;"",$I366&lt;=DateRef)),"",$P366-DateRef)</f>
        <v/>
      </c>
      <c r="S366" s="42" t="str">
        <f aca="false">IF($B366="","",IF(AND($I366&lt;&gt;"",$I366&lt;=DateRef),"Sorti",IF($H366="","À compléter",IF(AND($Q366&lt;&gt;"",$Q366&gt;=DateRef,$Q366&lt;=$P366),"Planifié",IF($R366&lt;0,"En retard",IF($R366&lt;=SeuilAlerteEPP,"À planifier","À jour"))))))</f>
        <v/>
      </c>
      <c r="T366" s="46" t="str">
        <f aca="false">IF(OR($B366="",$S366="Sorti"),"",MID(IF($H366=""," | Date d'embauche manquante","")&amp;IF(AND($K366="Plus d'un an",$N366="")," | Précédent entretien à renseigner (ancienneté &gt; 1 an)","")&amp;IF($O366="Retard antérieur à la réforme"," | Ancien délai de 2 ans expiré avant la réforme","")&amp;IF(AND($N366&lt;&gt;"",$H366&lt;&gt;"",$N366&lt;$H366)," | Entretien antérieur à l'embauche ?","")&amp;IF(AND($N366&lt;&gt;"",$N366&gt;DateRef)," | Entretien daté dans le futur ?","")&amp;IF(AND($Q366&lt;&gt;"",$P366&lt;&gt;"",$Q366&gt;$P366)," | Date prévue après l'échéance","")&amp;IF(AND($Q366&lt;&gt;"",$Q366&lt;DateRef,OR($N366="",$N366&lt;$Q366))," | Entretien prévu passé : le consigner au Journal","")&amp;IF(AND($G366&lt;&gt;"",$X366="",YEAR(DateRef)-YEAR($G366)&gt;=AgeMiCarriere-1,YEAR(DateRef)-YEAR($G366)&lt;=AgeMiCarriere+1)," | Visite de mi-carrière à vérifier",""),4,1000))</f>
        <v/>
      </c>
      <c r="U366" s="39"/>
      <c r="V366" s="40"/>
      <c r="W366" s="42" t="str">
        <f aca="false">IF(OR($B366="",$V366=""),"",IF(AND($I366&lt;&gt;"",$I366&lt;=DateRef),"",IF(AND($N366&lt;&gt;"",$N366&gt;=$V366),"Réalisé",IF(AND($N366&lt;&gt;"",$N366&gt;=EDATE($V366,-FenetreRetour)),"Dispensé (EPP récent)",IF($V366&gt;DateRef,"À prévoir à la reprise","À proposer (reprise passée)")))))</f>
        <v/>
      </c>
      <c r="X366" s="40"/>
      <c r="Y366" s="43" t="str">
        <f aca="false">IF(OR($B366="",$X366=""),"",EDATE($X366,DelaiMiCarriere))</f>
        <v/>
      </c>
      <c r="Z366" s="42" t="str">
        <f aca="false">IF(OR($B366="",$X366=""),"",IF(AND($I366&lt;&gt;"",$I366&lt;=DateRef),"",IF(AND($N366&lt;&gt;"",$N366&gt;=$X366),"Réalisé",IF($Y366&lt;DateRef,"En retard","À planifier"))))</f>
        <v/>
      </c>
      <c r="AA366" s="47" t="str">
        <f aca="false">IF(OR($B366="",$G366=""),"",IF($G366&gt;DateRef,"",DATEDIF($G366,DateRef,"y")))</f>
        <v/>
      </c>
      <c r="AB366" s="43" t="str">
        <f aca="false">IF(OR($B366="",$G366=""),"",EDATE($G366,AgeFinCarriere*12))</f>
        <v/>
      </c>
      <c r="AC366" s="42" t="str">
        <f aca="false">IF(OR($B366="",$G366="",$H366=""),"",IF(AND($I366&lt;&gt;"",$I366&lt;=DateRef),"",IF($AB366&lt;DateVigueur,"Non concerné",IF(AND($N366&lt;&gt;"",$N366&gt;=MAX(EDATE($AB366,-FenetreFinCarriere*12),DateVigueur),$N366&lt;=$AB366),"Réalisé",IF(DateRef&gt;$AB366,"Non réalisé",IF(AND($Q366&lt;&gt;"",$Q366&gt;=EDATE($AB366,-FenetreFinCarriere*12),$Q366&lt;=$AB366),"Planifié dans la fenêtre",IF(AND(MAX($P366,DateRef)&gt;=EDATE($AB366,-FenetreFinCarriere*12),MAX($P366,DateRef)&lt;=$AB366),"Prochain EPP dans la fenêtre",IF(MAX($P366,DateRef)&gt;$AB366,"À programmer avant 60 ans",""))))))))</f>
        <v/>
      </c>
      <c r="AD366" s="40"/>
      <c r="AE366" s="43" t="str">
        <f aca="false">IF(OR($B366="",$H366="",AND($I366&lt;&gt;"",$I366&lt;=DateRef)),"",MAX($H366,$AD366,IF($A366="",0,SUMPRODUCT(MAX((Journal!$A$6:$A$1005=$A366)*((Journal!$D$6:$D$1005=TypeEDL)+(Journal!$D$6:$D$1005=TypeBilan6))*Journal!$C$6:$C$1005)))))</f>
        <v/>
      </c>
      <c r="AF366" s="43" t="str">
        <f aca="false">IF($AE366="","",IF(AND(ReglesTransitoires="Oui",EDATE($AE366,AnciennePeriodiciteEDL*12)&lt;DateVigueur),EDATE($AE366,AnciennePeriodiciteEDL*12),EDATE($AE366,PeriodiciteEDL*12)))</f>
        <v/>
      </c>
      <c r="AG366" s="42" t="str">
        <f aca="false">IF($AF366="","",IF(AND($I366&lt;&gt;"",$I366&lt;=DateRef),"",IF($AF366&lt;DateRef,"En retard",IF($AF366-DateRef&lt;=SeuilAlerteEDL,"À prévoir","À jour"))))</f>
        <v/>
      </c>
      <c r="AH366" s="39"/>
      <c r="AI366" s="39"/>
      <c r="AJ366" s="42" t="str">
        <f aca="false">IF(OR($B366="",$H366=""),"",IF(AND($I366&lt;&gt;"",$I366&lt;=DateRef),"",IF(Effectif&lt;SeuilEffectif,"Non concerné (&lt; "&amp;SeuilEffectif&amp;" salariés)",IF($AH366="Oui","Pas de risque",IF(AND(OR($AI366="Non",$S366="En retard"),$AH366="Non"),"Risque abondement",IF(OR($AI366="Non",$S366="En retard"),"À vérifier (formation ?)",IF($AI366="Oui","Pas de risque","À compléter")))))))</f>
        <v/>
      </c>
      <c r="AK366" s="39"/>
    </row>
    <row r="367" customFormat="false" ht="15" hidden="false" customHeight="false" outlineLevel="0" collapsed="false">
      <c r="A367" s="39"/>
      <c r="B367" s="39"/>
      <c r="C367" s="39"/>
      <c r="D367" s="39"/>
      <c r="E367" s="39"/>
      <c r="F367" s="39"/>
      <c r="G367" s="40"/>
      <c r="H367" s="40"/>
      <c r="I367" s="40"/>
      <c r="J367" s="41" t="str">
        <f aca="false">IF(OR($B367="",$H367=""),"",IF($H367&gt;DateRef,0,YEARFRAC($H367,DateRef,1)))</f>
        <v/>
      </c>
      <c r="K367" s="42" t="str">
        <f aca="false">IF(OR($B367="",$H367=""),"",IF(EDATE($H367,12)&lt;=DateRef,"Plus d'un an","Moins d'un an"))</f>
        <v/>
      </c>
      <c r="L367" s="40"/>
      <c r="M367" s="43" t="str">
        <f aca="false">IF(OR($B367="",$A367=""),"",IF(SUMPRODUCT(MAX((Journal!$A$6:$A$1005=$A367)*Journal!$C$6:$C$1005))=0,"",SUMPRODUCT(MAX((Journal!$A$6:$A$1005=$A367)*Journal!$C$6:$C$1005))))</f>
        <v/>
      </c>
      <c r="N367" s="43" t="str">
        <f aca="false">IF($B367="","",IF(MAX($L367,$M367)=0,"",MAX($L367,$M367)))</f>
        <v/>
      </c>
      <c r="O367" s="44" t="str">
        <f aca="false">IF(OR($B367="",$H367=""),"",IF($N367="",IF(EDATE($H367,DelaiPremierEPP)&gt;DateRef,"1er EPP (1re année)","Aucun entretien renseigné"),IF(AND(ReglesTransitoires="Oui",EDATE($N367,AnciennePeriodiciteEP*12)&lt;DateVigueur),"Retard antérieur à la réforme","Périodicité "&amp;PeriodiciteEPP&amp;" ans")))</f>
        <v/>
      </c>
      <c r="P367" s="43" t="str">
        <f aca="false">IF(OR($B367="",$H367=""),"",IF($N367="",EDATE($H367,DelaiPremierEPP),IF(AND(ReglesTransitoires="Oui",EDATE($N367,AnciennePeriodiciteEP*12)&lt;DateVigueur),EDATE($N367,AnciennePeriodiciteEP*12),EDATE($N367,PeriodiciteEPP*12))))</f>
        <v/>
      </c>
      <c r="Q367" s="40"/>
      <c r="R367" s="45" t="str">
        <f aca="false">IF(OR($P367="",AND($I367&lt;&gt;"",$I367&lt;=DateRef)),"",$P367-DateRef)</f>
        <v/>
      </c>
      <c r="S367" s="42" t="str">
        <f aca="false">IF($B367="","",IF(AND($I367&lt;&gt;"",$I367&lt;=DateRef),"Sorti",IF($H367="","À compléter",IF(AND($Q367&lt;&gt;"",$Q367&gt;=DateRef,$Q367&lt;=$P367),"Planifié",IF($R367&lt;0,"En retard",IF($R367&lt;=SeuilAlerteEPP,"À planifier","À jour"))))))</f>
        <v/>
      </c>
      <c r="T367" s="46" t="str">
        <f aca="false">IF(OR($B367="",$S367="Sorti"),"",MID(IF($H367=""," | Date d'embauche manquante","")&amp;IF(AND($K367="Plus d'un an",$N367="")," | Précédent entretien à renseigner (ancienneté &gt; 1 an)","")&amp;IF($O367="Retard antérieur à la réforme"," | Ancien délai de 2 ans expiré avant la réforme","")&amp;IF(AND($N367&lt;&gt;"",$H367&lt;&gt;"",$N367&lt;$H367)," | Entretien antérieur à l'embauche ?","")&amp;IF(AND($N367&lt;&gt;"",$N367&gt;DateRef)," | Entretien daté dans le futur ?","")&amp;IF(AND($Q367&lt;&gt;"",$P367&lt;&gt;"",$Q367&gt;$P367)," | Date prévue après l'échéance","")&amp;IF(AND($Q367&lt;&gt;"",$Q367&lt;DateRef,OR($N367="",$N367&lt;$Q367))," | Entretien prévu passé : le consigner au Journal","")&amp;IF(AND($G367&lt;&gt;"",$X367="",YEAR(DateRef)-YEAR($G367)&gt;=AgeMiCarriere-1,YEAR(DateRef)-YEAR($G367)&lt;=AgeMiCarriere+1)," | Visite de mi-carrière à vérifier",""),4,1000))</f>
        <v/>
      </c>
      <c r="U367" s="39"/>
      <c r="V367" s="40"/>
      <c r="W367" s="42" t="str">
        <f aca="false">IF(OR($B367="",$V367=""),"",IF(AND($I367&lt;&gt;"",$I367&lt;=DateRef),"",IF(AND($N367&lt;&gt;"",$N367&gt;=$V367),"Réalisé",IF(AND($N367&lt;&gt;"",$N367&gt;=EDATE($V367,-FenetreRetour)),"Dispensé (EPP récent)",IF($V367&gt;DateRef,"À prévoir à la reprise","À proposer (reprise passée)")))))</f>
        <v/>
      </c>
      <c r="X367" s="40"/>
      <c r="Y367" s="43" t="str">
        <f aca="false">IF(OR($B367="",$X367=""),"",EDATE($X367,DelaiMiCarriere))</f>
        <v/>
      </c>
      <c r="Z367" s="42" t="str">
        <f aca="false">IF(OR($B367="",$X367=""),"",IF(AND($I367&lt;&gt;"",$I367&lt;=DateRef),"",IF(AND($N367&lt;&gt;"",$N367&gt;=$X367),"Réalisé",IF($Y367&lt;DateRef,"En retard","À planifier"))))</f>
        <v/>
      </c>
      <c r="AA367" s="47" t="str">
        <f aca="false">IF(OR($B367="",$G367=""),"",IF($G367&gt;DateRef,"",DATEDIF($G367,DateRef,"y")))</f>
        <v/>
      </c>
      <c r="AB367" s="43" t="str">
        <f aca="false">IF(OR($B367="",$G367=""),"",EDATE($G367,AgeFinCarriere*12))</f>
        <v/>
      </c>
      <c r="AC367" s="42" t="str">
        <f aca="false">IF(OR($B367="",$G367="",$H367=""),"",IF(AND($I367&lt;&gt;"",$I367&lt;=DateRef),"",IF($AB367&lt;DateVigueur,"Non concerné",IF(AND($N367&lt;&gt;"",$N367&gt;=MAX(EDATE($AB367,-FenetreFinCarriere*12),DateVigueur),$N367&lt;=$AB367),"Réalisé",IF(DateRef&gt;$AB367,"Non réalisé",IF(AND($Q367&lt;&gt;"",$Q367&gt;=EDATE($AB367,-FenetreFinCarriere*12),$Q367&lt;=$AB367),"Planifié dans la fenêtre",IF(AND(MAX($P367,DateRef)&gt;=EDATE($AB367,-FenetreFinCarriere*12),MAX($P367,DateRef)&lt;=$AB367),"Prochain EPP dans la fenêtre",IF(MAX($P367,DateRef)&gt;$AB367,"À programmer avant 60 ans",""))))))))</f>
        <v/>
      </c>
      <c r="AD367" s="40"/>
      <c r="AE367" s="43" t="str">
        <f aca="false">IF(OR($B367="",$H367="",AND($I367&lt;&gt;"",$I367&lt;=DateRef)),"",MAX($H367,$AD367,IF($A367="",0,SUMPRODUCT(MAX((Journal!$A$6:$A$1005=$A367)*((Journal!$D$6:$D$1005=TypeEDL)+(Journal!$D$6:$D$1005=TypeBilan6))*Journal!$C$6:$C$1005)))))</f>
        <v/>
      </c>
      <c r="AF367" s="43" t="str">
        <f aca="false">IF($AE367="","",IF(AND(ReglesTransitoires="Oui",EDATE($AE367,AnciennePeriodiciteEDL*12)&lt;DateVigueur),EDATE($AE367,AnciennePeriodiciteEDL*12),EDATE($AE367,PeriodiciteEDL*12)))</f>
        <v/>
      </c>
      <c r="AG367" s="42" t="str">
        <f aca="false">IF($AF367="","",IF(AND($I367&lt;&gt;"",$I367&lt;=DateRef),"",IF($AF367&lt;DateRef,"En retard",IF($AF367-DateRef&lt;=SeuilAlerteEDL,"À prévoir","À jour"))))</f>
        <v/>
      </c>
      <c r="AH367" s="39"/>
      <c r="AI367" s="39"/>
      <c r="AJ367" s="42" t="str">
        <f aca="false">IF(OR($B367="",$H367=""),"",IF(AND($I367&lt;&gt;"",$I367&lt;=DateRef),"",IF(Effectif&lt;SeuilEffectif,"Non concerné (&lt; "&amp;SeuilEffectif&amp;" salariés)",IF($AH367="Oui","Pas de risque",IF(AND(OR($AI367="Non",$S367="En retard"),$AH367="Non"),"Risque abondement",IF(OR($AI367="Non",$S367="En retard"),"À vérifier (formation ?)",IF($AI367="Oui","Pas de risque","À compléter")))))))</f>
        <v/>
      </c>
      <c r="AK367" s="39"/>
    </row>
    <row r="368" customFormat="false" ht="15" hidden="false" customHeight="false" outlineLevel="0" collapsed="false">
      <c r="A368" s="39"/>
      <c r="B368" s="39"/>
      <c r="C368" s="39"/>
      <c r="D368" s="39"/>
      <c r="E368" s="39"/>
      <c r="F368" s="39"/>
      <c r="G368" s="40"/>
      <c r="H368" s="40"/>
      <c r="I368" s="40"/>
      <c r="J368" s="41" t="str">
        <f aca="false">IF(OR($B368="",$H368=""),"",IF($H368&gt;DateRef,0,YEARFRAC($H368,DateRef,1)))</f>
        <v/>
      </c>
      <c r="K368" s="42" t="str">
        <f aca="false">IF(OR($B368="",$H368=""),"",IF(EDATE($H368,12)&lt;=DateRef,"Plus d'un an","Moins d'un an"))</f>
        <v/>
      </c>
      <c r="L368" s="40"/>
      <c r="M368" s="43" t="str">
        <f aca="false">IF(OR($B368="",$A368=""),"",IF(SUMPRODUCT(MAX((Journal!$A$6:$A$1005=$A368)*Journal!$C$6:$C$1005))=0,"",SUMPRODUCT(MAX((Journal!$A$6:$A$1005=$A368)*Journal!$C$6:$C$1005))))</f>
        <v/>
      </c>
      <c r="N368" s="43" t="str">
        <f aca="false">IF($B368="","",IF(MAX($L368,$M368)=0,"",MAX($L368,$M368)))</f>
        <v/>
      </c>
      <c r="O368" s="44" t="str">
        <f aca="false">IF(OR($B368="",$H368=""),"",IF($N368="",IF(EDATE($H368,DelaiPremierEPP)&gt;DateRef,"1er EPP (1re année)","Aucun entretien renseigné"),IF(AND(ReglesTransitoires="Oui",EDATE($N368,AnciennePeriodiciteEP*12)&lt;DateVigueur),"Retard antérieur à la réforme","Périodicité "&amp;PeriodiciteEPP&amp;" ans")))</f>
        <v/>
      </c>
      <c r="P368" s="43" t="str">
        <f aca="false">IF(OR($B368="",$H368=""),"",IF($N368="",EDATE($H368,DelaiPremierEPP),IF(AND(ReglesTransitoires="Oui",EDATE($N368,AnciennePeriodiciteEP*12)&lt;DateVigueur),EDATE($N368,AnciennePeriodiciteEP*12),EDATE($N368,PeriodiciteEPP*12))))</f>
        <v/>
      </c>
      <c r="Q368" s="40"/>
      <c r="R368" s="45" t="str">
        <f aca="false">IF(OR($P368="",AND($I368&lt;&gt;"",$I368&lt;=DateRef)),"",$P368-DateRef)</f>
        <v/>
      </c>
      <c r="S368" s="42" t="str">
        <f aca="false">IF($B368="","",IF(AND($I368&lt;&gt;"",$I368&lt;=DateRef),"Sorti",IF($H368="","À compléter",IF(AND($Q368&lt;&gt;"",$Q368&gt;=DateRef,$Q368&lt;=$P368),"Planifié",IF($R368&lt;0,"En retard",IF($R368&lt;=SeuilAlerteEPP,"À planifier","À jour"))))))</f>
        <v/>
      </c>
      <c r="T368" s="46" t="str">
        <f aca="false">IF(OR($B368="",$S368="Sorti"),"",MID(IF($H368=""," | Date d'embauche manquante","")&amp;IF(AND($K368="Plus d'un an",$N368="")," | Précédent entretien à renseigner (ancienneté &gt; 1 an)","")&amp;IF($O368="Retard antérieur à la réforme"," | Ancien délai de 2 ans expiré avant la réforme","")&amp;IF(AND($N368&lt;&gt;"",$H368&lt;&gt;"",$N368&lt;$H368)," | Entretien antérieur à l'embauche ?","")&amp;IF(AND($N368&lt;&gt;"",$N368&gt;DateRef)," | Entretien daté dans le futur ?","")&amp;IF(AND($Q368&lt;&gt;"",$P368&lt;&gt;"",$Q368&gt;$P368)," | Date prévue après l'échéance","")&amp;IF(AND($Q368&lt;&gt;"",$Q368&lt;DateRef,OR($N368="",$N368&lt;$Q368))," | Entretien prévu passé : le consigner au Journal","")&amp;IF(AND($G368&lt;&gt;"",$X368="",YEAR(DateRef)-YEAR($G368)&gt;=AgeMiCarriere-1,YEAR(DateRef)-YEAR($G368)&lt;=AgeMiCarriere+1)," | Visite de mi-carrière à vérifier",""),4,1000))</f>
        <v/>
      </c>
      <c r="U368" s="39"/>
      <c r="V368" s="40"/>
      <c r="W368" s="42" t="str">
        <f aca="false">IF(OR($B368="",$V368=""),"",IF(AND($I368&lt;&gt;"",$I368&lt;=DateRef),"",IF(AND($N368&lt;&gt;"",$N368&gt;=$V368),"Réalisé",IF(AND($N368&lt;&gt;"",$N368&gt;=EDATE($V368,-FenetreRetour)),"Dispensé (EPP récent)",IF($V368&gt;DateRef,"À prévoir à la reprise","À proposer (reprise passée)")))))</f>
        <v/>
      </c>
      <c r="X368" s="40"/>
      <c r="Y368" s="43" t="str">
        <f aca="false">IF(OR($B368="",$X368=""),"",EDATE($X368,DelaiMiCarriere))</f>
        <v/>
      </c>
      <c r="Z368" s="42" t="str">
        <f aca="false">IF(OR($B368="",$X368=""),"",IF(AND($I368&lt;&gt;"",$I368&lt;=DateRef),"",IF(AND($N368&lt;&gt;"",$N368&gt;=$X368),"Réalisé",IF($Y368&lt;DateRef,"En retard","À planifier"))))</f>
        <v/>
      </c>
      <c r="AA368" s="47" t="str">
        <f aca="false">IF(OR($B368="",$G368=""),"",IF($G368&gt;DateRef,"",DATEDIF($G368,DateRef,"y")))</f>
        <v/>
      </c>
      <c r="AB368" s="43" t="str">
        <f aca="false">IF(OR($B368="",$G368=""),"",EDATE($G368,AgeFinCarriere*12))</f>
        <v/>
      </c>
      <c r="AC368" s="42" t="str">
        <f aca="false">IF(OR($B368="",$G368="",$H368=""),"",IF(AND($I368&lt;&gt;"",$I368&lt;=DateRef),"",IF($AB368&lt;DateVigueur,"Non concerné",IF(AND($N368&lt;&gt;"",$N368&gt;=MAX(EDATE($AB368,-FenetreFinCarriere*12),DateVigueur),$N368&lt;=$AB368),"Réalisé",IF(DateRef&gt;$AB368,"Non réalisé",IF(AND($Q368&lt;&gt;"",$Q368&gt;=EDATE($AB368,-FenetreFinCarriere*12),$Q368&lt;=$AB368),"Planifié dans la fenêtre",IF(AND(MAX($P368,DateRef)&gt;=EDATE($AB368,-FenetreFinCarriere*12),MAX($P368,DateRef)&lt;=$AB368),"Prochain EPP dans la fenêtre",IF(MAX($P368,DateRef)&gt;$AB368,"À programmer avant 60 ans",""))))))))</f>
        <v/>
      </c>
      <c r="AD368" s="40"/>
      <c r="AE368" s="43" t="str">
        <f aca="false">IF(OR($B368="",$H368="",AND($I368&lt;&gt;"",$I368&lt;=DateRef)),"",MAX($H368,$AD368,IF($A368="",0,SUMPRODUCT(MAX((Journal!$A$6:$A$1005=$A368)*((Journal!$D$6:$D$1005=TypeEDL)+(Journal!$D$6:$D$1005=TypeBilan6))*Journal!$C$6:$C$1005)))))</f>
        <v/>
      </c>
      <c r="AF368" s="43" t="str">
        <f aca="false">IF($AE368="","",IF(AND(ReglesTransitoires="Oui",EDATE($AE368,AnciennePeriodiciteEDL*12)&lt;DateVigueur),EDATE($AE368,AnciennePeriodiciteEDL*12),EDATE($AE368,PeriodiciteEDL*12)))</f>
        <v/>
      </c>
      <c r="AG368" s="42" t="str">
        <f aca="false">IF($AF368="","",IF(AND($I368&lt;&gt;"",$I368&lt;=DateRef),"",IF($AF368&lt;DateRef,"En retard",IF($AF368-DateRef&lt;=SeuilAlerteEDL,"À prévoir","À jour"))))</f>
        <v/>
      </c>
      <c r="AH368" s="39"/>
      <c r="AI368" s="39"/>
      <c r="AJ368" s="42" t="str">
        <f aca="false">IF(OR($B368="",$H368=""),"",IF(AND($I368&lt;&gt;"",$I368&lt;=DateRef),"",IF(Effectif&lt;SeuilEffectif,"Non concerné (&lt; "&amp;SeuilEffectif&amp;" salariés)",IF($AH368="Oui","Pas de risque",IF(AND(OR($AI368="Non",$S368="En retard"),$AH368="Non"),"Risque abondement",IF(OR($AI368="Non",$S368="En retard"),"À vérifier (formation ?)",IF($AI368="Oui","Pas de risque","À compléter")))))))</f>
        <v/>
      </c>
      <c r="AK368" s="39"/>
    </row>
    <row r="369" customFormat="false" ht="15" hidden="false" customHeight="false" outlineLevel="0" collapsed="false">
      <c r="A369" s="39"/>
      <c r="B369" s="39"/>
      <c r="C369" s="39"/>
      <c r="D369" s="39"/>
      <c r="E369" s="39"/>
      <c r="F369" s="39"/>
      <c r="G369" s="40"/>
      <c r="H369" s="40"/>
      <c r="I369" s="40"/>
      <c r="J369" s="41" t="str">
        <f aca="false">IF(OR($B369="",$H369=""),"",IF($H369&gt;DateRef,0,YEARFRAC($H369,DateRef,1)))</f>
        <v/>
      </c>
      <c r="K369" s="42" t="str">
        <f aca="false">IF(OR($B369="",$H369=""),"",IF(EDATE($H369,12)&lt;=DateRef,"Plus d'un an","Moins d'un an"))</f>
        <v/>
      </c>
      <c r="L369" s="40"/>
      <c r="M369" s="43" t="str">
        <f aca="false">IF(OR($B369="",$A369=""),"",IF(SUMPRODUCT(MAX((Journal!$A$6:$A$1005=$A369)*Journal!$C$6:$C$1005))=0,"",SUMPRODUCT(MAX((Journal!$A$6:$A$1005=$A369)*Journal!$C$6:$C$1005))))</f>
        <v/>
      </c>
      <c r="N369" s="43" t="str">
        <f aca="false">IF($B369="","",IF(MAX($L369,$M369)=0,"",MAX($L369,$M369)))</f>
        <v/>
      </c>
      <c r="O369" s="44" t="str">
        <f aca="false">IF(OR($B369="",$H369=""),"",IF($N369="",IF(EDATE($H369,DelaiPremierEPP)&gt;DateRef,"1er EPP (1re année)","Aucun entretien renseigné"),IF(AND(ReglesTransitoires="Oui",EDATE($N369,AnciennePeriodiciteEP*12)&lt;DateVigueur),"Retard antérieur à la réforme","Périodicité "&amp;PeriodiciteEPP&amp;" ans")))</f>
        <v/>
      </c>
      <c r="P369" s="43" t="str">
        <f aca="false">IF(OR($B369="",$H369=""),"",IF($N369="",EDATE($H369,DelaiPremierEPP),IF(AND(ReglesTransitoires="Oui",EDATE($N369,AnciennePeriodiciteEP*12)&lt;DateVigueur),EDATE($N369,AnciennePeriodiciteEP*12),EDATE($N369,PeriodiciteEPP*12))))</f>
        <v/>
      </c>
      <c r="Q369" s="40"/>
      <c r="R369" s="45" t="str">
        <f aca="false">IF(OR($P369="",AND($I369&lt;&gt;"",$I369&lt;=DateRef)),"",$P369-DateRef)</f>
        <v/>
      </c>
      <c r="S369" s="42" t="str">
        <f aca="false">IF($B369="","",IF(AND($I369&lt;&gt;"",$I369&lt;=DateRef),"Sorti",IF($H369="","À compléter",IF(AND($Q369&lt;&gt;"",$Q369&gt;=DateRef,$Q369&lt;=$P369),"Planifié",IF($R369&lt;0,"En retard",IF($R369&lt;=SeuilAlerteEPP,"À planifier","À jour"))))))</f>
        <v/>
      </c>
      <c r="T369" s="46" t="str">
        <f aca="false">IF(OR($B369="",$S369="Sorti"),"",MID(IF($H369=""," | Date d'embauche manquante","")&amp;IF(AND($K369="Plus d'un an",$N369="")," | Précédent entretien à renseigner (ancienneté &gt; 1 an)","")&amp;IF($O369="Retard antérieur à la réforme"," | Ancien délai de 2 ans expiré avant la réforme","")&amp;IF(AND($N369&lt;&gt;"",$H369&lt;&gt;"",$N369&lt;$H369)," | Entretien antérieur à l'embauche ?","")&amp;IF(AND($N369&lt;&gt;"",$N369&gt;DateRef)," | Entretien daté dans le futur ?","")&amp;IF(AND($Q369&lt;&gt;"",$P369&lt;&gt;"",$Q369&gt;$P369)," | Date prévue après l'échéance","")&amp;IF(AND($Q369&lt;&gt;"",$Q369&lt;DateRef,OR($N369="",$N369&lt;$Q369))," | Entretien prévu passé : le consigner au Journal","")&amp;IF(AND($G369&lt;&gt;"",$X369="",YEAR(DateRef)-YEAR($G369)&gt;=AgeMiCarriere-1,YEAR(DateRef)-YEAR($G369)&lt;=AgeMiCarriere+1)," | Visite de mi-carrière à vérifier",""),4,1000))</f>
        <v/>
      </c>
      <c r="U369" s="39"/>
      <c r="V369" s="40"/>
      <c r="W369" s="42" t="str">
        <f aca="false">IF(OR($B369="",$V369=""),"",IF(AND($I369&lt;&gt;"",$I369&lt;=DateRef),"",IF(AND($N369&lt;&gt;"",$N369&gt;=$V369),"Réalisé",IF(AND($N369&lt;&gt;"",$N369&gt;=EDATE($V369,-FenetreRetour)),"Dispensé (EPP récent)",IF($V369&gt;DateRef,"À prévoir à la reprise","À proposer (reprise passée)")))))</f>
        <v/>
      </c>
      <c r="X369" s="40"/>
      <c r="Y369" s="43" t="str">
        <f aca="false">IF(OR($B369="",$X369=""),"",EDATE($X369,DelaiMiCarriere))</f>
        <v/>
      </c>
      <c r="Z369" s="42" t="str">
        <f aca="false">IF(OR($B369="",$X369=""),"",IF(AND($I369&lt;&gt;"",$I369&lt;=DateRef),"",IF(AND($N369&lt;&gt;"",$N369&gt;=$X369),"Réalisé",IF($Y369&lt;DateRef,"En retard","À planifier"))))</f>
        <v/>
      </c>
      <c r="AA369" s="47" t="str">
        <f aca="false">IF(OR($B369="",$G369=""),"",IF($G369&gt;DateRef,"",DATEDIF($G369,DateRef,"y")))</f>
        <v/>
      </c>
      <c r="AB369" s="43" t="str">
        <f aca="false">IF(OR($B369="",$G369=""),"",EDATE($G369,AgeFinCarriere*12))</f>
        <v/>
      </c>
      <c r="AC369" s="42" t="str">
        <f aca="false">IF(OR($B369="",$G369="",$H369=""),"",IF(AND($I369&lt;&gt;"",$I369&lt;=DateRef),"",IF($AB369&lt;DateVigueur,"Non concerné",IF(AND($N369&lt;&gt;"",$N369&gt;=MAX(EDATE($AB369,-FenetreFinCarriere*12),DateVigueur),$N369&lt;=$AB369),"Réalisé",IF(DateRef&gt;$AB369,"Non réalisé",IF(AND($Q369&lt;&gt;"",$Q369&gt;=EDATE($AB369,-FenetreFinCarriere*12),$Q369&lt;=$AB369),"Planifié dans la fenêtre",IF(AND(MAX($P369,DateRef)&gt;=EDATE($AB369,-FenetreFinCarriere*12),MAX($P369,DateRef)&lt;=$AB369),"Prochain EPP dans la fenêtre",IF(MAX($P369,DateRef)&gt;$AB369,"À programmer avant 60 ans",""))))))))</f>
        <v/>
      </c>
      <c r="AD369" s="40"/>
      <c r="AE369" s="43" t="str">
        <f aca="false">IF(OR($B369="",$H369="",AND($I369&lt;&gt;"",$I369&lt;=DateRef)),"",MAX($H369,$AD369,IF($A369="",0,SUMPRODUCT(MAX((Journal!$A$6:$A$1005=$A369)*((Journal!$D$6:$D$1005=TypeEDL)+(Journal!$D$6:$D$1005=TypeBilan6))*Journal!$C$6:$C$1005)))))</f>
        <v/>
      </c>
      <c r="AF369" s="43" t="str">
        <f aca="false">IF($AE369="","",IF(AND(ReglesTransitoires="Oui",EDATE($AE369,AnciennePeriodiciteEDL*12)&lt;DateVigueur),EDATE($AE369,AnciennePeriodiciteEDL*12),EDATE($AE369,PeriodiciteEDL*12)))</f>
        <v/>
      </c>
      <c r="AG369" s="42" t="str">
        <f aca="false">IF($AF369="","",IF(AND($I369&lt;&gt;"",$I369&lt;=DateRef),"",IF($AF369&lt;DateRef,"En retard",IF($AF369-DateRef&lt;=SeuilAlerteEDL,"À prévoir","À jour"))))</f>
        <v/>
      </c>
      <c r="AH369" s="39"/>
      <c r="AI369" s="39"/>
      <c r="AJ369" s="42" t="str">
        <f aca="false">IF(OR($B369="",$H369=""),"",IF(AND($I369&lt;&gt;"",$I369&lt;=DateRef),"",IF(Effectif&lt;SeuilEffectif,"Non concerné (&lt; "&amp;SeuilEffectif&amp;" salariés)",IF($AH369="Oui","Pas de risque",IF(AND(OR($AI369="Non",$S369="En retard"),$AH369="Non"),"Risque abondement",IF(OR($AI369="Non",$S369="En retard"),"À vérifier (formation ?)",IF($AI369="Oui","Pas de risque","À compléter")))))))</f>
        <v/>
      </c>
      <c r="AK369" s="39"/>
    </row>
    <row r="370" customFormat="false" ht="15" hidden="false" customHeight="false" outlineLevel="0" collapsed="false">
      <c r="A370" s="39"/>
      <c r="B370" s="39"/>
      <c r="C370" s="39"/>
      <c r="D370" s="39"/>
      <c r="E370" s="39"/>
      <c r="F370" s="39"/>
      <c r="G370" s="40"/>
      <c r="H370" s="40"/>
      <c r="I370" s="40"/>
      <c r="J370" s="41" t="str">
        <f aca="false">IF(OR($B370="",$H370=""),"",IF($H370&gt;DateRef,0,YEARFRAC($H370,DateRef,1)))</f>
        <v/>
      </c>
      <c r="K370" s="42" t="str">
        <f aca="false">IF(OR($B370="",$H370=""),"",IF(EDATE($H370,12)&lt;=DateRef,"Plus d'un an","Moins d'un an"))</f>
        <v/>
      </c>
      <c r="L370" s="40"/>
      <c r="M370" s="43" t="str">
        <f aca="false">IF(OR($B370="",$A370=""),"",IF(SUMPRODUCT(MAX((Journal!$A$6:$A$1005=$A370)*Journal!$C$6:$C$1005))=0,"",SUMPRODUCT(MAX((Journal!$A$6:$A$1005=$A370)*Journal!$C$6:$C$1005))))</f>
        <v/>
      </c>
      <c r="N370" s="43" t="str">
        <f aca="false">IF($B370="","",IF(MAX($L370,$M370)=0,"",MAX($L370,$M370)))</f>
        <v/>
      </c>
      <c r="O370" s="44" t="str">
        <f aca="false">IF(OR($B370="",$H370=""),"",IF($N370="",IF(EDATE($H370,DelaiPremierEPP)&gt;DateRef,"1er EPP (1re année)","Aucun entretien renseigné"),IF(AND(ReglesTransitoires="Oui",EDATE($N370,AnciennePeriodiciteEP*12)&lt;DateVigueur),"Retard antérieur à la réforme","Périodicité "&amp;PeriodiciteEPP&amp;" ans")))</f>
        <v/>
      </c>
      <c r="P370" s="43" t="str">
        <f aca="false">IF(OR($B370="",$H370=""),"",IF($N370="",EDATE($H370,DelaiPremierEPP),IF(AND(ReglesTransitoires="Oui",EDATE($N370,AnciennePeriodiciteEP*12)&lt;DateVigueur),EDATE($N370,AnciennePeriodiciteEP*12),EDATE($N370,PeriodiciteEPP*12))))</f>
        <v/>
      </c>
      <c r="Q370" s="40"/>
      <c r="R370" s="45" t="str">
        <f aca="false">IF(OR($P370="",AND($I370&lt;&gt;"",$I370&lt;=DateRef)),"",$P370-DateRef)</f>
        <v/>
      </c>
      <c r="S370" s="42" t="str">
        <f aca="false">IF($B370="","",IF(AND($I370&lt;&gt;"",$I370&lt;=DateRef),"Sorti",IF($H370="","À compléter",IF(AND($Q370&lt;&gt;"",$Q370&gt;=DateRef,$Q370&lt;=$P370),"Planifié",IF($R370&lt;0,"En retard",IF($R370&lt;=SeuilAlerteEPP,"À planifier","À jour"))))))</f>
        <v/>
      </c>
      <c r="T370" s="46" t="str">
        <f aca="false">IF(OR($B370="",$S370="Sorti"),"",MID(IF($H370=""," | Date d'embauche manquante","")&amp;IF(AND($K370="Plus d'un an",$N370="")," | Précédent entretien à renseigner (ancienneté &gt; 1 an)","")&amp;IF($O370="Retard antérieur à la réforme"," | Ancien délai de 2 ans expiré avant la réforme","")&amp;IF(AND($N370&lt;&gt;"",$H370&lt;&gt;"",$N370&lt;$H370)," | Entretien antérieur à l'embauche ?","")&amp;IF(AND($N370&lt;&gt;"",$N370&gt;DateRef)," | Entretien daté dans le futur ?","")&amp;IF(AND($Q370&lt;&gt;"",$P370&lt;&gt;"",$Q370&gt;$P370)," | Date prévue après l'échéance","")&amp;IF(AND($Q370&lt;&gt;"",$Q370&lt;DateRef,OR($N370="",$N370&lt;$Q370))," | Entretien prévu passé : le consigner au Journal","")&amp;IF(AND($G370&lt;&gt;"",$X370="",YEAR(DateRef)-YEAR($G370)&gt;=AgeMiCarriere-1,YEAR(DateRef)-YEAR($G370)&lt;=AgeMiCarriere+1)," | Visite de mi-carrière à vérifier",""),4,1000))</f>
        <v/>
      </c>
      <c r="U370" s="39"/>
      <c r="V370" s="40"/>
      <c r="W370" s="42" t="str">
        <f aca="false">IF(OR($B370="",$V370=""),"",IF(AND($I370&lt;&gt;"",$I370&lt;=DateRef),"",IF(AND($N370&lt;&gt;"",$N370&gt;=$V370),"Réalisé",IF(AND($N370&lt;&gt;"",$N370&gt;=EDATE($V370,-FenetreRetour)),"Dispensé (EPP récent)",IF($V370&gt;DateRef,"À prévoir à la reprise","À proposer (reprise passée)")))))</f>
        <v/>
      </c>
      <c r="X370" s="40"/>
      <c r="Y370" s="43" t="str">
        <f aca="false">IF(OR($B370="",$X370=""),"",EDATE($X370,DelaiMiCarriere))</f>
        <v/>
      </c>
      <c r="Z370" s="42" t="str">
        <f aca="false">IF(OR($B370="",$X370=""),"",IF(AND($I370&lt;&gt;"",$I370&lt;=DateRef),"",IF(AND($N370&lt;&gt;"",$N370&gt;=$X370),"Réalisé",IF($Y370&lt;DateRef,"En retard","À planifier"))))</f>
        <v/>
      </c>
      <c r="AA370" s="47" t="str">
        <f aca="false">IF(OR($B370="",$G370=""),"",IF($G370&gt;DateRef,"",DATEDIF($G370,DateRef,"y")))</f>
        <v/>
      </c>
      <c r="AB370" s="43" t="str">
        <f aca="false">IF(OR($B370="",$G370=""),"",EDATE($G370,AgeFinCarriere*12))</f>
        <v/>
      </c>
      <c r="AC370" s="42" t="str">
        <f aca="false">IF(OR($B370="",$G370="",$H370=""),"",IF(AND($I370&lt;&gt;"",$I370&lt;=DateRef),"",IF($AB370&lt;DateVigueur,"Non concerné",IF(AND($N370&lt;&gt;"",$N370&gt;=MAX(EDATE($AB370,-FenetreFinCarriere*12),DateVigueur),$N370&lt;=$AB370),"Réalisé",IF(DateRef&gt;$AB370,"Non réalisé",IF(AND($Q370&lt;&gt;"",$Q370&gt;=EDATE($AB370,-FenetreFinCarriere*12),$Q370&lt;=$AB370),"Planifié dans la fenêtre",IF(AND(MAX($P370,DateRef)&gt;=EDATE($AB370,-FenetreFinCarriere*12),MAX($P370,DateRef)&lt;=$AB370),"Prochain EPP dans la fenêtre",IF(MAX($P370,DateRef)&gt;$AB370,"À programmer avant 60 ans",""))))))))</f>
        <v/>
      </c>
      <c r="AD370" s="40"/>
      <c r="AE370" s="43" t="str">
        <f aca="false">IF(OR($B370="",$H370="",AND($I370&lt;&gt;"",$I370&lt;=DateRef)),"",MAX($H370,$AD370,IF($A370="",0,SUMPRODUCT(MAX((Journal!$A$6:$A$1005=$A370)*((Journal!$D$6:$D$1005=TypeEDL)+(Journal!$D$6:$D$1005=TypeBilan6))*Journal!$C$6:$C$1005)))))</f>
        <v/>
      </c>
      <c r="AF370" s="43" t="str">
        <f aca="false">IF($AE370="","",IF(AND(ReglesTransitoires="Oui",EDATE($AE370,AnciennePeriodiciteEDL*12)&lt;DateVigueur),EDATE($AE370,AnciennePeriodiciteEDL*12),EDATE($AE370,PeriodiciteEDL*12)))</f>
        <v/>
      </c>
      <c r="AG370" s="42" t="str">
        <f aca="false">IF($AF370="","",IF(AND($I370&lt;&gt;"",$I370&lt;=DateRef),"",IF($AF370&lt;DateRef,"En retard",IF($AF370-DateRef&lt;=SeuilAlerteEDL,"À prévoir","À jour"))))</f>
        <v/>
      </c>
      <c r="AH370" s="39"/>
      <c r="AI370" s="39"/>
      <c r="AJ370" s="42" t="str">
        <f aca="false">IF(OR($B370="",$H370=""),"",IF(AND($I370&lt;&gt;"",$I370&lt;=DateRef),"",IF(Effectif&lt;SeuilEffectif,"Non concerné (&lt; "&amp;SeuilEffectif&amp;" salariés)",IF($AH370="Oui","Pas de risque",IF(AND(OR($AI370="Non",$S370="En retard"),$AH370="Non"),"Risque abondement",IF(OR($AI370="Non",$S370="En retard"),"À vérifier (formation ?)",IF($AI370="Oui","Pas de risque","À compléter")))))))</f>
        <v/>
      </c>
      <c r="AK370" s="39"/>
    </row>
    <row r="371" customFormat="false" ht="15" hidden="false" customHeight="false" outlineLevel="0" collapsed="false">
      <c r="A371" s="39"/>
      <c r="B371" s="39"/>
      <c r="C371" s="39"/>
      <c r="D371" s="39"/>
      <c r="E371" s="39"/>
      <c r="F371" s="39"/>
      <c r="G371" s="40"/>
      <c r="H371" s="40"/>
      <c r="I371" s="40"/>
      <c r="J371" s="41" t="str">
        <f aca="false">IF(OR($B371="",$H371=""),"",IF($H371&gt;DateRef,0,YEARFRAC($H371,DateRef,1)))</f>
        <v/>
      </c>
      <c r="K371" s="42" t="str">
        <f aca="false">IF(OR($B371="",$H371=""),"",IF(EDATE($H371,12)&lt;=DateRef,"Plus d'un an","Moins d'un an"))</f>
        <v/>
      </c>
      <c r="L371" s="40"/>
      <c r="M371" s="43" t="str">
        <f aca="false">IF(OR($B371="",$A371=""),"",IF(SUMPRODUCT(MAX((Journal!$A$6:$A$1005=$A371)*Journal!$C$6:$C$1005))=0,"",SUMPRODUCT(MAX((Journal!$A$6:$A$1005=$A371)*Journal!$C$6:$C$1005))))</f>
        <v/>
      </c>
      <c r="N371" s="43" t="str">
        <f aca="false">IF($B371="","",IF(MAX($L371,$M371)=0,"",MAX($L371,$M371)))</f>
        <v/>
      </c>
      <c r="O371" s="44" t="str">
        <f aca="false">IF(OR($B371="",$H371=""),"",IF($N371="",IF(EDATE($H371,DelaiPremierEPP)&gt;DateRef,"1er EPP (1re année)","Aucun entretien renseigné"),IF(AND(ReglesTransitoires="Oui",EDATE($N371,AnciennePeriodiciteEP*12)&lt;DateVigueur),"Retard antérieur à la réforme","Périodicité "&amp;PeriodiciteEPP&amp;" ans")))</f>
        <v/>
      </c>
      <c r="P371" s="43" t="str">
        <f aca="false">IF(OR($B371="",$H371=""),"",IF($N371="",EDATE($H371,DelaiPremierEPP),IF(AND(ReglesTransitoires="Oui",EDATE($N371,AnciennePeriodiciteEP*12)&lt;DateVigueur),EDATE($N371,AnciennePeriodiciteEP*12),EDATE($N371,PeriodiciteEPP*12))))</f>
        <v/>
      </c>
      <c r="Q371" s="40"/>
      <c r="R371" s="45" t="str">
        <f aca="false">IF(OR($P371="",AND($I371&lt;&gt;"",$I371&lt;=DateRef)),"",$P371-DateRef)</f>
        <v/>
      </c>
      <c r="S371" s="42" t="str">
        <f aca="false">IF($B371="","",IF(AND($I371&lt;&gt;"",$I371&lt;=DateRef),"Sorti",IF($H371="","À compléter",IF(AND($Q371&lt;&gt;"",$Q371&gt;=DateRef,$Q371&lt;=$P371),"Planifié",IF($R371&lt;0,"En retard",IF($R371&lt;=SeuilAlerteEPP,"À planifier","À jour"))))))</f>
        <v/>
      </c>
      <c r="T371" s="46" t="str">
        <f aca="false">IF(OR($B371="",$S371="Sorti"),"",MID(IF($H371=""," | Date d'embauche manquante","")&amp;IF(AND($K371="Plus d'un an",$N371="")," | Précédent entretien à renseigner (ancienneté &gt; 1 an)","")&amp;IF($O371="Retard antérieur à la réforme"," | Ancien délai de 2 ans expiré avant la réforme","")&amp;IF(AND($N371&lt;&gt;"",$H371&lt;&gt;"",$N371&lt;$H371)," | Entretien antérieur à l'embauche ?","")&amp;IF(AND($N371&lt;&gt;"",$N371&gt;DateRef)," | Entretien daté dans le futur ?","")&amp;IF(AND($Q371&lt;&gt;"",$P371&lt;&gt;"",$Q371&gt;$P371)," | Date prévue après l'échéance","")&amp;IF(AND($Q371&lt;&gt;"",$Q371&lt;DateRef,OR($N371="",$N371&lt;$Q371))," | Entretien prévu passé : le consigner au Journal","")&amp;IF(AND($G371&lt;&gt;"",$X371="",YEAR(DateRef)-YEAR($G371)&gt;=AgeMiCarriere-1,YEAR(DateRef)-YEAR($G371)&lt;=AgeMiCarriere+1)," | Visite de mi-carrière à vérifier",""),4,1000))</f>
        <v/>
      </c>
      <c r="U371" s="39"/>
      <c r="V371" s="40"/>
      <c r="W371" s="42" t="str">
        <f aca="false">IF(OR($B371="",$V371=""),"",IF(AND($I371&lt;&gt;"",$I371&lt;=DateRef),"",IF(AND($N371&lt;&gt;"",$N371&gt;=$V371),"Réalisé",IF(AND($N371&lt;&gt;"",$N371&gt;=EDATE($V371,-FenetreRetour)),"Dispensé (EPP récent)",IF($V371&gt;DateRef,"À prévoir à la reprise","À proposer (reprise passée)")))))</f>
        <v/>
      </c>
      <c r="X371" s="40"/>
      <c r="Y371" s="43" t="str">
        <f aca="false">IF(OR($B371="",$X371=""),"",EDATE($X371,DelaiMiCarriere))</f>
        <v/>
      </c>
      <c r="Z371" s="42" t="str">
        <f aca="false">IF(OR($B371="",$X371=""),"",IF(AND($I371&lt;&gt;"",$I371&lt;=DateRef),"",IF(AND($N371&lt;&gt;"",$N371&gt;=$X371),"Réalisé",IF($Y371&lt;DateRef,"En retard","À planifier"))))</f>
        <v/>
      </c>
      <c r="AA371" s="47" t="str">
        <f aca="false">IF(OR($B371="",$G371=""),"",IF($G371&gt;DateRef,"",DATEDIF($G371,DateRef,"y")))</f>
        <v/>
      </c>
      <c r="AB371" s="43" t="str">
        <f aca="false">IF(OR($B371="",$G371=""),"",EDATE($G371,AgeFinCarriere*12))</f>
        <v/>
      </c>
      <c r="AC371" s="42" t="str">
        <f aca="false">IF(OR($B371="",$G371="",$H371=""),"",IF(AND($I371&lt;&gt;"",$I371&lt;=DateRef),"",IF($AB371&lt;DateVigueur,"Non concerné",IF(AND($N371&lt;&gt;"",$N371&gt;=MAX(EDATE($AB371,-FenetreFinCarriere*12),DateVigueur),$N371&lt;=$AB371),"Réalisé",IF(DateRef&gt;$AB371,"Non réalisé",IF(AND($Q371&lt;&gt;"",$Q371&gt;=EDATE($AB371,-FenetreFinCarriere*12),$Q371&lt;=$AB371),"Planifié dans la fenêtre",IF(AND(MAX($P371,DateRef)&gt;=EDATE($AB371,-FenetreFinCarriere*12),MAX($P371,DateRef)&lt;=$AB371),"Prochain EPP dans la fenêtre",IF(MAX($P371,DateRef)&gt;$AB371,"À programmer avant 60 ans",""))))))))</f>
        <v/>
      </c>
      <c r="AD371" s="40"/>
      <c r="AE371" s="43" t="str">
        <f aca="false">IF(OR($B371="",$H371="",AND($I371&lt;&gt;"",$I371&lt;=DateRef)),"",MAX($H371,$AD371,IF($A371="",0,SUMPRODUCT(MAX((Journal!$A$6:$A$1005=$A371)*((Journal!$D$6:$D$1005=TypeEDL)+(Journal!$D$6:$D$1005=TypeBilan6))*Journal!$C$6:$C$1005)))))</f>
        <v/>
      </c>
      <c r="AF371" s="43" t="str">
        <f aca="false">IF($AE371="","",IF(AND(ReglesTransitoires="Oui",EDATE($AE371,AnciennePeriodiciteEDL*12)&lt;DateVigueur),EDATE($AE371,AnciennePeriodiciteEDL*12),EDATE($AE371,PeriodiciteEDL*12)))</f>
        <v/>
      </c>
      <c r="AG371" s="42" t="str">
        <f aca="false">IF($AF371="","",IF(AND($I371&lt;&gt;"",$I371&lt;=DateRef),"",IF($AF371&lt;DateRef,"En retard",IF($AF371-DateRef&lt;=SeuilAlerteEDL,"À prévoir","À jour"))))</f>
        <v/>
      </c>
      <c r="AH371" s="39"/>
      <c r="AI371" s="39"/>
      <c r="AJ371" s="42" t="str">
        <f aca="false">IF(OR($B371="",$H371=""),"",IF(AND($I371&lt;&gt;"",$I371&lt;=DateRef),"",IF(Effectif&lt;SeuilEffectif,"Non concerné (&lt; "&amp;SeuilEffectif&amp;" salariés)",IF($AH371="Oui","Pas de risque",IF(AND(OR($AI371="Non",$S371="En retard"),$AH371="Non"),"Risque abondement",IF(OR($AI371="Non",$S371="En retard"),"À vérifier (formation ?)",IF($AI371="Oui","Pas de risque","À compléter")))))))</f>
        <v/>
      </c>
      <c r="AK371" s="39"/>
    </row>
    <row r="372" customFormat="false" ht="15" hidden="false" customHeight="false" outlineLevel="0" collapsed="false">
      <c r="A372" s="39"/>
      <c r="B372" s="39"/>
      <c r="C372" s="39"/>
      <c r="D372" s="39"/>
      <c r="E372" s="39"/>
      <c r="F372" s="39"/>
      <c r="G372" s="40"/>
      <c r="H372" s="40"/>
      <c r="I372" s="40"/>
      <c r="J372" s="41" t="str">
        <f aca="false">IF(OR($B372="",$H372=""),"",IF($H372&gt;DateRef,0,YEARFRAC($H372,DateRef,1)))</f>
        <v/>
      </c>
      <c r="K372" s="42" t="str">
        <f aca="false">IF(OR($B372="",$H372=""),"",IF(EDATE($H372,12)&lt;=DateRef,"Plus d'un an","Moins d'un an"))</f>
        <v/>
      </c>
      <c r="L372" s="40"/>
      <c r="M372" s="43" t="str">
        <f aca="false">IF(OR($B372="",$A372=""),"",IF(SUMPRODUCT(MAX((Journal!$A$6:$A$1005=$A372)*Journal!$C$6:$C$1005))=0,"",SUMPRODUCT(MAX((Journal!$A$6:$A$1005=$A372)*Journal!$C$6:$C$1005))))</f>
        <v/>
      </c>
      <c r="N372" s="43" t="str">
        <f aca="false">IF($B372="","",IF(MAX($L372,$M372)=0,"",MAX($L372,$M372)))</f>
        <v/>
      </c>
      <c r="O372" s="44" t="str">
        <f aca="false">IF(OR($B372="",$H372=""),"",IF($N372="",IF(EDATE($H372,DelaiPremierEPP)&gt;DateRef,"1er EPP (1re année)","Aucun entretien renseigné"),IF(AND(ReglesTransitoires="Oui",EDATE($N372,AnciennePeriodiciteEP*12)&lt;DateVigueur),"Retard antérieur à la réforme","Périodicité "&amp;PeriodiciteEPP&amp;" ans")))</f>
        <v/>
      </c>
      <c r="P372" s="43" t="str">
        <f aca="false">IF(OR($B372="",$H372=""),"",IF($N372="",EDATE($H372,DelaiPremierEPP),IF(AND(ReglesTransitoires="Oui",EDATE($N372,AnciennePeriodiciteEP*12)&lt;DateVigueur),EDATE($N372,AnciennePeriodiciteEP*12),EDATE($N372,PeriodiciteEPP*12))))</f>
        <v/>
      </c>
      <c r="Q372" s="40"/>
      <c r="R372" s="45" t="str">
        <f aca="false">IF(OR($P372="",AND($I372&lt;&gt;"",$I372&lt;=DateRef)),"",$P372-DateRef)</f>
        <v/>
      </c>
      <c r="S372" s="42" t="str">
        <f aca="false">IF($B372="","",IF(AND($I372&lt;&gt;"",$I372&lt;=DateRef),"Sorti",IF($H372="","À compléter",IF(AND($Q372&lt;&gt;"",$Q372&gt;=DateRef,$Q372&lt;=$P372),"Planifié",IF($R372&lt;0,"En retard",IF($R372&lt;=SeuilAlerteEPP,"À planifier","À jour"))))))</f>
        <v/>
      </c>
      <c r="T372" s="46" t="str">
        <f aca="false">IF(OR($B372="",$S372="Sorti"),"",MID(IF($H372=""," | Date d'embauche manquante","")&amp;IF(AND($K372="Plus d'un an",$N372="")," | Précédent entretien à renseigner (ancienneté &gt; 1 an)","")&amp;IF($O372="Retard antérieur à la réforme"," | Ancien délai de 2 ans expiré avant la réforme","")&amp;IF(AND($N372&lt;&gt;"",$H372&lt;&gt;"",$N372&lt;$H372)," | Entretien antérieur à l'embauche ?","")&amp;IF(AND($N372&lt;&gt;"",$N372&gt;DateRef)," | Entretien daté dans le futur ?","")&amp;IF(AND($Q372&lt;&gt;"",$P372&lt;&gt;"",$Q372&gt;$P372)," | Date prévue après l'échéance","")&amp;IF(AND($Q372&lt;&gt;"",$Q372&lt;DateRef,OR($N372="",$N372&lt;$Q372))," | Entretien prévu passé : le consigner au Journal","")&amp;IF(AND($G372&lt;&gt;"",$X372="",YEAR(DateRef)-YEAR($G372)&gt;=AgeMiCarriere-1,YEAR(DateRef)-YEAR($G372)&lt;=AgeMiCarriere+1)," | Visite de mi-carrière à vérifier",""),4,1000))</f>
        <v/>
      </c>
      <c r="U372" s="39"/>
      <c r="V372" s="40"/>
      <c r="W372" s="42" t="str">
        <f aca="false">IF(OR($B372="",$V372=""),"",IF(AND($I372&lt;&gt;"",$I372&lt;=DateRef),"",IF(AND($N372&lt;&gt;"",$N372&gt;=$V372),"Réalisé",IF(AND($N372&lt;&gt;"",$N372&gt;=EDATE($V372,-FenetreRetour)),"Dispensé (EPP récent)",IF($V372&gt;DateRef,"À prévoir à la reprise","À proposer (reprise passée)")))))</f>
        <v/>
      </c>
      <c r="X372" s="40"/>
      <c r="Y372" s="43" t="str">
        <f aca="false">IF(OR($B372="",$X372=""),"",EDATE($X372,DelaiMiCarriere))</f>
        <v/>
      </c>
      <c r="Z372" s="42" t="str">
        <f aca="false">IF(OR($B372="",$X372=""),"",IF(AND($I372&lt;&gt;"",$I372&lt;=DateRef),"",IF(AND($N372&lt;&gt;"",$N372&gt;=$X372),"Réalisé",IF($Y372&lt;DateRef,"En retard","À planifier"))))</f>
        <v/>
      </c>
      <c r="AA372" s="47" t="str">
        <f aca="false">IF(OR($B372="",$G372=""),"",IF($G372&gt;DateRef,"",DATEDIF($G372,DateRef,"y")))</f>
        <v/>
      </c>
      <c r="AB372" s="43" t="str">
        <f aca="false">IF(OR($B372="",$G372=""),"",EDATE($G372,AgeFinCarriere*12))</f>
        <v/>
      </c>
      <c r="AC372" s="42" t="str">
        <f aca="false">IF(OR($B372="",$G372="",$H372=""),"",IF(AND($I372&lt;&gt;"",$I372&lt;=DateRef),"",IF($AB372&lt;DateVigueur,"Non concerné",IF(AND($N372&lt;&gt;"",$N372&gt;=MAX(EDATE($AB372,-FenetreFinCarriere*12),DateVigueur),$N372&lt;=$AB372),"Réalisé",IF(DateRef&gt;$AB372,"Non réalisé",IF(AND($Q372&lt;&gt;"",$Q372&gt;=EDATE($AB372,-FenetreFinCarriere*12),$Q372&lt;=$AB372),"Planifié dans la fenêtre",IF(AND(MAX($P372,DateRef)&gt;=EDATE($AB372,-FenetreFinCarriere*12),MAX($P372,DateRef)&lt;=$AB372),"Prochain EPP dans la fenêtre",IF(MAX($P372,DateRef)&gt;$AB372,"À programmer avant 60 ans",""))))))))</f>
        <v/>
      </c>
      <c r="AD372" s="40"/>
      <c r="AE372" s="43" t="str">
        <f aca="false">IF(OR($B372="",$H372="",AND($I372&lt;&gt;"",$I372&lt;=DateRef)),"",MAX($H372,$AD372,IF($A372="",0,SUMPRODUCT(MAX((Journal!$A$6:$A$1005=$A372)*((Journal!$D$6:$D$1005=TypeEDL)+(Journal!$D$6:$D$1005=TypeBilan6))*Journal!$C$6:$C$1005)))))</f>
        <v/>
      </c>
      <c r="AF372" s="43" t="str">
        <f aca="false">IF($AE372="","",IF(AND(ReglesTransitoires="Oui",EDATE($AE372,AnciennePeriodiciteEDL*12)&lt;DateVigueur),EDATE($AE372,AnciennePeriodiciteEDL*12),EDATE($AE372,PeriodiciteEDL*12)))</f>
        <v/>
      </c>
      <c r="AG372" s="42" t="str">
        <f aca="false">IF($AF372="","",IF(AND($I372&lt;&gt;"",$I372&lt;=DateRef),"",IF($AF372&lt;DateRef,"En retard",IF($AF372-DateRef&lt;=SeuilAlerteEDL,"À prévoir","À jour"))))</f>
        <v/>
      </c>
      <c r="AH372" s="39"/>
      <c r="AI372" s="39"/>
      <c r="AJ372" s="42" t="str">
        <f aca="false">IF(OR($B372="",$H372=""),"",IF(AND($I372&lt;&gt;"",$I372&lt;=DateRef),"",IF(Effectif&lt;SeuilEffectif,"Non concerné (&lt; "&amp;SeuilEffectif&amp;" salariés)",IF($AH372="Oui","Pas de risque",IF(AND(OR($AI372="Non",$S372="En retard"),$AH372="Non"),"Risque abondement",IF(OR($AI372="Non",$S372="En retard"),"À vérifier (formation ?)",IF($AI372="Oui","Pas de risque","À compléter")))))))</f>
        <v/>
      </c>
      <c r="AK372" s="39"/>
    </row>
    <row r="373" customFormat="false" ht="15" hidden="false" customHeight="false" outlineLevel="0" collapsed="false">
      <c r="A373" s="39"/>
      <c r="B373" s="39"/>
      <c r="C373" s="39"/>
      <c r="D373" s="39"/>
      <c r="E373" s="39"/>
      <c r="F373" s="39"/>
      <c r="G373" s="40"/>
      <c r="H373" s="40"/>
      <c r="I373" s="40"/>
      <c r="J373" s="41" t="str">
        <f aca="false">IF(OR($B373="",$H373=""),"",IF($H373&gt;DateRef,0,YEARFRAC($H373,DateRef,1)))</f>
        <v/>
      </c>
      <c r="K373" s="42" t="str">
        <f aca="false">IF(OR($B373="",$H373=""),"",IF(EDATE($H373,12)&lt;=DateRef,"Plus d'un an","Moins d'un an"))</f>
        <v/>
      </c>
      <c r="L373" s="40"/>
      <c r="M373" s="43" t="str">
        <f aca="false">IF(OR($B373="",$A373=""),"",IF(SUMPRODUCT(MAX((Journal!$A$6:$A$1005=$A373)*Journal!$C$6:$C$1005))=0,"",SUMPRODUCT(MAX((Journal!$A$6:$A$1005=$A373)*Journal!$C$6:$C$1005))))</f>
        <v/>
      </c>
      <c r="N373" s="43" t="str">
        <f aca="false">IF($B373="","",IF(MAX($L373,$M373)=0,"",MAX($L373,$M373)))</f>
        <v/>
      </c>
      <c r="O373" s="44" t="str">
        <f aca="false">IF(OR($B373="",$H373=""),"",IF($N373="",IF(EDATE($H373,DelaiPremierEPP)&gt;DateRef,"1er EPP (1re année)","Aucun entretien renseigné"),IF(AND(ReglesTransitoires="Oui",EDATE($N373,AnciennePeriodiciteEP*12)&lt;DateVigueur),"Retard antérieur à la réforme","Périodicité "&amp;PeriodiciteEPP&amp;" ans")))</f>
        <v/>
      </c>
      <c r="P373" s="43" t="str">
        <f aca="false">IF(OR($B373="",$H373=""),"",IF($N373="",EDATE($H373,DelaiPremierEPP),IF(AND(ReglesTransitoires="Oui",EDATE($N373,AnciennePeriodiciteEP*12)&lt;DateVigueur),EDATE($N373,AnciennePeriodiciteEP*12),EDATE($N373,PeriodiciteEPP*12))))</f>
        <v/>
      </c>
      <c r="Q373" s="40"/>
      <c r="R373" s="45" t="str">
        <f aca="false">IF(OR($P373="",AND($I373&lt;&gt;"",$I373&lt;=DateRef)),"",$P373-DateRef)</f>
        <v/>
      </c>
      <c r="S373" s="42" t="str">
        <f aca="false">IF($B373="","",IF(AND($I373&lt;&gt;"",$I373&lt;=DateRef),"Sorti",IF($H373="","À compléter",IF(AND($Q373&lt;&gt;"",$Q373&gt;=DateRef,$Q373&lt;=$P373),"Planifié",IF($R373&lt;0,"En retard",IF($R373&lt;=SeuilAlerteEPP,"À planifier","À jour"))))))</f>
        <v/>
      </c>
      <c r="T373" s="46" t="str">
        <f aca="false">IF(OR($B373="",$S373="Sorti"),"",MID(IF($H373=""," | Date d'embauche manquante","")&amp;IF(AND($K373="Plus d'un an",$N373="")," | Précédent entretien à renseigner (ancienneté &gt; 1 an)","")&amp;IF($O373="Retard antérieur à la réforme"," | Ancien délai de 2 ans expiré avant la réforme","")&amp;IF(AND($N373&lt;&gt;"",$H373&lt;&gt;"",$N373&lt;$H373)," | Entretien antérieur à l'embauche ?","")&amp;IF(AND($N373&lt;&gt;"",$N373&gt;DateRef)," | Entretien daté dans le futur ?","")&amp;IF(AND($Q373&lt;&gt;"",$P373&lt;&gt;"",$Q373&gt;$P373)," | Date prévue après l'échéance","")&amp;IF(AND($Q373&lt;&gt;"",$Q373&lt;DateRef,OR($N373="",$N373&lt;$Q373))," | Entretien prévu passé : le consigner au Journal","")&amp;IF(AND($G373&lt;&gt;"",$X373="",YEAR(DateRef)-YEAR($G373)&gt;=AgeMiCarriere-1,YEAR(DateRef)-YEAR($G373)&lt;=AgeMiCarriere+1)," | Visite de mi-carrière à vérifier",""),4,1000))</f>
        <v/>
      </c>
      <c r="U373" s="39"/>
      <c r="V373" s="40"/>
      <c r="W373" s="42" t="str">
        <f aca="false">IF(OR($B373="",$V373=""),"",IF(AND($I373&lt;&gt;"",$I373&lt;=DateRef),"",IF(AND($N373&lt;&gt;"",$N373&gt;=$V373),"Réalisé",IF(AND($N373&lt;&gt;"",$N373&gt;=EDATE($V373,-FenetreRetour)),"Dispensé (EPP récent)",IF($V373&gt;DateRef,"À prévoir à la reprise","À proposer (reprise passée)")))))</f>
        <v/>
      </c>
      <c r="X373" s="40"/>
      <c r="Y373" s="43" t="str">
        <f aca="false">IF(OR($B373="",$X373=""),"",EDATE($X373,DelaiMiCarriere))</f>
        <v/>
      </c>
      <c r="Z373" s="42" t="str">
        <f aca="false">IF(OR($B373="",$X373=""),"",IF(AND($I373&lt;&gt;"",$I373&lt;=DateRef),"",IF(AND($N373&lt;&gt;"",$N373&gt;=$X373),"Réalisé",IF($Y373&lt;DateRef,"En retard","À planifier"))))</f>
        <v/>
      </c>
      <c r="AA373" s="47" t="str">
        <f aca="false">IF(OR($B373="",$G373=""),"",IF($G373&gt;DateRef,"",DATEDIF($G373,DateRef,"y")))</f>
        <v/>
      </c>
      <c r="AB373" s="43" t="str">
        <f aca="false">IF(OR($B373="",$G373=""),"",EDATE($G373,AgeFinCarriere*12))</f>
        <v/>
      </c>
      <c r="AC373" s="42" t="str">
        <f aca="false">IF(OR($B373="",$G373="",$H373=""),"",IF(AND($I373&lt;&gt;"",$I373&lt;=DateRef),"",IF($AB373&lt;DateVigueur,"Non concerné",IF(AND($N373&lt;&gt;"",$N373&gt;=MAX(EDATE($AB373,-FenetreFinCarriere*12),DateVigueur),$N373&lt;=$AB373),"Réalisé",IF(DateRef&gt;$AB373,"Non réalisé",IF(AND($Q373&lt;&gt;"",$Q373&gt;=EDATE($AB373,-FenetreFinCarriere*12),$Q373&lt;=$AB373),"Planifié dans la fenêtre",IF(AND(MAX($P373,DateRef)&gt;=EDATE($AB373,-FenetreFinCarriere*12),MAX($P373,DateRef)&lt;=$AB373),"Prochain EPP dans la fenêtre",IF(MAX($P373,DateRef)&gt;$AB373,"À programmer avant 60 ans",""))))))))</f>
        <v/>
      </c>
      <c r="AD373" s="40"/>
      <c r="AE373" s="43" t="str">
        <f aca="false">IF(OR($B373="",$H373="",AND($I373&lt;&gt;"",$I373&lt;=DateRef)),"",MAX($H373,$AD373,IF($A373="",0,SUMPRODUCT(MAX((Journal!$A$6:$A$1005=$A373)*((Journal!$D$6:$D$1005=TypeEDL)+(Journal!$D$6:$D$1005=TypeBilan6))*Journal!$C$6:$C$1005)))))</f>
        <v/>
      </c>
      <c r="AF373" s="43" t="str">
        <f aca="false">IF($AE373="","",IF(AND(ReglesTransitoires="Oui",EDATE($AE373,AnciennePeriodiciteEDL*12)&lt;DateVigueur),EDATE($AE373,AnciennePeriodiciteEDL*12),EDATE($AE373,PeriodiciteEDL*12)))</f>
        <v/>
      </c>
      <c r="AG373" s="42" t="str">
        <f aca="false">IF($AF373="","",IF(AND($I373&lt;&gt;"",$I373&lt;=DateRef),"",IF($AF373&lt;DateRef,"En retard",IF($AF373-DateRef&lt;=SeuilAlerteEDL,"À prévoir","À jour"))))</f>
        <v/>
      </c>
      <c r="AH373" s="39"/>
      <c r="AI373" s="39"/>
      <c r="AJ373" s="42" t="str">
        <f aca="false">IF(OR($B373="",$H373=""),"",IF(AND($I373&lt;&gt;"",$I373&lt;=DateRef),"",IF(Effectif&lt;SeuilEffectif,"Non concerné (&lt; "&amp;SeuilEffectif&amp;" salariés)",IF($AH373="Oui","Pas de risque",IF(AND(OR($AI373="Non",$S373="En retard"),$AH373="Non"),"Risque abondement",IF(OR($AI373="Non",$S373="En retard"),"À vérifier (formation ?)",IF($AI373="Oui","Pas de risque","À compléter")))))))</f>
        <v/>
      </c>
      <c r="AK373" s="39"/>
    </row>
    <row r="374" customFormat="false" ht="15" hidden="false" customHeight="false" outlineLevel="0" collapsed="false">
      <c r="A374" s="39"/>
      <c r="B374" s="39"/>
      <c r="C374" s="39"/>
      <c r="D374" s="39"/>
      <c r="E374" s="39"/>
      <c r="F374" s="39"/>
      <c r="G374" s="40"/>
      <c r="H374" s="40"/>
      <c r="I374" s="40"/>
      <c r="J374" s="41" t="str">
        <f aca="false">IF(OR($B374="",$H374=""),"",IF($H374&gt;DateRef,0,YEARFRAC($H374,DateRef,1)))</f>
        <v/>
      </c>
      <c r="K374" s="42" t="str">
        <f aca="false">IF(OR($B374="",$H374=""),"",IF(EDATE($H374,12)&lt;=DateRef,"Plus d'un an","Moins d'un an"))</f>
        <v/>
      </c>
      <c r="L374" s="40"/>
      <c r="M374" s="43" t="str">
        <f aca="false">IF(OR($B374="",$A374=""),"",IF(SUMPRODUCT(MAX((Journal!$A$6:$A$1005=$A374)*Journal!$C$6:$C$1005))=0,"",SUMPRODUCT(MAX((Journal!$A$6:$A$1005=$A374)*Journal!$C$6:$C$1005))))</f>
        <v/>
      </c>
      <c r="N374" s="43" t="str">
        <f aca="false">IF($B374="","",IF(MAX($L374,$M374)=0,"",MAX($L374,$M374)))</f>
        <v/>
      </c>
      <c r="O374" s="44" t="str">
        <f aca="false">IF(OR($B374="",$H374=""),"",IF($N374="",IF(EDATE($H374,DelaiPremierEPP)&gt;DateRef,"1er EPP (1re année)","Aucun entretien renseigné"),IF(AND(ReglesTransitoires="Oui",EDATE($N374,AnciennePeriodiciteEP*12)&lt;DateVigueur),"Retard antérieur à la réforme","Périodicité "&amp;PeriodiciteEPP&amp;" ans")))</f>
        <v/>
      </c>
      <c r="P374" s="43" t="str">
        <f aca="false">IF(OR($B374="",$H374=""),"",IF($N374="",EDATE($H374,DelaiPremierEPP),IF(AND(ReglesTransitoires="Oui",EDATE($N374,AnciennePeriodiciteEP*12)&lt;DateVigueur),EDATE($N374,AnciennePeriodiciteEP*12),EDATE($N374,PeriodiciteEPP*12))))</f>
        <v/>
      </c>
      <c r="Q374" s="40"/>
      <c r="R374" s="45" t="str">
        <f aca="false">IF(OR($P374="",AND($I374&lt;&gt;"",$I374&lt;=DateRef)),"",$P374-DateRef)</f>
        <v/>
      </c>
      <c r="S374" s="42" t="str">
        <f aca="false">IF($B374="","",IF(AND($I374&lt;&gt;"",$I374&lt;=DateRef),"Sorti",IF($H374="","À compléter",IF(AND($Q374&lt;&gt;"",$Q374&gt;=DateRef,$Q374&lt;=$P374),"Planifié",IF($R374&lt;0,"En retard",IF($R374&lt;=SeuilAlerteEPP,"À planifier","À jour"))))))</f>
        <v/>
      </c>
      <c r="T374" s="46" t="str">
        <f aca="false">IF(OR($B374="",$S374="Sorti"),"",MID(IF($H374=""," | Date d'embauche manquante","")&amp;IF(AND($K374="Plus d'un an",$N374="")," | Précédent entretien à renseigner (ancienneté &gt; 1 an)","")&amp;IF($O374="Retard antérieur à la réforme"," | Ancien délai de 2 ans expiré avant la réforme","")&amp;IF(AND($N374&lt;&gt;"",$H374&lt;&gt;"",$N374&lt;$H374)," | Entretien antérieur à l'embauche ?","")&amp;IF(AND($N374&lt;&gt;"",$N374&gt;DateRef)," | Entretien daté dans le futur ?","")&amp;IF(AND($Q374&lt;&gt;"",$P374&lt;&gt;"",$Q374&gt;$P374)," | Date prévue après l'échéance","")&amp;IF(AND($Q374&lt;&gt;"",$Q374&lt;DateRef,OR($N374="",$N374&lt;$Q374))," | Entretien prévu passé : le consigner au Journal","")&amp;IF(AND($G374&lt;&gt;"",$X374="",YEAR(DateRef)-YEAR($G374)&gt;=AgeMiCarriere-1,YEAR(DateRef)-YEAR($G374)&lt;=AgeMiCarriere+1)," | Visite de mi-carrière à vérifier",""),4,1000))</f>
        <v/>
      </c>
      <c r="U374" s="39"/>
      <c r="V374" s="40"/>
      <c r="W374" s="42" t="str">
        <f aca="false">IF(OR($B374="",$V374=""),"",IF(AND($I374&lt;&gt;"",$I374&lt;=DateRef),"",IF(AND($N374&lt;&gt;"",$N374&gt;=$V374),"Réalisé",IF(AND($N374&lt;&gt;"",$N374&gt;=EDATE($V374,-FenetreRetour)),"Dispensé (EPP récent)",IF($V374&gt;DateRef,"À prévoir à la reprise","À proposer (reprise passée)")))))</f>
        <v/>
      </c>
      <c r="X374" s="40"/>
      <c r="Y374" s="43" t="str">
        <f aca="false">IF(OR($B374="",$X374=""),"",EDATE($X374,DelaiMiCarriere))</f>
        <v/>
      </c>
      <c r="Z374" s="42" t="str">
        <f aca="false">IF(OR($B374="",$X374=""),"",IF(AND($I374&lt;&gt;"",$I374&lt;=DateRef),"",IF(AND($N374&lt;&gt;"",$N374&gt;=$X374),"Réalisé",IF($Y374&lt;DateRef,"En retard","À planifier"))))</f>
        <v/>
      </c>
      <c r="AA374" s="47" t="str">
        <f aca="false">IF(OR($B374="",$G374=""),"",IF($G374&gt;DateRef,"",DATEDIF($G374,DateRef,"y")))</f>
        <v/>
      </c>
      <c r="AB374" s="43" t="str">
        <f aca="false">IF(OR($B374="",$G374=""),"",EDATE($G374,AgeFinCarriere*12))</f>
        <v/>
      </c>
      <c r="AC374" s="42" t="str">
        <f aca="false">IF(OR($B374="",$G374="",$H374=""),"",IF(AND($I374&lt;&gt;"",$I374&lt;=DateRef),"",IF($AB374&lt;DateVigueur,"Non concerné",IF(AND($N374&lt;&gt;"",$N374&gt;=MAX(EDATE($AB374,-FenetreFinCarriere*12),DateVigueur),$N374&lt;=$AB374),"Réalisé",IF(DateRef&gt;$AB374,"Non réalisé",IF(AND($Q374&lt;&gt;"",$Q374&gt;=EDATE($AB374,-FenetreFinCarriere*12),$Q374&lt;=$AB374),"Planifié dans la fenêtre",IF(AND(MAX($P374,DateRef)&gt;=EDATE($AB374,-FenetreFinCarriere*12),MAX($P374,DateRef)&lt;=$AB374),"Prochain EPP dans la fenêtre",IF(MAX($P374,DateRef)&gt;$AB374,"À programmer avant 60 ans",""))))))))</f>
        <v/>
      </c>
      <c r="AD374" s="40"/>
      <c r="AE374" s="43" t="str">
        <f aca="false">IF(OR($B374="",$H374="",AND($I374&lt;&gt;"",$I374&lt;=DateRef)),"",MAX($H374,$AD374,IF($A374="",0,SUMPRODUCT(MAX((Journal!$A$6:$A$1005=$A374)*((Journal!$D$6:$D$1005=TypeEDL)+(Journal!$D$6:$D$1005=TypeBilan6))*Journal!$C$6:$C$1005)))))</f>
        <v/>
      </c>
      <c r="AF374" s="43" t="str">
        <f aca="false">IF($AE374="","",IF(AND(ReglesTransitoires="Oui",EDATE($AE374,AnciennePeriodiciteEDL*12)&lt;DateVigueur),EDATE($AE374,AnciennePeriodiciteEDL*12),EDATE($AE374,PeriodiciteEDL*12)))</f>
        <v/>
      </c>
      <c r="AG374" s="42" t="str">
        <f aca="false">IF($AF374="","",IF(AND($I374&lt;&gt;"",$I374&lt;=DateRef),"",IF($AF374&lt;DateRef,"En retard",IF($AF374-DateRef&lt;=SeuilAlerteEDL,"À prévoir","À jour"))))</f>
        <v/>
      </c>
      <c r="AH374" s="39"/>
      <c r="AI374" s="39"/>
      <c r="AJ374" s="42" t="str">
        <f aca="false">IF(OR($B374="",$H374=""),"",IF(AND($I374&lt;&gt;"",$I374&lt;=DateRef),"",IF(Effectif&lt;SeuilEffectif,"Non concerné (&lt; "&amp;SeuilEffectif&amp;" salariés)",IF($AH374="Oui","Pas de risque",IF(AND(OR($AI374="Non",$S374="En retard"),$AH374="Non"),"Risque abondement",IF(OR($AI374="Non",$S374="En retard"),"À vérifier (formation ?)",IF($AI374="Oui","Pas de risque","À compléter")))))))</f>
        <v/>
      </c>
      <c r="AK374" s="39"/>
    </row>
    <row r="375" customFormat="false" ht="15" hidden="false" customHeight="false" outlineLevel="0" collapsed="false">
      <c r="A375" s="39"/>
      <c r="B375" s="39"/>
      <c r="C375" s="39"/>
      <c r="D375" s="39"/>
      <c r="E375" s="39"/>
      <c r="F375" s="39"/>
      <c r="G375" s="40"/>
      <c r="H375" s="40"/>
      <c r="I375" s="40"/>
      <c r="J375" s="41" t="str">
        <f aca="false">IF(OR($B375="",$H375=""),"",IF($H375&gt;DateRef,0,YEARFRAC($H375,DateRef,1)))</f>
        <v/>
      </c>
      <c r="K375" s="42" t="str">
        <f aca="false">IF(OR($B375="",$H375=""),"",IF(EDATE($H375,12)&lt;=DateRef,"Plus d'un an","Moins d'un an"))</f>
        <v/>
      </c>
      <c r="L375" s="40"/>
      <c r="M375" s="43" t="str">
        <f aca="false">IF(OR($B375="",$A375=""),"",IF(SUMPRODUCT(MAX((Journal!$A$6:$A$1005=$A375)*Journal!$C$6:$C$1005))=0,"",SUMPRODUCT(MAX((Journal!$A$6:$A$1005=$A375)*Journal!$C$6:$C$1005))))</f>
        <v/>
      </c>
      <c r="N375" s="43" t="str">
        <f aca="false">IF($B375="","",IF(MAX($L375,$M375)=0,"",MAX($L375,$M375)))</f>
        <v/>
      </c>
      <c r="O375" s="44" t="str">
        <f aca="false">IF(OR($B375="",$H375=""),"",IF($N375="",IF(EDATE($H375,DelaiPremierEPP)&gt;DateRef,"1er EPP (1re année)","Aucun entretien renseigné"),IF(AND(ReglesTransitoires="Oui",EDATE($N375,AnciennePeriodiciteEP*12)&lt;DateVigueur),"Retard antérieur à la réforme","Périodicité "&amp;PeriodiciteEPP&amp;" ans")))</f>
        <v/>
      </c>
      <c r="P375" s="43" t="str">
        <f aca="false">IF(OR($B375="",$H375=""),"",IF($N375="",EDATE($H375,DelaiPremierEPP),IF(AND(ReglesTransitoires="Oui",EDATE($N375,AnciennePeriodiciteEP*12)&lt;DateVigueur),EDATE($N375,AnciennePeriodiciteEP*12),EDATE($N375,PeriodiciteEPP*12))))</f>
        <v/>
      </c>
      <c r="Q375" s="40"/>
      <c r="R375" s="45" t="str">
        <f aca="false">IF(OR($P375="",AND($I375&lt;&gt;"",$I375&lt;=DateRef)),"",$P375-DateRef)</f>
        <v/>
      </c>
      <c r="S375" s="42" t="str">
        <f aca="false">IF($B375="","",IF(AND($I375&lt;&gt;"",$I375&lt;=DateRef),"Sorti",IF($H375="","À compléter",IF(AND($Q375&lt;&gt;"",$Q375&gt;=DateRef,$Q375&lt;=$P375),"Planifié",IF($R375&lt;0,"En retard",IF($R375&lt;=SeuilAlerteEPP,"À planifier","À jour"))))))</f>
        <v/>
      </c>
      <c r="T375" s="46" t="str">
        <f aca="false">IF(OR($B375="",$S375="Sorti"),"",MID(IF($H375=""," | Date d'embauche manquante","")&amp;IF(AND($K375="Plus d'un an",$N375="")," | Précédent entretien à renseigner (ancienneté &gt; 1 an)","")&amp;IF($O375="Retard antérieur à la réforme"," | Ancien délai de 2 ans expiré avant la réforme","")&amp;IF(AND($N375&lt;&gt;"",$H375&lt;&gt;"",$N375&lt;$H375)," | Entretien antérieur à l'embauche ?","")&amp;IF(AND($N375&lt;&gt;"",$N375&gt;DateRef)," | Entretien daté dans le futur ?","")&amp;IF(AND($Q375&lt;&gt;"",$P375&lt;&gt;"",$Q375&gt;$P375)," | Date prévue après l'échéance","")&amp;IF(AND($Q375&lt;&gt;"",$Q375&lt;DateRef,OR($N375="",$N375&lt;$Q375))," | Entretien prévu passé : le consigner au Journal","")&amp;IF(AND($G375&lt;&gt;"",$X375="",YEAR(DateRef)-YEAR($G375)&gt;=AgeMiCarriere-1,YEAR(DateRef)-YEAR($G375)&lt;=AgeMiCarriere+1)," | Visite de mi-carrière à vérifier",""),4,1000))</f>
        <v/>
      </c>
      <c r="U375" s="39"/>
      <c r="V375" s="40"/>
      <c r="W375" s="42" t="str">
        <f aca="false">IF(OR($B375="",$V375=""),"",IF(AND($I375&lt;&gt;"",$I375&lt;=DateRef),"",IF(AND($N375&lt;&gt;"",$N375&gt;=$V375),"Réalisé",IF(AND($N375&lt;&gt;"",$N375&gt;=EDATE($V375,-FenetreRetour)),"Dispensé (EPP récent)",IF($V375&gt;DateRef,"À prévoir à la reprise","À proposer (reprise passée)")))))</f>
        <v/>
      </c>
      <c r="X375" s="40"/>
      <c r="Y375" s="43" t="str">
        <f aca="false">IF(OR($B375="",$X375=""),"",EDATE($X375,DelaiMiCarriere))</f>
        <v/>
      </c>
      <c r="Z375" s="42" t="str">
        <f aca="false">IF(OR($B375="",$X375=""),"",IF(AND($I375&lt;&gt;"",$I375&lt;=DateRef),"",IF(AND($N375&lt;&gt;"",$N375&gt;=$X375),"Réalisé",IF($Y375&lt;DateRef,"En retard","À planifier"))))</f>
        <v/>
      </c>
      <c r="AA375" s="47" t="str">
        <f aca="false">IF(OR($B375="",$G375=""),"",IF($G375&gt;DateRef,"",DATEDIF($G375,DateRef,"y")))</f>
        <v/>
      </c>
      <c r="AB375" s="43" t="str">
        <f aca="false">IF(OR($B375="",$G375=""),"",EDATE($G375,AgeFinCarriere*12))</f>
        <v/>
      </c>
      <c r="AC375" s="42" t="str">
        <f aca="false">IF(OR($B375="",$G375="",$H375=""),"",IF(AND($I375&lt;&gt;"",$I375&lt;=DateRef),"",IF($AB375&lt;DateVigueur,"Non concerné",IF(AND($N375&lt;&gt;"",$N375&gt;=MAX(EDATE($AB375,-FenetreFinCarriere*12),DateVigueur),$N375&lt;=$AB375),"Réalisé",IF(DateRef&gt;$AB375,"Non réalisé",IF(AND($Q375&lt;&gt;"",$Q375&gt;=EDATE($AB375,-FenetreFinCarriere*12),$Q375&lt;=$AB375),"Planifié dans la fenêtre",IF(AND(MAX($P375,DateRef)&gt;=EDATE($AB375,-FenetreFinCarriere*12),MAX($P375,DateRef)&lt;=$AB375),"Prochain EPP dans la fenêtre",IF(MAX($P375,DateRef)&gt;$AB375,"À programmer avant 60 ans",""))))))))</f>
        <v/>
      </c>
      <c r="AD375" s="40"/>
      <c r="AE375" s="43" t="str">
        <f aca="false">IF(OR($B375="",$H375="",AND($I375&lt;&gt;"",$I375&lt;=DateRef)),"",MAX($H375,$AD375,IF($A375="",0,SUMPRODUCT(MAX((Journal!$A$6:$A$1005=$A375)*((Journal!$D$6:$D$1005=TypeEDL)+(Journal!$D$6:$D$1005=TypeBilan6))*Journal!$C$6:$C$1005)))))</f>
        <v/>
      </c>
      <c r="AF375" s="43" t="str">
        <f aca="false">IF($AE375="","",IF(AND(ReglesTransitoires="Oui",EDATE($AE375,AnciennePeriodiciteEDL*12)&lt;DateVigueur),EDATE($AE375,AnciennePeriodiciteEDL*12),EDATE($AE375,PeriodiciteEDL*12)))</f>
        <v/>
      </c>
      <c r="AG375" s="42" t="str">
        <f aca="false">IF($AF375="","",IF(AND($I375&lt;&gt;"",$I375&lt;=DateRef),"",IF($AF375&lt;DateRef,"En retard",IF($AF375-DateRef&lt;=SeuilAlerteEDL,"À prévoir","À jour"))))</f>
        <v/>
      </c>
      <c r="AH375" s="39"/>
      <c r="AI375" s="39"/>
      <c r="AJ375" s="42" t="str">
        <f aca="false">IF(OR($B375="",$H375=""),"",IF(AND($I375&lt;&gt;"",$I375&lt;=DateRef),"",IF(Effectif&lt;SeuilEffectif,"Non concerné (&lt; "&amp;SeuilEffectif&amp;" salariés)",IF($AH375="Oui","Pas de risque",IF(AND(OR($AI375="Non",$S375="En retard"),$AH375="Non"),"Risque abondement",IF(OR($AI375="Non",$S375="En retard"),"À vérifier (formation ?)",IF($AI375="Oui","Pas de risque","À compléter")))))))</f>
        <v/>
      </c>
      <c r="AK375" s="39"/>
    </row>
    <row r="376" customFormat="false" ht="15" hidden="false" customHeight="false" outlineLevel="0" collapsed="false">
      <c r="A376" s="39"/>
      <c r="B376" s="39"/>
      <c r="C376" s="39"/>
      <c r="D376" s="39"/>
      <c r="E376" s="39"/>
      <c r="F376" s="39"/>
      <c r="G376" s="40"/>
      <c r="H376" s="40"/>
      <c r="I376" s="40"/>
      <c r="J376" s="41" t="str">
        <f aca="false">IF(OR($B376="",$H376=""),"",IF($H376&gt;DateRef,0,YEARFRAC($H376,DateRef,1)))</f>
        <v/>
      </c>
      <c r="K376" s="42" t="str">
        <f aca="false">IF(OR($B376="",$H376=""),"",IF(EDATE($H376,12)&lt;=DateRef,"Plus d'un an","Moins d'un an"))</f>
        <v/>
      </c>
      <c r="L376" s="40"/>
      <c r="M376" s="43" t="str">
        <f aca="false">IF(OR($B376="",$A376=""),"",IF(SUMPRODUCT(MAX((Journal!$A$6:$A$1005=$A376)*Journal!$C$6:$C$1005))=0,"",SUMPRODUCT(MAX((Journal!$A$6:$A$1005=$A376)*Journal!$C$6:$C$1005))))</f>
        <v/>
      </c>
      <c r="N376" s="43" t="str">
        <f aca="false">IF($B376="","",IF(MAX($L376,$M376)=0,"",MAX($L376,$M376)))</f>
        <v/>
      </c>
      <c r="O376" s="44" t="str">
        <f aca="false">IF(OR($B376="",$H376=""),"",IF($N376="",IF(EDATE($H376,DelaiPremierEPP)&gt;DateRef,"1er EPP (1re année)","Aucun entretien renseigné"),IF(AND(ReglesTransitoires="Oui",EDATE($N376,AnciennePeriodiciteEP*12)&lt;DateVigueur),"Retard antérieur à la réforme","Périodicité "&amp;PeriodiciteEPP&amp;" ans")))</f>
        <v/>
      </c>
      <c r="P376" s="43" t="str">
        <f aca="false">IF(OR($B376="",$H376=""),"",IF($N376="",EDATE($H376,DelaiPremierEPP),IF(AND(ReglesTransitoires="Oui",EDATE($N376,AnciennePeriodiciteEP*12)&lt;DateVigueur),EDATE($N376,AnciennePeriodiciteEP*12),EDATE($N376,PeriodiciteEPP*12))))</f>
        <v/>
      </c>
      <c r="Q376" s="40"/>
      <c r="R376" s="45" t="str">
        <f aca="false">IF(OR($P376="",AND($I376&lt;&gt;"",$I376&lt;=DateRef)),"",$P376-DateRef)</f>
        <v/>
      </c>
      <c r="S376" s="42" t="str">
        <f aca="false">IF($B376="","",IF(AND($I376&lt;&gt;"",$I376&lt;=DateRef),"Sorti",IF($H376="","À compléter",IF(AND($Q376&lt;&gt;"",$Q376&gt;=DateRef,$Q376&lt;=$P376),"Planifié",IF($R376&lt;0,"En retard",IF($R376&lt;=SeuilAlerteEPP,"À planifier","À jour"))))))</f>
        <v/>
      </c>
      <c r="T376" s="46" t="str">
        <f aca="false">IF(OR($B376="",$S376="Sorti"),"",MID(IF($H376=""," | Date d'embauche manquante","")&amp;IF(AND($K376="Plus d'un an",$N376="")," | Précédent entretien à renseigner (ancienneté &gt; 1 an)","")&amp;IF($O376="Retard antérieur à la réforme"," | Ancien délai de 2 ans expiré avant la réforme","")&amp;IF(AND($N376&lt;&gt;"",$H376&lt;&gt;"",$N376&lt;$H376)," | Entretien antérieur à l'embauche ?","")&amp;IF(AND($N376&lt;&gt;"",$N376&gt;DateRef)," | Entretien daté dans le futur ?","")&amp;IF(AND($Q376&lt;&gt;"",$P376&lt;&gt;"",$Q376&gt;$P376)," | Date prévue après l'échéance","")&amp;IF(AND($Q376&lt;&gt;"",$Q376&lt;DateRef,OR($N376="",$N376&lt;$Q376))," | Entretien prévu passé : le consigner au Journal","")&amp;IF(AND($G376&lt;&gt;"",$X376="",YEAR(DateRef)-YEAR($G376)&gt;=AgeMiCarriere-1,YEAR(DateRef)-YEAR($G376)&lt;=AgeMiCarriere+1)," | Visite de mi-carrière à vérifier",""),4,1000))</f>
        <v/>
      </c>
      <c r="U376" s="39"/>
      <c r="V376" s="40"/>
      <c r="W376" s="42" t="str">
        <f aca="false">IF(OR($B376="",$V376=""),"",IF(AND($I376&lt;&gt;"",$I376&lt;=DateRef),"",IF(AND($N376&lt;&gt;"",$N376&gt;=$V376),"Réalisé",IF(AND($N376&lt;&gt;"",$N376&gt;=EDATE($V376,-FenetreRetour)),"Dispensé (EPP récent)",IF($V376&gt;DateRef,"À prévoir à la reprise","À proposer (reprise passée)")))))</f>
        <v/>
      </c>
      <c r="X376" s="40"/>
      <c r="Y376" s="43" t="str">
        <f aca="false">IF(OR($B376="",$X376=""),"",EDATE($X376,DelaiMiCarriere))</f>
        <v/>
      </c>
      <c r="Z376" s="42" t="str">
        <f aca="false">IF(OR($B376="",$X376=""),"",IF(AND($I376&lt;&gt;"",$I376&lt;=DateRef),"",IF(AND($N376&lt;&gt;"",$N376&gt;=$X376),"Réalisé",IF($Y376&lt;DateRef,"En retard","À planifier"))))</f>
        <v/>
      </c>
      <c r="AA376" s="47" t="str">
        <f aca="false">IF(OR($B376="",$G376=""),"",IF($G376&gt;DateRef,"",DATEDIF($G376,DateRef,"y")))</f>
        <v/>
      </c>
      <c r="AB376" s="43" t="str">
        <f aca="false">IF(OR($B376="",$G376=""),"",EDATE($G376,AgeFinCarriere*12))</f>
        <v/>
      </c>
      <c r="AC376" s="42" t="str">
        <f aca="false">IF(OR($B376="",$G376="",$H376=""),"",IF(AND($I376&lt;&gt;"",$I376&lt;=DateRef),"",IF($AB376&lt;DateVigueur,"Non concerné",IF(AND($N376&lt;&gt;"",$N376&gt;=MAX(EDATE($AB376,-FenetreFinCarriere*12),DateVigueur),$N376&lt;=$AB376),"Réalisé",IF(DateRef&gt;$AB376,"Non réalisé",IF(AND($Q376&lt;&gt;"",$Q376&gt;=EDATE($AB376,-FenetreFinCarriere*12),$Q376&lt;=$AB376),"Planifié dans la fenêtre",IF(AND(MAX($P376,DateRef)&gt;=EDATE($AB376,-FenetreFinCarriere*12),MAX($P376,DateRef)&lt;=$AB376),"Prochain EPP dans la fenêtre",IF(MAX($P376,DateRef)&gt;$AB376,"À programmer avant 60 ans",""))))))))</f>
        <v/>
      </c>
      <c r="AD376" s="40"/>
      <c r="AE376" s="43" t="str">
        <f aca="false">IF(OR($B376="",$H376="",AND($I376&lt;&gt;"",$I376&lt;=DateRef)),"",MAX($H376,$AD376,IF($A376="",0,SUMPRODUCT(MAX((Journal!$A$6:$A$1005=$A376)*((Journal!$D$6:$D$1005=TypeEDL)+(Journal!$D$6:$D$1005=TypeBilan6))*Journal!$C$6:$C$1005)))))</f>
        <v/>
      </c>
      <c r="AF376" s="43" t="str">
        <f aca="false">IF($AE376="","",IF(AND(ReglesTransitoires="Oui",EDATE($AE376,AnciennePeriodiciteEDL*12)&lt;DateVigueur),EDATE($AE376,AnciennePeriodiciteEDL*12),EDATE($AE376,PeriodiciteEDL*12)))</f>
        <v/>
      </c>
      <c r="AG376" s="42" t="str">
        <f aca="false">IF($AF376="","",IF(AND($I376&lt;&gt;"",$I376&lt;=DateRef),"",IF($AF376&lt;DateRef,"En retard",IF($AF376-DateRef&lt;=SeuilAlerteEDL,"À prévoir","À jour"))))</f>
        <v/>
      </c>
      <c r="AH376" s="39"/>
      <c r="AI376" s="39"/>
      <c r="AJ376" s="42" t="str">
        <f aca="false">IF(OR($B376="",$H376=""),"",IF(AND($I376&lt;&gt;"",$I376&lt;=DateRef),"",IF(Effectif&lt;SeuilEffectif,"Non concerné (&lt; "&amp;SeuilEffectif&amp;" salariés)",IF($AH376="Oui","Pas de risque",IF(AND(OR($AI376="Non",$S376="En retard"),$AH376="Non"),"Risque abondement",IF(OR($AI376="Non",$S376="En retard"),"À vérifier (formation ?)",IF($AI376="Oui","Pas de risque","À compléter")))))))</f>
        <v/>
      </c>
      <c r="AK376" s="39"/>
    </row>
    <row r="377" customFormat="false" ht="15" hidden="false" customHeight="false" outlineLevel="0" collapsed="false">
      <c r="A377" s="39"/>
      <c r="B377" s="39"/>
      <c r="C377" s="39"/>
      <c r="D377" s="39"/>
      <c r="E377" s="39"/>
      <c r="F377" s="39"/>
      <c r="G377" s="40"/>
      <c r="H377" s="40"/>
      <c r="I377" s="40"/>
      <c r="J377" s="41" t="str">
        <f aca="false">IF(OR($B377="",$H377=""),"",IF($H377&gt;DateRef,0,YEARFRAC($H377,DateRef,1)))</f>
        <v/>
      </c>
      <c r="K377" s="42" t="str">
        <f aca="false">IF(OR($B377="",$H377=""),"",IF(EDATE($H377,12)&lt;=DateRef,"Plus d'un an","Moins d'un an"))</f>
        <v/>
      </c>
      <c r="L377" s="40"/>
      <c r="M377" s="43" t="str">
        <f aca="false">IF(OR($B377="",$A377=""),"",IF(SUMPRODUCT(MAX((Journal!$A$6:$A$1005=$A377)*Journal!$C$6:$C$1005))=0,"",SUMPRODUCT(MAX((Journal!$A$6:$A$1005=$A377)*Journal!$C$6:$C$1005))))</f>
        <v/>
      </c>
      <c r="N377" s="43" t="str">
        <f aca="false">IF($B377="","",IF(MAX($L377,$M377)=0,"",MAX($L377,$M377)))</f>
        <v/>
      </c>
      <c r="O377" s="44" t="str">
        <f aca="false">IF(OR($B377="",$H377=""),"",IF($N377="",IF(EDATE($H377,DelaiPremierEPP)&gt;DateRef,"1er EPP (1re année)","Aucun entretien renseigné"),IF(AND(ReglesTransitoires="Oui",EDATE($N377,AnciennePeriodiciteEP*12)&lt;DateVigueur),"Retard antérieur à la réforme","Périodicité "&amp;PeriodiciteEPP&amp;" ans")))</f>
        <v/>
      </c>
      <c r="P377" s="43" t="str">
        <f aca="false">IF(OR($B377="",$H377=""),"",IF($N377="",EDATE($H377,DelaiPremierEPP),IF(AND(ReglesTransitoires="Oui",EDATE($N377,AnciennePeriodiciteEP*12)&lt;DateVigueur),EDATE($N377,AnciennePeriodiciteEP*12),EDATE($N377,PeriodiciteEPP*12))))</f>
        <v/>
      </c>
      <c r="Q377" s="40"/>
      <c r="R377" s="45" t="str">
        <f aca="false">IF(OR($P377="",AND($I377&lt;&gt;"",$I377&lt;=DateRef)),"",$P377-DateRef)</f>
        <v/>
      </c>
      <c r="S377" s="42" t="str">
        <f aca="false">IF($B377="","",IF(AND($I377&lt;&gt;"",$I377&lt;=DateRef),"Sorti",IF($H377="","À compléter",IF(AND($Q377&lt;&gt;"",$Q377&gt;=DateRef,$Q377&lt;=$P377),"Planifié",IF($R377&lt;0,"En retard",IF($R377&lt;=SeuilAlerteEPP,"À planifier","À jour"))))))</f>
        <v/>
      </c>
      <c r="T377" s="46" t="str">
        <f aca="false">IF(OR($B377="",$S377="Sorti"),"",MID(IF($H377=""," | Date d'embauche manquante","")&amp;IF(AND($K377="Plus d'un an",$N377="")," | Précédent entretien à renseigner (ancienneté &gt; 1 an)","")&amp;IF($O377="Retard antérieur à la réforme"," | Ancien délai de 2 ans expiré avant la réforme","")&amp;IF(AND($N377&lt;&gt;"",$H377&lt;&gt;"",$N377&lt;$H377)," | Entretien antérieur à l'embauche ?","")&amp;IF(AND($N377&lt;&gt;"",$N377&gt;DateRef)," | Entretien daté dans le futur ?","")&amp;IF(AND($Q377&lt;&gt;"",$P377&lt;&gt;"",$Q377&gt;$P377)," | Date prévue après l'échéance","")&amp;IF(AND($Q377&lt;&gt;"",$Q377&lt;DateRef,OR($N377="",$N377&lt;$Q377))," | Entretien prévu passé : le consigner au Journal","")&amp;IF(AND($G377&lt;&gt;"",$X377="",YEAR(DateRef)-YEAR($G377)&gt;=AgeMiCarriere-1,YEAR(DateRef)-YEAR($G377)&lt;=AgeMiCarriere+1)," | Visite de mi-carrière à vérifier",""),4,1000))</f>
        <v/>
      </c>
      <c r="U377" s="39"/>
      <c r="V377" s="40"/>
      <c r="W377" s="42" t="str">
        <f aca="false">IF(OR($B377="",$V377=""),"",IF(AND($I377&lt;&gt;"",$I377&lt;=DateRef),"",IF(AND($N377&lt;&gt;"",$N377&gt;=$V377),"Réalisé",IF(AND($N377&lt;&gt;"",$N377&gt;=EDATE($V377,-FenetreRetour)),"Dispensé (EPP récent)",IF($V377&gt;DateRef,"À prévoir à la reprise","À proposer (reprise passée)")))))</f>
        <v/>
      </c>
      <c r="X377" s="40"/>
      <c r="Y377" s="43" t="str">
        <f aca="false">IF(OR($B377="",$X377=""),"",EDATE($X377,DelaiMiCarriere))</f>
        <v/>
      </c>
      <c r="Z377" s="42" t="str">
        <f aca="false">IF(OR($B377="",$X377=""),"",IF(AND($I377&lt;&gt;"",$I377&lt;=DateRef),"",IF(AND($N377&lt;&gt;"",$N377&gt;=$X377),"Réalisé",IF($Y377&lt;DateRef,"En retard","À planifier"))))</f>
        <v/>
      </c>
      <c r="AA377" s="47" t="str">
        <f aca="false">IF(OR($B377="",$G377=""),"",IF($G377&gt;DateRef,"",DATEDIF($G377,DateRef,"y")))</f>
        <v/>
      </c>
      <c r="AB377" s="43" t="str">
        <f aca="false">IF(OR($B377="",$G377=""),"",EDATE($G377,AgeFinCarriere*12))</f>
        <v/>
      </c>
      <c r="AC377" s="42" t="str">
        <f aca="false">IF(OR($B377="",$G377="",$H377=""),"",IF(AND($I377&lt;&gt;"",$I377&lt;=DateRef),"",IF($AB377&lt;DateVigueur,"Non concerné",IF(AND($N377&lt;&gt;"",$N377&gt;=MAX(EDATE($AB377,-FenetreFinCarriere*12),DateVigueur),$N377&lt;=$AB377),"Réalisé",IF(DateRef&gt;$AB377,"Non réalisé",IF(AND($Q377&lt;&gt;"",$Q377&gt;=EDATE($AB377,-FenetreFinCarriere*12),$Q377&lt;=$AB377),"Planifié dans la fenêtre",IF(AND(MAX($P377,DateRef)&gt;=EDATE($AB377,-FenetreFinCarriere*12),MAX($P377,DateRef)&lt;=$AB377),"Prochain EPP dans la fenêtre",IF(MAX($P377,DateRef)&gt;$AB377,"À programmer avant 60 ans",""))))))))</f>
        <v/>
      </c>
      <c r="AD377" s="40"/>
      <c r="AE377" s="43" t="str">
        <f aca="false">IF(OR($B377="",$H377="",AND($I377&lt;&gt;"",$I377&lt;=DateRef)),"",MAX($H377,$AD377,IF($A377="",0,SUMPRODUCT(MAX((Journal!$A$6:$A$1005=$A377)*((Journal!$D$6:$D$1005=TypeEDL)+(Journal!$D$6:$D$1005=TypeBilan6))*Journal!$C$6:$C$1005)))))</f>
        <v/>
      </c>
      <c r="AF377" s="43" t="str">
        <f aca="false">IF($AE377="","",IF(AND(ReglesTransitoires="Oui",EDATE($AE377,AnciennePeriodiciteEDL*12)&lt;DateVigueur),EDATE($AE377,AnciennePeriodiciteEDL*12),EDATE($AE377,PeriodiciteEDL*12)))</f>
        <v/>
      </c>
      <c r="AG377" s="42" t="str">
        <f aca="false">IF($AF377="","",IF(AND($I377&lt;&gt;"",$I377&lt;=DateRef),"",IF($AF377&lt;DateRef,"En retard",IF($AF377-DateRef&lt;=SeuilAlerteEDL,"À prévoir","À jour"))))</f>
        <v/>
      </c>
      <c r="AH377" s="39"/>
      <c r="AI377" s="39"/>
      <c r="AJ377" s="42" t="str">
        <f aca="false">IF(OR($B377="",$H377=""),"",IF(AND($I377&lt;&gt;"",$I377&lt;=DateRef),"",IF(Effectif&lt;SeuilEffectif,"Non concerné (&lt; "&amp;SeuilEffectif&amp;" salariés)",IF($AH377="Oui","Pas de risque",IF(AND(OR($AI377="Non",$S377="En retard"),$AH377="Non"),"Risque abondement",IF(OR($AI377="Non",$S377="En retard"),"À vérifier (formation ?)",IF($AI377="Oui","Pas de risque","À compléter")))))))</f>
        <v/>
      </c>
      <c r="AK377" s="39"/>
    </row>
    <row r="378" customFormat="false" ht="15" hidden="false" customHeight="false" outlineLevel="0" collapsed="false">
      <c r="A378" s="39"/>
      <c r="B378" s="39"/>
      <c r="C378" s="39"/>
      <c r="D378" s="39"/>
      <c r="E378" s="39"/>
      <c r="F378" s="39"/>
      <c r="G378" s="40"/>
      <c r="H378" s="40"/>
      <c r="I378" s="40"/>
      <c r="J378" s="41" t="str">
        <f aca="false">IF(OR($B378="",$H378=""),"",IF($H378&gt;DateRef,0,YEARFRAC($H378,DateRef,1)))</f>
        <v/>
      </c>
      <c r="K378" s="42" t="str">
        <f aca="false">IF(OR($B378="",$H378=""),"",IF(EDATE($H378,12)&lt;=DateRef,"Plus d'un an","Moins d'un an"))</f>
        <v/>
      </c>
      <c r="L378" s="40"/>
      <c r="M378" s="43" t="str">
        <f aca="false">IF(OR($B378="",$A378=""),"",IF(SUMPRODUCT(MAX((Journal!$A$6:$A$1005=$A378)*Journal!$C$6:$C$1005))=0,"",SUMPRODUCT(MAX((Journal!$A$6:$A$1005=$A378)*Journal!$C$6:$C$1005))))</f>
        <v/>
      </c>
      <c r="N378" s="43" t="str">
        <f aca="false">IF($B378="","",IF(MAX($L378,$M378)=0,"",MAX($L378,$M378)))</f>
        <v/>
      </c>
      <c r="O378" s="44" t="str">
        <f aca="false">IF(OR($B378="",$H378=""),"",IF($N378="",IF(EDATE($H378,DelaiPremierEPP)&gt;DateRef,"1er EPP (1re année)","Aucun entretien renseigné"),IF(AND(ReglesTransitoires="Oui",EDATE($N378,AnciennePeriodiciteEP*12)&lt;DateVigueur),"Retard antérieur à la réforme","Périodicité "&amp;PeriodiciteEPP&amp;" ans")))</f>
        <v/>
      </c>
      <c r="P378" s="43" t="str">
        <f aca="false">IF(OR($B378="",$H378=""),"",IF($N378="",EDATE($H378,DelaiPremierEPP),IF(AND(ReglesTransitoires="Oui",EDATE($N378,AnciennePeriodiciteEP*12)&lt;DateVigueur),EDATE($N378,AnciennePeriodiciteEP*12),EDATE($N378,PeriodiciteEPP*12))))</f>
        <v/>
      </c>
      <c r="Q378" s="40"/>
      <c r="R378" s="45" t="str">
        <f aca="false">IF(OR($P378="",AND($I378&lt;&gt;"",$I378&lt;=DateRef)),"",$P378-DateRef)</f>
        <v/>
      </c>
      <c r="S378" s="42" t="str">
        <f aca="false">IF($B378="","",IF(AND($I378&lt;&gt;"",$I378&lt;=DateRef),"Sorti",IF($H378="","À compléter",IF(AND($Q378&lt;&gt;"",$Q378&gt;=DateRef,$Q378&lt;=$P378),"Planifié",IF($R378&lt;0,"En retard",IF($R378&lt;=SeuilAlerteEPP,"À planifier","À jour"))))))</f>
        <v/>
      </c>
      <c r="T378" s="46" t="str">
        <f aca="false">IF(OR($B378="",$S378="Sorti"),"",MID(IF($H378=""," | Date d'embauche manquante","")&amp;IF(AND($K378="Plus d'un an",$N378="")," | Précédent entretien à renseigner (ancienneté &gt; 1 an)","")&amp;IF($O378="Retard antérieur à la réforme"," | Ancien délai de 2 ans expiré avant la réforme","")&amp;IF(AND($N378&lt;&gt;"",$H378&lt;&gt;"",$N378&lt;$H378)," | Entretien antérieur à l'embauche ?","")&amp;IF(AND($N378&lt;&gt;"",$N378&gt;DateRef)," | Entretien daté dans le futur ?","")&amp;IF(AND($Q378&lt;&gt;"",$P378&lt;&gt;"",$Q378&gt;$P378)," | Date prévue après l'échéance","")&amp;IF(AND($Q378&lt;&gt;"",$Q378&lt;DateRef,OR($N378="",$N378&lt;$Q378))," | Entretien prévu passé : le consigner au Journal","")&amp;IF(AND($G378&lt;&gt;"",$X378="",YEAR(DateRef)-YEAR($G378)&gt;=AgeMiCarriere-1,YEAR(DateRef)-YEAR($G378)&lt;=AgeMiCarriere+1)," | Visite de mi-carrière à vérifier",""),4,1000))</f>
        <v/>
      </c>
      <c r="U378" s="39"/>
      <c r="V378" s="40"/>
      <c r="W378" s="42" t="str">
        <f aca="false">IF(OR($B378="",$V378=""),"",IF(AND($I378&lt;&gt;"",$I378&lt;=DateRef),"",IF(AND($N378&lt;&gt;"",$N378&gt;=$V378),"Réalisé",IF(AND($N378&lt;&gt;"",$N378&gt;=EDATE($V378,-FenetreRetour)),"Dispensé (EPP récent)",IF($V378&gt;DateRef,"À prévoir à la reprise","À proposer (reprise passée)")))))</f>
        <v/>
      </c>
      <c r="X378" s="40"/>
      <c r="Y378" s="43" t="str">
        <f aca="false">IF(OR($B378="",$X378=""),"",EDATE($X378,DelaiMiCarriere))</f>
        <v/>
      </c>
      <c r="Z378" s="42" t="str">
        <f aca="false">IF(OR($B378="",$X378=""),"",IF(AND($I378&lt;&gt;"",$I378&lt;=DateRef),"",IF(AND($N378&lt;&gt;"",$N378&gt;=$X378),"Réalisé",IF($Y378&lt;DateRef,"En retard","À planifier"))))</f>
        <v/>
      </c>
      <c r="AA378" s="47" t="str">
        <f aca="false">IF(OR($B378="",$G378=""),"",IF($G378&gt;DateRef,"",DATEDIF($G378,DateRef,"y")))</f>
        <v/>
      </c>
      <c r="AB378" s="43" t="str">
        <f aca="false">IF(OR($B378="",$G378=""),"",EDATE($G378,AgeFinCarriere*12))</f>
        <v/>
      </c>
      <c r="AC378" s="42" t="str">
        <f aca="false">IF(OR($B378="",$G378="",$H378=""),"",IF(AND($I378&lt;&gt;"",$I378&lt;=DateRef),"",IF($AB378&lt;DateVigueur,"Non concerné",IF(AND($N378&lt;&gt;"",$N378&gt;=MAX(EDATE($AB378,-FenetreFinCarriere*12),DateVigueur),$N378&lt;=$AB378),"Réalisé",IF(DateRef&gt;$AB378,"Non réalisé",IF(AND($Q378&lt;&gt;"",$Q378&gt;=EDATE($AB378,-FenetreFinCarriere*12),$Q378&lt;=$AB378),"Planifié dans la fenêtre",IF(AND(MAX($P378,DateRef)&gt;=EDATE($AB378,-FenetreFinCarriere*12),MAX($P378,DateRef)&lt;=$AB378),"Prochain EPP dans la fenêtre",IF(MAX($P378,DateRef)&gt;$AB378,"À programmer avant 60 ans",""))))))))</f>
        <v/>
      </c>
      <c r="AD378" s="40"/>
      <c r="AE378" s="43" t="str">
        <f aca="false">IF(OR($B378="",$H378="",AND($I378&lt;&gt;"",$I378&lt;=DateRef)),"",MAX($H378,$AD378,IF($A378="",0,SUMPRODUCT(MAX((Journal!$A$6:$A$1005=$A378)*((Journal!$D$6:$D$1005=TypeEDL)+(Journal!$D$6:$D$1005=TypeBilan6))*Journal!$C$6:$C$1005)))))</f>
        <v/>
      </c>
      <c r="AF378" s="43" t="str">
        <f aca="false">IF($AE378="","",IF(AND(ReglesTransitoires="Oui",EDATE($AE378,AnciennePeriodiciteEDL*12)&lt;DateVigueur),EDATE($AE378,AnciennePeriodiciteEDL*12),EDATE($AE378,PeriodiciteEDL*12)))</f>
        <v/>
      </c>
      <c r="AG378" s="42" t="str">
        <f aca="false">IF($AF378="","",IF(AND($I378&lt;&gt;"",$I378&lt;=DateRef),"",IF($AF378&lt;DateRef,"En retard",IF($AF378-DateRef&lt;=SeuilAlerteEDL,"À prévoir","À jour"))))</f>
        <v/>
      </c>
      <c r="AH378" s="39"/>
      <c r="AI378" s="39"/>
      <c r="AJ378" s="42" t="str">
        <f aca="false">IF(OR($B378="",$H378=""),"",IF(AND($I378&lt;&gt;"",$I378&lt;=DateRef),"",IF(Effectif&lt;SeuilEffectif,"Non concerné (&lt; "&amp;SeuilEffectif&amp;" salariés)",IF($AH378="Oui","Pas de risque",IF(AND(OR($AI378="Non",$S378="En retard"),$AH378="Non"),"Risque abondement",IF(OR($AI378="Non",$S378="En retard"),"À vérifier (formation ?)",IF($AI378="Oui","Pas de risque","À compléter")))))))</f>
        <v/>
      </c>
      <c r="AK378" s="39"/>
    </row>
    <row r="379" customFormat="false" ht="15" hidden="false" customHeight="false" outlineLevel="0" collapsed="false">
      <c r="A379" s="39"/>
      <c r="B379" s="39"/>
      <c r="C379" s="39"/>
      <c r="D379" s="39"/>
      <c r="E379" s="39"/>
      <c r="F379" s="39"/>
      <c r="G379" s="40"/>
      <c r="H379" s="40"/>
      <c r="I379" s="40"/>
      <c r="J379" s="41" t="str">
        <f aca="false">IF(OR($B379="",$H379=""),"",IF($H379&gt;DateRef,0,YEARFRAC($H379,DateRef,1)))</f>
        <v/>
      </c>
      <c r="K379" s="42" t="str">
        <f aca="false">IF(OR($B379="",$H379=""),"",IF(EDATE($H379,12)&lt;=DateRef,"Plus d'un an","Moins d'un an"))</f>
        <v/>
      </c>
      <c r="L379" s="40"/>
      <c r="M379" s="43" t="str">
        <f aca="false">IF(OR($B379="",$A379=""),"",IF(SUMPRODUCT(MAX((Journal!$A$6:$A$1005=$A379)*Journal!$C$6:$C$1005))=0,"",SUMPRODUCT(MAX((Journal!$A$6:$A$1005=$A379)*Journal!$C$6:$C$1005))))</f>
        <v/>
      </c>
      <c r="N379" s="43" t="str">
        <f aca="false">IF($B379="","",IF(MAX($L379,$M379)=0,"",MAX($L379,$M379)))</f>
        <v/>
      </c>
      <c r="O379" s="44" t="str">
        <f aca="false">IF(OR($B379="",$H379=""),"",IF($N379="",IF(EDATE($H379,DelaiPremierEPP)&gt;DateRef,"1er EPP (1re année)","Aucun entretien renseigné"),IF(AND(ReglesTransitoires="Oui",EDATE($N379,AnciennePeriodiciteEP*12)&lt;DateVigueur),"Retard antérieur à la réforme","Périodicité "&amp;PeriodiciteEPP&amp;" ans")))</f>
        <v/>
      </c>
      <c r="P379" s="43" t="str">
        <f aca="false">IF(OR($B379="",$H379=""),"",IF($N379="",EDATE($H379,DelaiPremierEPP),IF(AND(ReglesTransitoires="Oui",EDATE($N379,AnciennePeriodiciteEP*12)&lt;DateVigueur),EDATE($N379,AnciennePeriodiciteEP*12),EDATE($N379,PeriodiciteEPP*12))))</f>
        <v/>
      </c>
      <c r="Q379" s="40"/>
      <c r="R379" s="45" t="str">
        <f aca="false">IF(OR($P379="",AND($I379&lt;&gt;"",$I379&lt;=DateRef)),"",$P379-DateRef)</f>
        <v/>
      </c>
      <c r="S379" s="42" t="str">
        <f aca="false">IF($B379="","",IF(AND($I379&lt;&gt;"",$I379&lt;=DateRef),"Sorti",IF($H379="","À compléter",IF(AND($Q379&lt;&gt;"",$Q379&gt;=DateRef,$Q379&lt;=$P379),"Planifié",IF($R379&lt;0,"En retard",IF($R379&lt;=SeuilAlerteEPP,"À planifier","À jour"))))))</f>
        <v/>
      </c>
      <c r="T379" s="46" t="str">
        <f aca="false">IF(OR($B379="",$S379="Sorti"),"",MID(IF($H379=""," | Date d'embauche manquante","")&amp;IF(AND($K379="Plus d'un an",$N379="")," | Précédent entretien à renseigner (ancienneté &gt; 1 an)","")&amp;IF($O379="Retard antérieur à la réforme"," | Ancien délai de 2 ans expiré avant la réforme","")&amp;IF(AND($N379&lt;&gt;"",$H379&lt;&gt;"",$N379&lt;$H379)," | Entretien antérieur à l'embauche ?","")&amp;IF(AND($N379&lt;&gt;"",$N379&gt;DateRef)," | Entretien daté dans le futur ?","")&amp;IF(AND($Q379&lt;&gt;"",$P379&lt;&gt;"",$Q379&gt;$P379)," | Date prévue après l'échéance","")&amp;IF(AND($Q379&lt;&gt;"",$Q379&lt;DateRef,OR($N379="",$N379&lt;$Q379))," | Entretien prévu passé : le consigner au Journal","")&amp;IF(AND($G379&lt;&gt;"",$X379="",YEAR(DateRef)-YEAR($G379)&gt;=AgeMiCarriere-1,YEAR(DateRef)-YEAR($G379)&lt;=AgeMiCarriere+1)," | Visite de mi-carrière à vérifier",""),4,1000))</f>
        <v/>
      </c>
      <c r="U379" s="39"/>
      <c r="V379" s="40"/>
      <c r="W379" s="42" t="str">
        <f aca="false">IF(OR($B379="",$V379=""),"",IF(AND($I379&lt;&gt;"",$I379&lt;=DateRef),"",IF(AND($N379&lt;&gt;"",$N379&gt;=$V379),"Réalisé",IF(AND($N379&lt;&gt;"",$N379&gt;=EDATE($V379,-FenetreRetour)),"Dispensé (EPP récent)",IF($V379&gt;DateRef,"À prévoir à la reprise","À proposer (reprise passée)")))))</f>
        <v/>
      </c>
      <c r="X379" s="40"/>
      <c r="Y379" s="43" t="str">
        <f aca="false">IF(OR($B379="",$X379=""),"",EDATE($X379,DelaiMiCarriere))</f>
        <v/>
      </c>
      <c r="Z379" s="42" t="str">
        <f aca="false">IF(OR($B379="",$X379=""),"",IF(AND($I379&lt;&gt;"",$I379&lt;=DateRef),"",IF(AND($N379&lt;&gt;"",$N379&gt;=$X379),"Réalisé",IF($Y379&lt;DateRef,"En retard","À planifier"))))</f>
        <v/>
      </c>
      <c r="AA379" s="47" t="str">
        <f aca="false">IF(OR($B379="",$G379=""),"",IF($G379&gt;DateRef,"",DATEDIF($G379,DateRef,"y")))</f>
        <v/>
      </c>
      <c r="AB379" s="43" t="str">
        <f aca="false">IF(OR($B379="",$G379=""),"",EDATE($G379,AgeFinCarriere*12))</f>
        <v/>
      </c>
      <c r="AC379" s="42" t="str">
        <f aca="false">IF(OR($B379="",$G379="",$H379=""),"",IF(AND($I379&lt;&gt;"",$I379&lt;=DateRef),"",IF($AB379&lt;DateVigueur,"Non concerné",IF(AND($N379&lt;&gt;"",$N379&gt;=MAX(EDATE($AB379,-FenetreFinCarriere*12),DateVigueur),$N379&lt;=$AB379),"Réalisé",IF(DateRef&gt;$AB379,"Non réalisé",IF(AND($Q379&lt;&gt;"",$Q379&gt;=EDATE($AB379,-FenetreFinCarriere*12),$Q379&lt;=$AB379),"Planifié dans la fenêtre",IF(AND(MAX($P379,DateRef)&gt;=EDATE($AB379,-FenetreFinCarriere*12),MAX($P379,DateRef)&lt;=$AB379),"Prochain EPP dans la fenêtre",IF(MAX($P379,DateRef)&gt;$AB379,"À programmer avant 60 ans",""))))))))</f>
        <v/>
      </c>
      <c r="AD379" s="40"/>
      <c r="AE379" s="43" t="str">
        <f aca="false">IF(OR($B379="",$H379="",AND($I379&lt;&gt;"",$I379&lt;=DateRef)),"",MAX($H379,$AD379,IF($A379="",0,SUMPRODUCT(MAX((Journal!$A$6:$A$1005=$A379)*((Journal!$D$6:$D$1005=TypeEDL)+(Journal!$D$6:$D$1005=TypeBilan6))*Journal!$C$6:$C$1005)))))</f>
        <v/>
      </c>
      <c r="AF379" s="43" t="str">
        <f aca="false">IF($AE379="","",IF(AND(ReglesTransitoires="Oui",EDATE($AE379,AnciennePeriodiciteEDL*12)&lt;DateVigueur),EDATE($AE379,AnciennePeriodiciteEDL*12),EDATE($AE379,PeriodiciteEDL*12)))</f>
        <v/>
      </c>
      <c r="AG379" s="42" t="str">
        <f aca="false">IF($AF379="","",IF(AND($I379&lt;&gt;"",$I379&lt;=DateRef),"",IF($AF379&lt;DateRef,"En retard",IF($AF379-DateRef&lt;=SeuilAlerteEDL,"À prévoir","À jour"))))</f>
        <v/>
      </c>
      <c r="AH379" s="39"/>
      <c r="AI379" s="39"/>
      <c r="AJ379" s="42" t="str">
        <f aca="false">IF(OR($B379="",$H379=""),"",IF(AND($I379&lt;&gt;"",$I379&lt;=DateRef),"",IF(Effectif&lt;SeuilEffectif,"Non concerné (&lt; "&amp;SeuilEffectif&amp;" salariés)",IF($AH379="Oui","Pas de risque",IF(AND(OR($AI379="Non",$S379="En retard"),$AH379="Non"),"Risque abondement",IF(OR($AI379="Non",$S379="En retard"),"À vérifier (formation ?)",IF($AI379="Oui","Pas de risque","À compléter")))))))</f>
        <v/>
      </c>
      <c r="AK379" s="39"/>
    </row>
    <row r="380" customFormat="false" ht="15" hidden="false" customHeight="false" outlineLevel="0" collapsed="false">
      <c r="A380" s="39"/>
      <c r="B380" s="39"/>
      <c r="C380" s="39"/>
      <c r="D380" s="39"/>
      <c r="E380" s="39"/>
      <c r="F380" s="39"/>
      <c r="G380" s="40"/>
      <c r="H380" s="40"/>
      <c r="I380" s="40"/>
      <c r="J380" s="41" t="str">
        <f aca="false">IF(OR($B380="",$H380=""),"",IF($H380&gt;DateRef,0,YEARFRAC($H380,DateRef,1)))</f>
        <v/>
      </c>
      <c r="K380" s="42" t="str">
        <f aca="false">IF(OR($B380="",$H380=""),"",IF(EDATE($H380,12)&lt;=DateRef,"Plus d'un an","Moins d'un an"))</f>
        <v/>
      </c>
      <c r="L380" s="40"/>
      <c r="M380" s="43" t="str">
        <f aca="false">IF(OR($B380="",$A380=""),"",IF(SUMPRODUCT(MAX((Journal!$A$6:$A$1005=$A380)*Journal!$C$6:$C$1005))=0,"",SUMPRODUCT(MAX((Journal!$A$6:$A$1005=$A380)*Journal!$C$6:$C$1005))))</f>
        <v/>
      </c>
      <c r="N380" s="43" t="str">
        <f aca="false">IF($B380="","",IF(MAX($L380,$M380)=0,"",MAX($L380,$M380)))</f>
        <v/>
      </c>
      <c r="O380" s="44" t="str">
        <f aca="false">IF(OR($B380="",$H380=""),"",IF($N380="",IF(EDATE($H380,DelaiPremierEPP)&gt;DateRef,"1er EPP (1re année)","Aucun entretien renseigné"),IF(AND(ReglesTransitoires="Oui",EDATE($N380,AnciennePeriodiciteEP*12)&lt;DateVigueur),"Retard antérieur à la réforme","Périodicité "&amp;PeriodiciteEPP&amp;" ans")))</f>
        <v/>
      </c>
      <c r="P380" s="43" t="str">
        <f aca="false">IF(OR($B380="",$H380=""),"",IF($N380="",EDATE($H380,DelaiPremierEPP),IF(AND(ReglesTransitoires="Oui",EDATE($N380,AnciennePeriodiciteEP*12)&lt;DateVigueur),EDATE($N380,AnciennePeriodiciteEP*12),EDATE($N380,PeriodiciteEPP*12))))</f>
        <v/>
      </c>
      <c r="Q380" s="40"/>
      <c r="R380" s="45" t="str">
        <f aca="false">IF(OR($P380="",AND($I380&lt;&gt;"",$I380&lt;=DateRef)),"",$P380-DateRef)</f>
        <v/>
      </c>
      <c r="S380" s="42" t="str">
        <f aca="false">IF($B380="","",IF(AND($I380&lt;&gt;"",$I380&lt;=DateRef),"Sorti",IF($H380="","À compléter",IF(AND($Q380&lt;&gt;"",$Q380&gt;=DateRef,$Q380&lt;=$P380),"Planifié",IF($R380&lt;0,"En retard",IF($R380&lt;=SeuilAlerteEPP,"À planifier","À jour"))))))</f>
        <v/>
      </c>
      <c r="T380" s="46" t="str">
        <f aca="false">IF(OR($B380="",$S380="Sorti"),"",MID(IF($H380=""," | Date d'embauche manquante","")&amp;IF(AND($K380="Plus d'un an",$N380="")," | Précédent entretien à renseigner (ancienneté &gt; 1 an)","")&amp;IF($O380="Retard antérieur à la réforme"," | Ancien délai de 2 ans expiré avant la réforme","")&amp;IF(AND($N380&lt;&gt;"",$H380&lt;&gt;"",$N380&lt;$H380)," | Entretien antérieur à l'embauche ?","")&amp;IF(AND($N380&lt;&gt;"",$N380&gt;DateRef)," | Entretien daté dans le futur ?","")&amp;IF(AND($Q380&lt;&gt;"",$P380&lt;&gt;"",$Q380&gt;$P380)," | Date prévue après l'échéance","")&amp;IF(AND($Q380&lt;&gt;"",$Q380&lt;DateRef,OR($N380="",$N380&lt;$Q380))," | Entretien prévu passé : le consigner au Journal","")&amp;IF(AND($G380&lt;&gt;"",$X380="",YEAR(DateRef)-YEAR($G380)&gt;=AgeMiCarriere-1,YEAR(DateRef)-YEAR($G380)&lt;=AgeMiCarriere+1)," | Visite de mi-carrière à vérifier",""),4,1000))</f>
        <v/>
      </c>
      <c r="U380" s="39"/>
      <c r="V380" s="40"/>
      <c r="W380" s="42" t="str">
        <f aca="false">IF(OR($B380="",$V380=""),"",IF(AND($I380&lt;&gt;"",$I380&lt;=DateRef),"",IF(AND($N380&lt;&gt;"",$N380&gt;=$V380),"Réalisé",IF(AND($N380&lt;&gt;"",$N380&gt;=EDATE($V380,-FenetreRetour)),"Dispensé (EPP récent)",IF($V380&gt;DateRef,"À prévoir à la reprise","À proposer (reprise passée)")))))</f>
        <v/>
      </c>
      <c r="X380" s="40"/>
      <c r="Y380" s="43" t="str">
        <f aca="false">IF(OR($B380="",$X380=""),"",EDATE($X380,DelaiMiCarriere))</f>
        <v/>
      </c>
      <c r="Z380" s="42" t="str">
        <f aca="false">IF(OR($B380="",$X380=""),"",IF(AND($I380&lt;&gt;"",$I380&lt;=DateRef),"",IF(AND($N380&lt;&gt;"",$N380&gt;=$X380),"Réalisé",IF($Y380&lt;DateRef,"En retard","À planifier"))))</f>
        <v/>
      </c>
      <c r="AA380" s="47" t="str">
        <f aca="false">IF(OR($B380="",$G380=""),"",IF($G380&gt;DateRef,"",DATEDIF($G380,DateRef,"y")))</f>
        <v/>
      </c>
      <c r="AB380" s="43" t="str">
        <f aca="false">IF(OR($B380="",$G380=""),"",EDATE($G380,AgeFinCarriere*12))</f>
        <v/>
      </c>
      <c r="AC380" s="42" t="str">
        <f aca="false">IF(OR($B380="",$G380="",$H380=""),"",IF(AND($I380&lt;&gt;"",$I380&lt;=DateRef),"",IF($AB380&lt;DateVigueur,"Non concerné",IF(AND($N380&lt;&gt;"",$N380&gt;=MAX(EDATE($AB380,-FenetreFinCarriere*12),DateVigueur),$N380&lt;=$AB380),"Réalisé",IF(DateRef&gt;$AB380,"Non réalisé",IF(AND($Q380&lt;&gt;"",$Q380&gt;=EDATE($AB380,-FenetreFinCarriere*12),$Q380&lt;=$AB380),"Planifié dans la fenêtre",IF(AND(MAX($P380,DateRef)&gt;=EDATE($AB380,-FenetreFinCarriere*12),MAX($P380,DateRef)&lt;=$AB380),"Prochain EPP dans la fenêtre",IF(MAX($P380,DateRef)&gt;$AB380,"À programmer avant 60 ans",""))))))))</f>
        <v/>
      </c>
      <c r="AD380" s="40"/>
      <c r="AE380" s="43" t="str">
        <f aca="false">IF(OR($B380="",$H380="",AND($I380&lt;&gt;"",$I380&lt;=DateRef)),"",MAX($H380,$AD380,IF($A380="",0,SUMPRODUCT(MAX((Journal!$A$6:$A$1005=$A380)*((Journal!$D$6:$D$1005=TypeEDL)+(Journal!$D$6:$D$1005=TypeBilan6))*Journal!$C$6:$C$1005)))))</f>
        <v/>
      </c>
      <c r="AF380" s="43" t="str">
        <f aca="false">IF($AE380="","",IF(AND(ReglesTransitoires="Oui",EDATE($AE380,AnciennePeriodiciteEDL*12)&lt;DateVigueur),EDATE($AE380,AnciennePeriodiciteEDL*12),EDATE($AE380,PeriodiciteEDL*12)))</f>
        <v/>
      </c>
      <c r="AG380" s="42" t="str">
        <f aca="false">IF($AF380="","",IF(AND($I380&lt;&gt;"",$I380&lt;=DateRef),"",IF($AF380&lt;DateRef,"En retard",IF($AF380-DateRef&lt;=SeuilAlerteEDL,"À prévoir","À jour"))))</f>
        <v/>
      </c>
      <c r="AH380" s="39"/>
      <c r="AI380" s="39"/>
      <c r="AJ380" s="42" t="str">
        <f aca="false">IF(OR($B380="",$H380=""),"",IF(AND($I380&lt;&gt;"",$I380&lt;=DateRef),"",IF(Effectif&lt;SeuilEffectif,"Non concerné (&lt; "&amp;SeuilEffectif&amp;" salariés)",IF($AH380="Oui","Pas de risque",IF(AND(OR($AI380="Non",$S380="En retard"),$AH380="Non"),"Risque abondement",IF(OR($AI380="Non",$S380="En retard"),"À vérifier (formation ?)",IF($AI380="Oui","Pas de risque","À compléter")))))))</f>
        <v/>
      </c>
      <c r="AK380" s="39"/>
    </row>
    <row r="381" customFormat="false" ht="15" hidden="false" customHeight="false" outlineLevel="0" collapsed="false">
      <c r="A381" s="39"/>
      <c r="B381" s="39"/>
      <c r="C381" s="39"/>
      <c r="D381" s="39"/>
      <c r="E381" s="39"/>
      <c r="F381" s="39"/>
      <c r="G381" s="40"/>
      <c r="H381" s="40"/>
      <c r="I381" s="40"/>
      <c r="J381" s="41" t="str">
        <f aca="false">IF(OR($B381="",$H381=""),"",IF($H381&gt;DateRef,0,YEARFRAC($H381,DateRef,1)))</f>
        <v/>
      </c>
      <c r="K381" s="42" t="str">
        <f aca="false">IF(OR($B381="",$H381=""),"",IF(EDATE($H381,12)&lt;=DateRef,"Plus d'un an","Moins d'un an"))</f>
        <v/>
      </c>
      <c r="L381" s="40"/>
      <c r="M381" s="43" t="str">
        <f aca="false">IF(OR($B381="",$A381=""),"",IF(SUMPRODUCT(MAX((Journal!$A$6:$A$1005=$A381)*Journal!$C$6:$C$1005))=0,"",SUMPRODUCT(MAX((Journal!$A$6:$A$1005=$A381)*Journal!$C$6:$C$1005))))</f>
        <v/>
      </c>
      <c r="N381" s="43" t="str">
        <f aca="false">IF($B381="","",IF(MAX($L381,$M381)=0,"",MAX($L381,$M381)))</f>
        <v/>
      </c>
      <c r="O381" s="44" t="str">
        <f aca="false">IF(OR($B381="",$H381=""),"",IF($N381="",IF(EDATE($H381,DelaiPremierEPP)&gt;DateRef,"1er EPP (1re année)","Aucun entretien renseigné"),IF(AND(ReglesTransitoires="Oui",EDATE($N381,AnciennePeriodiciteEP*12)&lt;DateVigueur),"Retard antérieur à la réforme","Périodicité "&amp;PeriodiciteEPP&amp;" ans")))</f>
        <v/>
      </c>
      <c r="P381" s="43" t="str">
        <f aca="false">IF(OR($B381="",$H381=""),"",IF($N381="",EDATE($H381,DelaiPremierEPP),IF(AND(ReglesTransitoires="Oui",EDATE($N381,AnciennePeriodiciteEP*12)&lt;DateVigueur),EDATE($N381,AnciennePeriodiciteEP*12),EDATE($N381,PeriodiciteEPP*12))))</f>
        <v/>
      </c>
      <c r="Q381" s="40"/>
      <c r="R381" s="45" t="str">
        <f aca="false">IF(OR($P381="",AND($I381&lt;&gt;"",$I381&lt;=DateRef)),"",$P381-DateRef)</f>
        <v/>
      </c>
      <c r="S381" s="42" t="str">
        <f aca="false">IF($B381="","",IF(AND($I381&lt;&gt;"",$I381&lt;=DateRef),"Sorti",IF($H381="","À compléter",IF(AND($Q381&lt;&gt;"",$Q381&gt;=DateRef,$Q381&lt;=$P381),"Planifié",IF($R381&lt;0,"En retard",IF($R381&lt;=SeuilAlerteEPP,"À planifier","À jour"))))))</f>
        <v/>
      </c>
      <c r="T381" s="46" t="str">
        <f aca="false">IF(OR($B381="",$S381="Sorti"),"",MID(IF($H381=""," | Date d'embauche manquante","")&amp;IF(AND($K381="Plus d'un an",$N381="")," | Précédent entretien à renseigner (ancienneté &gt; 1 an)","")&amp;IF($O381="Retard antérieur à la réforme"," | Ancien délai de 2 ans expiré avant la réforme","")&amp;IF(AND($N381&lt;&gt;"",$H381&lt;&gt;"",$N381&lt;$H381)," | Entretien antérieur à l'embauche ?","")&amp;IF(AND($N381&lt;&gt;"",$N381&gt;DateRef)," | Entretien daté dans le futur ?","")&amp;IF(AND($Q381&lt;&gt;"",$P381&lt;&gt;"",$Q381&gt;$P381)," | Date prévue après l'échéance","")&amp;IF(AND($Q381&lt;&gt;"",$Q381&lt;DateRef,OR($N381="",$N381&lt;$Q381))," | Entretien prévu passé : le consigner au Journal","")&amp;IF(AND($G381&lt;&gt;"",$X381="",YEAR(DateRef)-YEAR($G381)&gt;=AgeMiCarriere-1,YEAR(DateRef)-YEAR($G381)&lt;=AgeMiCarriere+1)," | Visite de mi-carrière à vérifier",""),4,1000))</f>
        <v/>
      </c>
      <c r="U381" s="39"/>
      <c r="V381" s="40"/>
      <c r="W381" s="42" t="str">
        <f aca="false">IF(OR($B381="",$V381=""),"",IF(AND($I381&lt;&gt;"",$I381&lt;=DateRef),"",IF(AND($N381&lt;&gt;"",$N381&gt;=$V381),"Réalisé",IF(AND($N381&lt;&gt;"",$N381&gt;=EDATE($V381,-FenetreRetour)),"Dispensé (EPP récent)",IF($V381&gt;DateRef,"À prévoir à la reprise","À proposer (reprise passée)")))))</f>
        <v/>
      </c>
      <c r="X381" s="40"/>
      <c r="Y381" s="43" t="str">
        <f aca="false">IF(OR($B381="",$X381=""),"",EDATE($X381,DelaiMiCarriere))</f>
        <v/>
      </c>
      <c r="Z381" s="42" t="str">
        <f aca="false">IF(OR($B381="",$X381=""),"",IF(AND($I381&lt;&gt;"",$I381&lt;=DateRef),"",IF(AND($N381&lt;&gt;"",$N381&gt;=$X381),"Réalisé",IF($Y381&lt;DateRef,"En retard","À planifier"))))</f>
        <v/>
      </c>
      <c r="AA381" s="47" t="str">
        <f aca="false">IF(OR($B381="",$G381=""),"",IF($G381&gt;DateRef,"",DATEDIF($G381,DateRef,"y")))</f>
        <v/>
      </c>
      <c r="AB381" s="43" t="str">
        <f aca="false">IF(OR($B381="",$G381=""),"",EDATE($G381,AgeFinCarriere*12))</f>
        <v/>
      </c>
      <c r="AC381" s="42" t="str">
        <f aca="false">IF(OR($B381="",$G381="",$H381=""),"",IF(AND($I381&lt;&gt;"",$I381&lt;=DateRef),"",IF($AB381&lt;DateVigueur,"Non concerné",IF(AND($N381&lt;&gt;"",$N381&gt;=MAX(EDATE($AB381,-FenetreFinCarriere*12),DateVigueur),$N381&lt;=$AB381),"Réalisé",IF(DateRef&gt;$AB381,"Non réalisé",IF(AND($Q381&lt;&gt;"",$Q381&gt;=EDATE($AB381,-FenetreFinCarriere*12),$Q381&lt;=$AB381),"Planifié dans la fenêtre",IF(AND(MAX($P381,DateRef)&gt;=EDATE($AB381,-FenetreFinCarriere*12),MAX($P381,DateRef)&lt;=$AB381),"Prochain EPP dans la fenêtre",IF(MAX($P381,DateRef)&gt;$AB381,"À programmer avant 60 ans",""))))))))</f>
        <v/>
      </c>
      <c r="AD381" s="40"/>
      <c r="AE381" s="43" t="str">
        <f aca="false">IF(OR($B381="",$H381="",AND($I381&lt;&gt;"",$I381&lt;=DateRef)),"",MAX($H381,$AD381,IF($A381="",0,SUMPRODUCT(MAX((Journal!$A$6:$A$1005=$A381)*((Journal!$D$6:$D$1005=TypeEDL)+(Journal!$D$6:$D$1005=TypeBilan6))*Journal!$C$6:$C$1005)))))</f>
        <v/>
      </c>
      <c r="AF381" s="43" t="str">
        <f aca="false">IF($AE381="","",IF(AND(ReglesTransitoires="Oui",EDATE($AE381,AnciennePeriodiciteEDL*12)&lt;DateVigueur),EDATE($AE381,AnciennePeriodiciteEDL*12),EDATE($AE381,PeriodiciteEDL*12)))</f>
        <v/>
      </c>
      <c r="AG381" s="42" t="str">
        <f aca="false">IF($AF381="","",IF(AND($I381&lt;&gt;"",$I381&lt;=DateRef),"",IF($AF381&lt;DateRef,"En retard",IF($AF381-DateRef&lt;=SeuilAlerteEDL,"À prévoir","À jour"))))</f>
        <v/>
      </c>
      <c r="AH381" s="39"/>
      <c r="AI381" s="39"/>
      <c r="AJ381" s="42" t="str">
        <f aca="false">IF(OR($B381="",$H381=""),"",IF(AND($I381&lt;&gt;"",$I381&lt;=DateRef),"",IF(Effectif&lt;SeuilEffectif,"Non concerné (&lt; "&amp;SeuilEffectif&amp;" salariés)",IF($AH381="Oui","Pas de risque",IF(AND(OR($AI381="Non",$S381="En retard"),$AH381="Non"),"Risque abondement",IF(OR($AI381="Non",$S381="En retard"),"À vérifier (formation ?)",IF($AI381="Oui","Pas de risque","À compléter")))))))</f>
        <v/>
      </c>
      <c r="AK381" s="39"/>
    </row>
    <row r="382" customFormat="false" ht="15" hidden="false" customHeight="false" outlineLevel="0" collapsed="false">
      <c r="A382" s="39"/>
      <c r="B382" s="39"/>
      <c r="C382" s="39"/>
      <c r="D382" s="39"/>
      <c r="E382" s="39"/>
      <c r="F382" s="39"/>
      <c r="G382" s="40"/>
      <c r="H382" s="40"/>
      <c r="I382" s="40"/>
      <c r="J382" s="41" t="str">
        <f aca="false">IF(OR($B382="",$H382=""),"",IF($H382&gt;DateRef,0,YEARFRAC($H382,DateRef,1)))</f>
        <v/>
      </c>
      <c r="K382" s="42" t="str">
        <f aca="false">IF(OR($B382="",$H382=""),"",IF(EDATE($H382,12)&lt;=DateRef,"Plus d'un an","Moins d'un an"))</f>
        <v/>
      </c>
      <c r="L382" s="40"/>
      <c r="M382" s="43" t="str">
        <f aca="false">IF(OR($B382="",$A382=""),"",IF(SUMPRODUCT(MAX((Journal!$A$6:$A$1005=$A382)*Journal!$C$6:$C$1005))=0,"",SUMPRODUCT(MAX((Journal!$A$6:$A$1005=$A382)*Journal!$C$6:$C$1005))))</f>
        <v/>
      </c>
      <c r="N382" s="43" t="str">
        <f aca="false">IF($B382="","",IF(MAX($L382,$M382)=0,"",MAX($L382,$M382)))</f>
        <v/>
      </c>
      <c r="O382" s="44" t="str">
        <f aca="false">IF(OR($B382="",$H382=""),"",IF($N382="",IF(EDATE($H382,DelaiPremierEPP)&gt;DateRef,"1er EPP (1re année)","Aucun entretien renseigné"),IF(AND(ReglesTransitoires="Oui",EDATE($N382,AnciennePeriodiciteEP*12)&lt;DateVigueur),"Retard antérieur à la réforme","Périodicité "&amp;PeriodiciteEPP&amp;" ans")))</f>
        <v/>
      </c>
      <c r="P382" s="43" t="str">
        <f aca="false">IF(OR($B382="",$H382=""),"",IF($N382="",EDATE($H382,DelaiPremierEPP),IF(AND(ReglesTransitoires="Oui",EDATE($N382,AnciennePeriodiciteEP*12)&lt;DateVigueur),EDATE($N382,AnciennePeriodiciteEP*12),EDATE($N382,PeriodiciteEPP*12))))</f>
        <v/>
      </c>
      <c r="Q382" s="40"/>
      <c r="R382" s="45" t="str">
        <f aca="false">IF(OR($P382="",AND($I382&lt;&gt;"",$I382&lt;=DateRef)),"",$P382-DateRef)</f>
        <v/>
      </c>
      <c r="S382" s="42" t="str">
        <f aca="false">IF($B382="","",IF(AND($I382&lt;&gt;"",$I382&lt;=DateRef),"Sorti",IF($H382="","À compléter",IF(AND($Q382&lt;&gt;"",$Q382&gt;=DateRef,$Q382&lt;=$P382),"Planifié",IF($R382&lt;0,"En retard",IF($R382&lt;=SeuilAlerteEPP,"À planifier","À jour"))))))</f>
        <v/>
      </c>
      <c r="T382" s="46" t="str">
        <f aca="false">IF(OR($B382="",$S382="Sorti"),"",MID(IF($H382=""," | Date d'embauche manquante","")&amp;IF(AND($K382="Plus d'un an",$N382="")," | Précédent entretien à renseigner (ancienneté &gt; 1 an)","")&amp;IF($O382="Retard antérieur à la réforme"," | Ancien délai de 2 ans expiré avant la réforme","")&amp;IF(AND($N382&lt;&gt;"",$H382&lt;&gt;"",$N382&lt;$H382)," | Entretien antérieur à l'embauche ?","")&amp;IF(AND($N382&lt;&gt;"",$N382&gt;DateRef)," | Entretien daté dans le futur ?","")&amp;IF(AND($Q382&lt;&gt;"",$P382&lt;&gt;"",$Q382&gt;$P382)," | Date prévue après l'échéance","")&amp;IF(AND($Q382&lt;&gt;"",$Q382&lt;DateRef,OR($N382="",$N382&lt;$Q382))," | Entretien prévu passé : le consigner au Journal","")&amp;IF(AND($G382&lt;&gt;"",$X382="",YEAR(DateRef)-YEAR($G382)&gt;=AgeMiCarriere-1,YEAR(DateRef)-YEAR($G382)&lt;=AgeMiCarriere+1)," | Visite de mi-carrière à vérifier",""),4,1000))</f>
        <v/>
      </c>
      <c r="U382" s="39"/>
      <c r="V382" s="40"/>
      <c r="W382" s="42" t="str">
        <f aca="false">IF(OR($B382="",$V382=""),"",IF(AND($I382&lt;&gt;"",$I382&lt;=DateRef),"",IF(AND($N382&lt;&gt;"",$N382&gt;=$V382),"Réalisé",IF(AND($N382&lt;&gt;"",$N382&gt;=EDATE($V382,-FenetreRetour)),"Dispensé (EPP récent)",IF($V382&gt;DateRef,"À prévoir à la reprise","À proposer (reprise passée)")))))</f>
        <v/>
      </c>
      <c r="X382" s="40"/>
      <c r="Y382" s="43" t="str">
        <f aca="false">IF(OR($B382="",$X382=""),"",EDATE($X382,DelaiMiCarriere))</f>
        <v/>
      </c>
      <c r="Z382" s="42" t="str">
        <f aca="false">IF(OR($B382="",$X382=""),"",IF(AND($I382&lt;&gt;"",$I382&lt;=DateRef),"",IF(AND($N382&lt;&gt;"",$N382&gt;=$X382),"Réalisé",IF($Y382&lt;DateRef,"En retard","À planifier"))))</f>
        <v/>
      </c>
      <c r="AA382" s="47" t="str">
        <f aca="false">IF(OR($B382="",$G382=""),"",IF($G382&gt;DateRef,"",DATEDIF($G382,DateRef,"y")))</f>
        <v/>
      </c>
      <c r="AB382" s="43" t="str">
        <f aca="false">IF(OR($B382="",$G382=""),"",EDATE($G382,AgeFinCarriere*12))</f>
        <v/>
      </c>
      <c r="AC382" s="42" t="str">
        <f aca="false">IF(OR($B382="",$G382="",$H382=""),"",IF(AND($I382&lt;&gt;"",$I382&lt;=DateRef),"",IF($AB382&lt;DateVigueur,"Non concerné",IF(AND($N382&lt;&gt;"",$N382&gt;=MAX(EDATE($AB382,-FenetreFinCarriere*12),DateVigueur),$N382&lt;=$AB382),"Réalisé",IF(DateRef&gt;$AB382,"Non réalisé",IF(AND($Q382&lt;&gt;"",$Q382&gt;=EDATE($AB382,-FenetreFinCarriere*12),$Q382&lt;=$AB382),"Planifié dans la fenêtre",IF(AND(MAX($P382,DateRef)&gt;=EDATE($AB382,-FenetreFinCarriere*12),MAX($P382,DateRef)&lt;=$AB382),"Prochain EPP dans la fenêtre",IF(MAX($P382,DateRef)&gt;$AB382,"À programmer avant 60 ans",""))))))))</f>
        <v/>
      </c>
      <c r="AD382" s="40"/>
      <c r="AE382" s="43" t="str">
        <f aca="false">IF(OR($B382="",$H382="",AND($I382&lt;&gt;"",$I382&lt;=DateRef)),"",MAX($H382,$AD382,IF($A382="",0,SUMPRODUCT(MAX((Journal!$A$6:$A$1005=$A382)*((Journal!$D$6:$D$1005=TypeEDL)+(Journal!$D$6:$D$1005=TypeBilan6))*Journal!$C$6:$C$1005)))))</f>
        <v/>
      </c>
      <c r="AF382" s="43" t="str">
        <f aca="false">IF($AE382="","",IF(AND(ReglesTransitoires="Oui",EDATE($AE382,AnciennePeriodiciteEDL*12)&lt;DateVigueur),EDATE($AE382,AnciennePeriodiciteEDL*12),EDATE($AE382,PeriodiciteEDL*12)))</f>
        <v/>
      </c>
      <c r="AG382" s="42" t="str">
        <f aca="false">IF($AF382="","",IF(AND($I382&lt;&gt;"",$I382&lt;=DateRef),"",IF($AF382&lt;DateRef,"En retard",IF($AF382-DateRef&lt;=SeuilAlerteEDL,"À prévoir","À jour"))))</f>
        <v/>
      </c>
      <c r="AH382" s="39"/>
      <c r="AI382" s="39"/>
      <c r="AJ382" s="42" t="str">
        <f aca="false">IF(OR($B382="",$H382=""),"",IF(AND($I382&lt;&gt;"",$I382&lt;=DateRef),"",IF(Effectif&lt;SeuilEffectif,"Non concerné (&lt; "&amp;SeuilEffectif&amp;" salariés)",IF($AH382="Oui","Pas de risque",IF(AND(OR($AI382="Non",$S382="En retard"),$AH382="Non"),"Risque abondement",IF(OR($AI382="Non",$S382="En retard"),"À vérifier (formation ?)",IF($AI382="Oui","Pas de risque","À compléter")))))))</f>
        <v/>
      </c>
      <c r="AK382" s="39"/>
    </row>
    <row r="383" customFormat="false" ht="15" hidden="false" customHeight="false" outlineLevel="0" collapsed="false">
      <c r="A383" s="39"/>
      <c r="B383" s="39"/>
      <c r="C383" s="39"/>
      <c r="D383" s="39"/>
      <c r="E383" s="39"/>
      <c r="F383" s="39"/>
      <c r="G383" s="40"/>
      <c r="H383" s="40"/>
      <c r="I383" s="40"/>
      <c r="J383" s="41" t="str">
        <f aca="false">IF(OR($B383="",$H383=""),"",IF($H383&gt;DateRef,0,YEARFRAC($H383,DateRef,1)))</f>
        <v/>
      </c>
      <c r="K383" s="42" t="str">
        <f aca="false">IF(OR($B383="",$H383=""),"",IF(EDATE($H383,12)&lt;=DateRef,"Plus d'un an","Moins d'un an"))</f>
        <v/>
      </c>
      <c r="L383" s="40"/>
      <c r="M383" s="43" t="str">
        <f aca="false">IF(OR($B383="",$A383=""),"",IF(SUMPRODUCT(MAX((Journal!$A$6:$A$1005=$A383)*Journal!$C$6:$C$1005))=0,"",SUMPRODUCT(MAX((Journal!$A$6:$A$1005=$A383)*Journal!$C$6:$C$1005))))</f>
        <v/>
      </c>
      <c r="N383" s="43" t="str">
        <f aca="false">IF($B383="","",IF(MAX($L383,$M383)=0,"",MAX($L383,$M383)))</f>
        <v/>
      </c>
      <c r="O383" s="44" t="str">
        <f aca="false">IF(OR($B383="",$H383=""),"",IF($N383="",IF(EDATE($H383,DelaiPremierEPP)&gt;DateRef,"1er EPP (1re année)","Aucun entretien renseigné"),IF(AND(ReglesTransitoires="Oui",EDATE($N383,AnciennePeriodiciteEP*12)&lt;DateVigueur),"Retard antérieur à la réforme","Périodicité "&amp;PeriodiciteEPP&amp;" ans")))</f>
        <v/>
      </c>
      <c r="P383" s="43" t="str">
        <f aca="false">IF(OR($B383="",$H383=""),"",IF($N383="",EDATE($H383,DelaiPremierEPP),IF(AND(ReglesTransitoires="Oui",EDATE($N383,AnciennePeriodiciteEP*12)&lt;DateVigueur),EDATE($N383,AnciennePeriodiciteEP*12),EDATE($N383,PeriodiciteEPP*12))))</f>
        <v/>
      </c>
      <c r="Q383" s="40"/>
      <c r="R383" s="45" t="str">
        <f aca="false">IF(OR($P383="",AND($I383&lt;&gt;"",$I383&lt;=DateRef)),"",$P383-DateRef)</f>
        <v/>
      </c>
      <c r="S383" s="42" t="str">
        <f aca="false">IF($B383="","",IF(AND($I383&lt;&gt;"",$I383&lt;=DateRef),"Sorti",IF($H383="","À compléter",IF(AND($Q383&lt;&gt;"",$Q383&gt;=DateRef,$Q383&lt;=$P383),"Planifié",IF($R383&lt;0,"En retard",IF($R383&lt;=SeuilAlerteEPP,"À planifier","À jour"))))))</f>
        <v/>
      </c>
      <c r="T383" s="46" t="str">
        <f aca="false">IF(OR($B383="",$S383="Sorti"),"",MID(IF($H383=""," | Date d'embauche manquante","")&amp;IF(AND($K383="Plus d'un an",$N383="")," | Précédent entretien à renseigner (ancienneté &gt; 1 an)","")&amp;IF($O383="Retard antérieur à la réforme"," | Ancien délai de 2 ans expiré avant la réforme","")&amp;IF(AND($N383&lt;&gt;"",$H383&lt;&gt;"",$N383&lt;$H383)," | Entretien antérieur à l'embauche ?","")&amp;IF(AND($N383&lt;&gt;"",$N383&gt;DateRef)," | Entretien daté dans le futur ?","")&amp;IF(AND($Q383&lt;&gt;"",$P383&lt;&gt;"",$Q383&gt;$P383)," | Date prévue après l'échéance","")&amp;IF(AND($Q383&lt;&gt;"",$Q383&lt;DateRef,OR($N383="",$N383&lt;$Q383))," | Entretien prévu passé : le consigner au Journal","")&amp;IF(AND($G383&lt;&gt;"",$X383="",YEAR(DateRef)-YEAR($G383)&gt;=AgeMiCarriere-1,YEAR(DateRef)-YEAR($G383)&lt;=AgeMiCarriere+1)," | Visite de mi-carrière à vérifier",""),4,1000))</f>
        <v/>
      </c>
      <c r="U383" s="39"/>
      <c r="V383" s="40"/>
      <c r="W383" s="42" t="str">
        <f aca="false">IF(OR($B383="",$V383=""),"",IF(AND($I383&lt;&gt;"",$I383&lt;=DateRef),"",IF(AND($N383&lt;&gt;"",$N383&gt;=$V383),"Réalisé",IF(AND($N383&lt;&gt;"",$N383&gt;=EDATE($V383,-FenetreRetour)),"Dispensé (EPP récent)",IF($V383&gt;DateRef,"À prévoir à la reprise","À proposer (reprise passée)")))))</f>
        <v/>
      </c>
      <c r="X383" s="40"/>
      <c r="Y383" s="43" t="str">
        <f aca="false">IF(OR($B383="",$X383=""),"",EDATE($X383,DelaiMiCarriere))</f>
        <v/>
      </c>
      <c r="Z383" s="42" t="str">
        <f aca="false">IF(OR($B383="",$X383=""),"",IF(AND($I383&lt;&gt;"",$I383&lt;=DateRef),"",IF(AND($N383&lt;&gt;"",$N383&gt;=$X383),"Réalisé",IF($Y383&lt;DateRef,"En retard","À planifier"))))</f>
        <v/>
      </c>
      <c r="AA383" s="47" t="str">
        <f aca="false">IF(OR($B383="",$G383=""),"",IF($G383&gt;DateRef,"",DATEDIF($G383,DateRef,"y")))</f>
        <v/>
      </c>
      <c r="AB383" s="43" t="str">
        <f aca="false">IF(OR($B383="",$G383=""),"",EDATE($G383,AgeFinCarriere*12))</f>
        <v/>
      </c>
      <c r="AC383" s="42" t="str">
        <f aca="false">IF(OR($B383="",$G383="",$H383=""),"",IF(AND($I383&lt;&gt;"",$I383&lt;=DateRef),"",IF($AB383&lt;DateVigueur,"Non concerné",IF(AND($N383&lt;&gt;"",$N383&gt;=MAX(EDATE($AB383,-FenetreFinCarriere*12),DateVigueur),$N383&lt;=$AB383),"Réalisé",IF(DateRef&gt;$AB383,"Non réalisé",IF(AND($Q383&lt;&gt;"",$Q383&gt;=EDATE($AB383,-FenetreFinCarriere*12),$Q383&lt;=$AB383),"Planifié dans la fenêtre",IF(AND(MAX($P383,DateRef)&gt;=EDATE($AB383,-FenetreFinCarriere*12),MAX($P383,DateRef)&lt;=$AB383),"Prochain EPP dans la fenêtre",IF(MAX($P383,DateRef)&gt;$AB383,"À programmer avant 60 ans",""))))))))</f>
        <v/>
      </c>
      <c r="AD383" s="40"/>
      <c r="AE383" s="43" t="str">
        <f aca="false">IF(OR($B383="",$H383="",AND($I383&lt;&gt;"",$I383&lt;=DateRef)),"",MAX($H383,$AD383,IF($A383="",0,SUMPRODUCT(MAX((Journal!$A$6:$A$1005=$A383)*((Journal!$D$6:$D$1005=TypeEDL)+(Journal!$D$6:$D$1005=TypeBilan6))*Journal!$C$6:$C$1005)))))</f>
        <v/>
      </c>
      <c r="AF383" s="43" t="str">
        <f aca="false">IF($AE383="","",IF(AND(ReglesTransitoires="Oui",EDATE($AE383,AnciennePeriodiciteEDL*12)&lt;DateVigueur),EDATE($AE383,AnciennePeriodiciteEDL*12),EDATE($AE383,PeriodiciteEDL*12)))</f>
        <v/>
      </c>
      <c r="AG383" s="42" t="str">
        <f aca="false">IF($AF383="","",IF(AND($I383&lt;&gt;"",$I383&lt;=DateRef),"",IF($AF383&lt;DateRef,"En retard",IF($AF383-DateRef&lt;=SeuilAlerteEDL,"À prévoir","À jour"))))</f>
        <v/>
      </c>
      <c r="AH383" s="39"/>
      <c r="AI383" s="39"/>
      <c r="AJ383" s="42" t="str">
        <f aca="false">IF(OR($B383="",$H383=""),"",IF(AND($I383&lt;&gt;"",$I383&lt;=DateRef),"",IF(Effectif&lt;SeuilEffectif,"Non concerné (&lt; "&amp;SeuilEffectif&amp;" salariés)",IF($AH383="Oui","Pas de risque",IF(AND(OR($AI383="Non",$S383="En retard"),$AH383="Non"),"Risque abondement",IF(OR($AI383="Non",$S383="En retard"),"À vérifier (formation ?)",IF($AI383="Oui","Pas de risque","À compléter")))))))</f>
        <v/>
      </c>
      <c r="AK383" s="39"/>
    </row>
    <row r="384" customFormat="false" ht="15" hidden="false" customHeight="false" outlineLevel="0" collapsed="false">
      <c r="A384" s="39"/>
      <c r="B384" s="39"/>
      <c r="C384" s="39"/>
      <c r="D384" s="39"/>
      <c r="E384" s="39"/>
      <c r="F384" s="39"/>
      <c r="G384" s="40"/>
      <c r="H384" s="40"/>
      <c r="I384" s="40"/>
      <c r="J384" s="41" t="str">
        <f aca="false">IF(OR($B384="",$H384=""),"",IF($H384&gt;DateRef,0,YEARFRAC($H384,DateRef,1)))</f>
        <v/>
      </c>
      <c r="K384" s="42" t="str">
        <f aca="false">IF(OR($B384="",$H384=""),"",IF(EDATE($H384,12)&lt;=DateRef,"Plus d'un an","Moins d'un an"))</f>
        <v/>
      </c>
      <c r="L384" s="40"/>
      <c r="M384" s="43" t="str">
        <f aca="false">IF(OR($B384="",$A384=""),"",IF(SUMPRODUCT(MAX((Journal!$A$6:$A$1005=$A384)*Journal!$C$6:$C$1005))=0,"",SUMPRODUCT(MAX((Journal!$A$6:$A$1005=$A384)*Journal!$C$6:$C$1005))))</f>
        <v/>
      </c>
      <c r="N384" s="43" t="str">
        <f aca="false">IF($B384="","",IF(MAX($L384,$M384)=0,"",MAX($L384,$M384)))</f>
        <v/>
      </c>
      <c r="O384" s="44" t="str">
        <f aca="false">IF(OR($B384="",$H384=""),"",IF($N384="",IF(EDATE($H384,DelaiPremierEPP)&gt;DateRef,"1er EPP (1re année)","Aucun entretien renseigné"),IF(AND(ReglesTransitoires="Oui",EDATE($N384,AnciennePeriodiciteEP*12)&lt;DateVigueur),"Retard antérieur à la réforme","Périodicité "&amp;PeriodiciteEPP&amp;" ans")))</f>
        <v/>
      </c>
      <c r="P384" s="43" t="str">
        <f aca="false">IF(OR($B384="",$H384=""),"",IF($N384="",EDATE($H384,DelaiPremierEPP),IF(AND(ReglesTransitoires="Oui",EDATE($N384,AnciennePeriodiciteEP*12)&lt;DateVigueur),EDATE($N384,AnciennePeriodiciteEP*12),EDATE($N384,PeriodiciteEPP*12))))</f>
        <v/>
      </c>
      <c r="Q384" s="40"/>
      <c r="R384" s="45" t="str">
        <f aca="false">IF(OR($P384="",AND($I384&lt;&gt;"",$I384&lt;=DateRef)),"",$P384-DateRef)</f>
        <v/>
      </c>
      <c r="S384" s="42" t="str">
        <f aca="false">IF($B384="","",IF(AND($I384&lt;&gt;"",$I384&lt;=DateRef),"Sorti",IF($H384="","À compléter",IF(AND($Q384&lt;&gt;"",$Q384&gt;=DateRef,$Q384&lt;=$P384),"Planifié",IF($R384&lt;0,"En retard",IF($R384&lt;=SeuilAlerteEPP,"À planifier","À jour"))))))</f>
        <v/>
      </c>
      <c r="T384" s="46" t="str">
        <f aca="false">IF(OR($B384="",$S384="Sorti"),"",MID(IF($H384=""," | Date d'embauche manquante","")&amp;IF(AND($K384="Plus d'un an",$N384="")," | Précédent entretien à renseigner (ancienneté &gt; 1 an)","")&amp;IF($O384="Retard antérieur à la réforme"," | Ancien délai de 2 ans expiré avant la réforme","")&amp;IF(AND($N384&lt;&gt;"",$H384&lt;&gt;"",$N384&lt;$H384)," | Entretien antérieur à l'embauche ?","")&amp;IF(AND($N384&lt;&gt;"",$N384&gt;DateRef)," | Entretien daté dans le futur ?","")&amp;IF(AND($Q384&lt;&gt;"",$P384&lt;&gt;"",$Q384&gt;$P384)," | Date prévue après l'échéance","")&amp;IF(AND($Q384&lt;&gt;"",$Q384&lt;DateRef,OR($N384="",$N384&lt;$Q384))," | Entretien prévu passé : le consigner au Journal","")&amp;IF(AND($G384&lt;&gt;"",$X384="",YEAR(DateRef)-YEAR($G384)&gt;=AgeMiCarriere-1,YEAR(DateRef)-YEAR($G384)&lt;=AgeMiCarriere+1)," | Visite de mi-carrière à vérifier",""),4,1000))</f>
        <v/>
      </c>
      <c r="U384" s="39"/>
      <c r="V384" s="40"/>
      <c r="W384" s="42" t="str">
        <f aca="false">IF(OR($B384="",$V384=""),"",IF(AND($I384&lt;&gt;"",$I384&lt;=DateRef),"",IF(AND($N384&lt;&gt;"",$N384&gt;=$V384),"Réalisé",IF(AND($N384&lt;&gt;"",$N384&gt;=EDATE($V384,-FenetreRetour)),"Dispensé (EPP récent)",IF($V384&gt;DateRef,"À prévoir à la reprise","À proposer (reprise passée)")))))</f>
        <v/>
      </c>
      <c r="X384" s="40"/>
      <c r="Y384" s="43" t="str">
        <f aca="false">IF(OR($B384="",$X384=""),"",EDATE($X384,DelaiMiCarriere))</f>
        <v/>
      </c>
      <c r="Z384" s="42" t="str">
        <f aca="false">IF(OR($B384="",$X384=""),"",IF(AND($I384&lt;&gt;"",$I384&lt;=DateRef),"",IF(AND($N384&lt;&gt;"",$N384&gt;=$X384),"Réalisé",IF($Y384&lt;DateRef,"En retard","À planifier"))))</f>
        <v/>
      </c>
      <c r="AA384" s="47" t="str">
        <f aca="false">IF(OR($B384="",$G384=""),"",IF($G384&gt;DateRef,"",DATEDIF($G384,DateRef,"y")))</f>
        <v/>
      </c>
      <c r="AB384" s="43" t="str">
        <f aca="false">IF(OR($B384="",$G384=""),"",EDATE($G384,AgeFinCarriere*12))</f>
        <v/>
      </c>
      <c r="AC384" s="42" t="str">
        <f aca="false">IF(OR($B384="",$G384="",$H384=""),"",IF(AND($I384&lt;&gt;"",$I384&lt;=DateRef),"",IF($AB384&lt;DateVigueur,"Non concerné",IF(AND($N384&lt;&gt;"",$N384&gt;=MAX(EDATE($AB384,-FenetreFinCarriere*12),DateVigueur),$N384&lt;=$AB384),"Réalisé",IF(DateRef&gt;$AB384,"Non réalisé",IF(AND($Q384&lt;&gt;"",$Q384&gt;=EDATE($AB384,-FenetreFinCarriere*12),$Q384&lt;=$AB384),"Planifié dans la fenêtre",IF(AND(MAX($P384,DateRef)&gt;=EDATE($AB384,-FenetreFinCarriere*12),MAX($P384,DateRef)&lt;=$AB384),"Prochain EPP dans la fenêtre",IF(MAX($P384,DateRef)&gt;$AB384,"À programmer avant 60 ans",""))))))))</f>
        <v/>
      </c>
      <c r="AD384" s="40"/>
      <c r="AE384" s="43" t="str">
        <f aca="false">IF(OR($B384="",$H384="",AND($I384&lt;&gt;"",$I384&lt;=DateRef)),"",MAX($H384,$AD384,IF($A384="",0,SUMPRODUCT(MAX((Journal!$A$6:$A$1005=$A384)*((Journal!$D$6:$D$1005=TypeEDL)+(Journal!$D$6:$D$1005=TypeBilan6))*Journal!$C$6:$C$1005)))))</f>
        <v/>
      </c>
      <c r="AF384" s="43" t="str">
        <f aca="false">IF($AE384="","",IF(AND(ReglesTransitoires="Oui",EDATE($AE384,AnciennePeriodiciteEDL*12)&lt;DateVigueur),EDATE($AE384,AnciennePeriodiciteEDL*12),EDATE($AE384,PeriodiciteEDL*12)))</f>
        <v/>
      </c>
      <c r="AG384" s="42" t="str">
        <f aca="false">IF($AF384="","",IF(AND($I384&lt;&gt;"",$I384&lt;=DateRef),"",IF($AF384&lt;DateRef,"En retard",IF($AF384-DateRef&lt;=SeuilAlerteEDL,"À prévoir","À jour"))))</f>
        <v/>
      </c>
      <c r="AH384" s="39"/>
      <c r="AI384" s="39"/>
      <c r="AJ384" s="42" t="str">
        <f aca="false">IF(OR($B384="",$H384=""),"",IF(AND($I384&lt;&gt;"",$I384&lt;=DateRef),"",IF(Effectif&lt;SeuilEffectif,"Non concerné (&lt; "&amp;SeuilEffectif&amp;" salariés)",IF($AH384="Oui","Pas de risque",IF(AND(OR($AI384="Non",$S384="En retard"),$AH384="Non"),"Risque abondement",IF(OR($AI384="Non",$S384="En retard"),"À vérifier (formation ?)",IF($AI384="Oui","Pas de risque","À compléter")))))))</f>
        <v/>
      </c>
      <c r="AK384" s="39"/>
    </row>
    <row r="385" customFormat="false" ht="15" hidden="false" customHeight="false" outlineLevel="0" collapsed="false">
      <c r="A385" s="39"/>
      <c r="B385" s="39"/>
      <c r="C385" s="39"/>
      <c r="D385" s="39"/>
      <c r="E385" s="39"/>
      <c r="F385" s="39"/>
      <c r="G385" s="40"/>
      <c r="H385" s="40"/>
      <c r="I385" s="40"/>
      <c r="J385" s="41" t="str">
        <f aca="false">IF(OR($B385="",$H385=""),"",IF($H385&gt;DateRef,0,YEARFRAC($H385,DateRef,1)))</f>
        <v/>
      </c>
      <c r="K385" s="42" t="str">
        <f aca="false">IF(OR($B385="",$H385=""),"",IF(EDATE($H385,12)&lt;=DateRef,"Plus d'un an","Moins d'un an"))</f>
        <v/>
      </c>
      <c r="L385" s="40"/>
      <c r="M385" s="43" t="str">
        <f aca="false">IF(OR($B385="",$A385=""),"",IF(SUMPRODUCT(MAX((Journal!$A$6:$A$1005=$A385)*Journal!$C$6:$C$1005))=0,"",SUMPRODUCT(MAX((Journal!$A$6:$A$1005=$A385)*Journal!$C$6:$C$1005))))</f>
        <v/>
      </c>
      <c r="N385" s="43" t="str">
        <f aca="false">IF($B385="","",IF(MAX($L385,$M385)=0,"",MAX($L385,$M385)))</f>
        <v/>
      </c>
      <c r="O385" s="44" t="str">
        <f aca="false">IF(OR($B385="",$H385=""),"",IF($N385="",IF(EDATE($H385,DelaiPremierEPP)&gt;DateRef,"1er EPP (1re année)","Aucun entretien renseigné"),IF(AND(ReglesTransitoires="Oui",EDATE($N385,AnciennePeriodiciteEP*12)&lt;DateVigueur),"Retard antérieur à la réforme","Périodicité "&amp;PeriodiciteEPP&amp;" ans")))</f>
        <v/>
      </c>
      <c r="P385" s="43" t="str">
        <f aca="false">IF(OR($B385="",$H385=""),"",IF($N385="",EDATE($H385,DelaiPremierEPP),IF(AND(ReglesTransitoires="Oui",EDATE($N385,AnciennePeriodiciteEP*12)&lt;DateVigueur),EDATE($N385,AnciennePeriodiciteEP*12),EDATE($N385,PeriodiciteEPP*12))))</f>
        <v/>
      </c>
      <c r="Q385" s="40"/>
      <c r="R385" s="45" t="str">
        <f aca="false">IF(OR($P385="",AND($I385&lt;&gt;"",$I385&lt;=DateRef)),"",$P385-DateRef)</f>
        <v/>
      </c>
      <c r="S385" s="42" t="str">
        <f aca="false">IF($B385="","",IF(AND($I385&lt;&gt;"",$I385&lt;=DateRef),"Sorti",IF($H385="","À compléter",IF(AND($Q385&lt;&gt;"",$Q385&gt;=DateRef,$Q385&lt;=$P385),"Planifié",IF($R385&lt;0,"En retard",IF($R385&lt;=SeuilAlerteEPP,"À planifier","À jour"))))))</f>
        <v/>
      </c>
      <c r="T385" s="46" t="str">
        <f aca="false">IF(OR($B385="",$S385="Sorti"),"",MID(IF($H385=""," | Date d'embauche manquante","")&amp;IF(AND($K385="Plus d'un an",$N385="")," | Précédent entretien à renseigner (ancienneté &gt; 1 an)","")&amp;IF($O385="Retard antérieur à la réforme"," | Ancien délai de 2 ans expiré avant la réforme","")&amp;IF(AND($N385&lt;&gt;"",$H385&lt;&gt;"",$N385&lt;$H385)," | Entretien antérieur à l'embauche ?","")&amp;IF(AND($N385&lt;&gt;"",$N385&gt;DateRef)," | Entretien daté dans le futur ?","")&amp;IF(AND($Q385&lt;&gt;"",$P385&lt;&gt;"",$Q385&gt;$P385)," | Date prévue après l'échéance","")&amp;IF(AND($Q385&lt;&gt;"",$Q385&lt;DateRef,OR($N385="",$N385&lt;$Q385))," | Entretien prévu passé : le consigner au Journal","")&amp;IF(AND($G385&lt;&gt;"",$X385="",YEAR(DateRef)-YEAR($G385)&gt;=AgeMiCarriere-1,YEAR(DateRef)-YEAR($G385)&lt;=AgeMiCarriere+1)," | Visite de mi-carrière à vérifier",""),4,1000))</f>
        <v/>
      </c>
      <c r="U385" s="39"/>
      <c r="V385" s="40"/>
      <c r="W385" s="42" t="str">
        <f aca="false">IF(OR($B385="",$V385=""),"",IF(AND($I385&lt;&gt;"",$I385&lt;=DateRef),"",IF(AND($N385&lt;&gt;"",$N385&gt;=$V385),"Réalisé",IF(AND($N385&lt;&gt;"",$N385&gt;=EDATE($V385,-FenetreRetour)),"Dispensé (EPP récent)",IF($V385&gt;DateRef,"À prévoir à la reprise","À proposer (reprise passée)")))))</f>
        <v/>
      </c>
      <c r="X385" s="40"/>
      <c r="Y385" s="43" t="str">
        <f aca="false">IF(OR($B385="",$X385=""),"",EDATE($X385,DelaiMiCarriere))</f>
        <v/>
      </c>
      <c r="Z385" s="42" t="str">
        <f aca="false">IF(OR($B385="",$X385=""),"",IF(AND($I385&lt;&gt;"",$I385&lt;=DateRef),"",IF(AND($N385&lt;&gt;"",$N385&gt;=$X385),"Réalisé",IF($Y385&lt;DateRef,"En retard","À planifier"))))</f>
        <v/>
      </c>
      <c r="AA385" s="47" t="str">
        <f aca="false">IF(OR($B385="",$G385=""),"",IF($G385&gt;DateRef,"",DATEDIF($G385,DateRef,"y")))</f>
        <v/>
      </c>
      <c r="AB385" s="43" t="str">
        <f aca="false">IF(OR($B385="",$G385=""),"",EDATE($G385,AgeFinCarriere*12))</f>
        <v/>
      </c>
      <c r="AC385" s="42" t="str">
        <f aca="false">IF(OR($B385="",$G385="",$H385=""),"",IF(AND($I385&lt;&gt;"",$I385&lt;=DateRef),"",IF($AB385&lt;DateVigueur,"Non concerné",IF(AND($N385&lt;&gt;"",$N385&gt;=MAX(EDATE($AB385,-FenetreFinCarriere*12),DateVigueur),$N385&lt;=$AB385),"Réalisé",IF(DateRef&gt;$AB385,"Non réalisé",IF(AND($Q385&lt;&gt;"",$Q385&gt;=EDATE($AB385,-FenetreFinCarriere*12),$Q385&lt;=$AB385),"Planifié dans la fenêtre",IF(AND(MAX($P385,DateRef)&gt;=EDATE($AB385,-FenetreFinCarriere*12),MAX($P385,DateRef)&lt;=$AB385),"Prochain EPP dans la fenêtre",IF(MAX($P385,DateRef)&gt;$AB385,"À programmer avant 60 ans",""))))))))</f>
        <v/>
      </c>
      <c r="AD385" s="40"/>
      <c r="AE385" s="43" t="str">
        <f aca="false">IF(OR($B385="",$H385="",AND($I385&lt;&gt;"",$I385&lt;=DateRef)),"",MAX($H385,$AD385,IF($A385="",0,SUMPRODUCT(MAX((Journal!$A$6:$A$1005=$A385)*((Journal!$D$6:$D$1005=TypeEDL)+(Journal!$D$6:$D$1005=TypeBilan6))*Journal!$C$6:$C$1005)))))</f>
        <v/>
      </c>
      <c r="AF385" s="43" t="str">
        <f aca="false">IF($AE385="","",IF(AND(ReglesTransitoires="Oui",EDATE($AE385,AnciennePeriodiciteEDL*12)&lt;DateVigueur),EDATE($AE385,AnciennePeriodiciteEDL*12),EDATE($AE385,PeriodiciteEDL*12)))</f>
        <v/>
      </c>
      <c r="AG385" s="42" t="str">
        <f aca="false">IF($AF385="","",IF(AND($I385&lt;&gt;"",$I385&lt;=DateRef),"",IF($AF385&lt;DateRef,"En retard",IF($AF385-DateRef&lt;=SeuilAlerteEDL,"À prévoir","À jour"))))</f>
        <v/>
      </c>
      <c r="AH385" s="39"/>
      <c r="AI385" s="39"/>
      <c r="AJ385" s="42" t="str">
        <f aca="false">IF(OR($B385="",$H385=""),"",IF(AND($I385&lt;&gt;"",$I385&lt;=DateRef),"",IF(Effectif&lt;SeuilEffectif,"Non concerné (&lt; "&amp;SeuilEffectif&amp;" salariés)",IF($AH385="Oui","Pas de risque",IF(AND(OR($AI385="Non",$S385="En retard"),$AH385="Non"),"Risque abondement",IF(OR($AI385="Non",$S385="En retard"),"À vérifier (formation ?)",IF($AI385="Oui","Pas de risque","À compléter")))))))</f>
        <v/>
      </c>
      <c r="AK385" s="39"/>
    </row>
    <row r="386" customFormat="false" ht="15" hidden="false" customHeight="false" outlineLevel="0" collapsed="false">
      <c r="A386" s="39"/>
      <c r="B386" s="39"/>
      <c r="C386" s="39"/>
      <c r="D386" s="39"/>
      <c r="E386" s="39"/>
      <c r="F386" s="39"/>
      <c r="G386" s="40"/>
      <c r="H386" s="40"/>
      <c r="I386" s="40"/>
      <c r="J386" s="41" t="str">
        <f aca="false">IF(OR($B386="",$H386=""),"",IF($H386&gt;DateRef,0,YEARFRAC($H386,DateRef,1)))</f>
        <v/>
      </c>
      <c r="K386" s="42" t="str">
        <f aca="false">IF(OR($B386="",$H386=""),"",IF(EDATE($H386,12)&lt;=DateRef,"Plus d'un an","Moins d'un an"))</f>
        <v/>
      </c>
      <c r="L386" s="40"/>
      <c r="M386" s="43" t="str">
        <f aca="false">IF(OR($B386="",$A386=""),"",IF(SUMPRODUCT(MAX((Journal!$A$6:$A$1005=$A386)*Journal!$C$6:$C$1005))=0,"",SUMPRODUCT(MAX((Journal!$A$6:$A$1005=$A386)*Journal!$C$6:$C$1005))))</f>
        <v/>
      </c>
      <c r="N386" s="43" t="str">
        <f aca="false">IF($B386="","",IF(MAX($L386,$M386)=0,"",MAX($L386,$M386)))</f>
        <v/>
      </c>
      <c r="O386" s="44" t="str">
        <f aca="false">IF(OR($B386="",$H386=""),"",IF($N386="",IF(EDATE($H386,DelaiPremierEPP)&gt;DateRef,"1er EPP (1re année)","Aucun entretien renseigné"),IF(AND(ReglesTransitoires="Oui",EDATE($N386,AnciennePeriodiciteEP*12)&lt;DateVigueur),"Retard antérieur à la réforme","Périodicité "&amp;PeriodiciteEPP&amp;" ans")))</f>
        <v/>
      </c>
      <c r="P386" s="43" t="str">
        <f aca="false">IF(OR($B386="",$H386=""),"",IF($N386="",EDATE($H386,DelaiPremierEPP),IF(AND(ReglesTransitoires="Oui",EDATE($N386,AnciennePeriodiciteEP*12)&lt;DateVigueur),EDATE($N386,AnciennePeriodiciteEP*12),EDATE($N386,PeriodiciteEPP*12))))</f>
        <v/>
      </c>
      <c r="Q386" s="40"/>
      <c r="R386" s="45" t="str">
        <f aca="false">IF(OR($P386="",AND($I386&lt;&gt;"",$I386&lt;=DateRef)),"",$P386-DateRef)</f>
        <v/>
      </c>
      <c r="S386" s="42" t="str">
        <f aca="false">IF($B386="","",IF(AND($I386&lt;&gt;"",$I386&lt;=DateRef),"Sorti",IF($H386="","À compléter",IF(AND($Q386&lt;&gt;"",$Q386&gt;=DateRef,$Q386&lt;=$P386),"Planifié",IF($R386&lt;0,"En retard",IF($R386&lt;=SeuilAlerteEPP,"À planifier","À jour"))))))</f>
        <v/>
      </c>
      <c r="T386" s="46" t="str">
        <f aca="false">IF(OR($B386="",$S386="Sorti"),"",MID(IF($H386=""," | Date d'embauche manquante","")&amp;IF(AND($K386="Plus d'un an",$N386="")," | Précédent entretien à renseigner (ancienneté &gt; 1 an)","")&amp;IF($O386="Retard antérieur à la réforme"," | Ancien délai de 2 ans expiré avant la réforme","")&amp;IF(AND($N386&lt;&gt;"",$H386&lt;&gt;"",$N386&lt;$H386)," | Entretien antérieur à l'embauche ?","")&amp;IF(AND($N386&lt;&gt;"",$N386&gt;DateRef)," | Entretien daté dans le futur ?","")&amp;IF(AND($Q386&lt;&gt;"",$P386&lt;&gt;"",$Q386&gt;$P386)," | Date prévue après l'échéance","")&amp;IF(AND($Q386&lt;&gt;"",$Q386&lt;DateRef,OR($N386="",$N386&lt;$Q386))," | Entretien prévu passé : le consigner au Journal","")&amp;IF(AND($G386&lt;&gt;"",$X386="",YEAR(DateRef)-YEAR($G386)&gt;=AgeMiCarriere-1,YEAR(DateRef)-YEAR($G386)&lt;=AgeMiCarriere+1)," | Visite de mi-carrière à vérifier",""),4,1000))</f>
        <v/>
      </c>
      <c r="U386" s="39"/>
      <c r="V386" s="40"/>
      <c r="W386" s="42" t="str">
        <f aca="false">IF(OR($B386="",$V386=""),"",IF(AND($I386&lt;&gt;"",$I386&lt;=DateRef),"",IF(AND($N386&lt;&gt;"",$N386&gt;=$V386),"Réalisé",IF(AND($N386&lt;&gt;"",$N386&gt;=EDATE($V386,-FenetreRetour)),"Dispensé (EPP récent)",IF($V386&gt;DateRef,"À prévoir à la reprise","À proposer (reprise passée)")))))</f>
        <v/>
      </c>
      <c r="X386" s="40"/>
      <c r="Y386" s="43" t="str">
        <f aca="false">IF(OR($B386="",$X386=""),"",EDATE($X386,DelaiMiCarriere))</f>
        <v/>
      </c>
      <c r="Z386" s="42" t="str">
        <f aca="false">IF(OR($B386="",$X386=""),"",IF(AND($I386&lt;&gt;"",$I386&lt;=DateRef),"",IF(AND($N386&lt;&gt;"",$N386&gt;=$X386),"Réalisé",IF($Y386&lt;DateRef,"En retard","À planifier"))))</f>
        <v/>
      </c>
      <c r="AA386" s="47" t="str">
        <f aca="false">IF(OR($B386="",$G386=""),"",IF($G386&gt;DateRef,"",DATEDIF($G386,DateRef,"y")))</f>
        <v/>
      </c>
      <c r="AB386" s="43" t="str">
        <f aca="false">IF(OR($B386="",$G386=""),"",EDATE($G386,AgeFinCarriere*12))</f>
        <v/>
      </c>
      <c r="AC386" s="42" t="str">
        <f aca="false">IF(OR($B386="",$G386="",$H386=""),"",IF(AND($I386&lt;&gt;"",$I386&lt;=DateRef),"",IF($AB386&lt;DateVigueur,"Non concerné",IF(AND($N386&lt;&gt;"",$N386&gt;=MAX(EDATE($AB386,-FenetreFinCarriere*12),DateVigueur),$N386&lt;=$AB386),"Réalisé",IF(DateRef&gt;$AB386,"Non réalisé",IF(AND($Q386&lt;&gt;"",$Q386&gt;=EDATE($AB386,-FenetreFinCarriere*12),$Q386&lt;=$AB386),"Planifié dans la fenêtre",IF(AND(MAX($P386,DateRef)&gt;=EDATE($AB386,-FenetreFinCarriere*12),MAX($P386,DateRef)&lt;=$AB386),"Prochain EPP dans la fenêtre",IF(MAX($P386,DateRef)&gt;$AB386,"À programmer avant 60 ans",""))))))))</f>
        <v/>
      </c>
      <c r="AD386" s="40"/>
      <c r="AE386" s="43" t="str">
        <f aca="false">IF(OR($B386="",$H386="",AND($I386&lt;&gt;"",$I386&lt;=DateRef)),"",MAX($H386,$AD386,IF($A386="",0,SUMPRODUCT(MAX((Journal!$A$6:$A$1005=$A386)*((Journal!$D$6:$D$1005=TypeEDL)+(Journal!$D$6:$D$1005=TypeBilan6))*Journal!$C$6:$C$1005)))))</f>
        <v/>
      </c>
      <c r="AF386" s="43" t="str">
        <f aca="false">IF($AE386="","",IF(AND(ReglesTransitoires="Oui",EDATE($AE386,AnciennePeriodiciteEDL*12)&lt;DateVigueur),EDATE($AE386,AnciennePeriodiciteEDL*12),EDATE($AE386,PeriodiciteEDL*12)))</f>
        <v/>
      </c>
      <c r="AG386" s="42" t="str">
        <f aca="false">IF($AF386="","",IF(AND($I386&lt;&gt;"",$I386&lt;=DateRef),"",IF($AF386&lt;DateRef,"En retard",IF($AF386-DateRef&lt;=SeuilAlerteEDL,"À prévoir","À jour"))))</f>
        <v/>
      </c>
      <c r="AH386" s="39"/>
      <c r="AI386" s="39"/>
      <c r="AJ386" s="42" t="str">
        <f aca="false">IF(OR($B386="",$H386=""),"",IF(AND($I386&lt;&gt;"",$I386&lt;=DateRef),"",IF(Effectif&lt;SeuilEffectif,"Non concerné (&lt; "&amp;SeuilEffectif&amp;" salariés)",IF($AH386="Oui","Pas de risque",IF(AND(OR($AI386="Non",$S386="En retard"),$AH386="Non"),"Risque abondement",IF(OR($AI386="Non",$S386="En retard"),"À vérifier (formation ?)",IF($AI386="Oui","Pas de risque","À compléter")))))))</f>
        <v/>
      </c>
      <c r="AK386" s="39"/>
    </row>
    <row r="387" customFormat="false" ht="15" hidden="false" customHeight="false" outlineLevel="0" collapsed="false">
      <c r="A387" s="39"/>
      <c r="B387" s="39"/>
      <c r="C387" s="39"/>
      <c r="D387" s="39"/>
      <c r="E387" s="39"/>
      <c r="F387" s="39"/>
      <c r="G387" s="40"/>
      <c r="H387" s="40"/>
      <c r="I387" s="40"/>
      <c r="J387" s="41" t="str">
        <f aca="false">IF(OR($B387="",$H387=""),"",IF($H387&gt;DateRef,0,YEARFRAC($H387,DateRef,1)))</f>
        <v/>
      </c>
      <c r="K387" s="42" t="str">
        <f aca="false">IF(OR($B387="",$H387=""),"",IF(EDATE($H387,12)&lt;=DateRef,"Plus d'un an","Moins d'un an"))</f>
        <v/>
      </c>
      <c r="L387" s="40"/>
      <c r="M387" s="43" t="str">
        <f aca="false">IF(OR($B387="",$A387=""),"",IF(SUMPRODUCT(MAX((Journal!$A$6:$A$1005=$A387)*Journal!$C$6:$C$1005))=0,"",SUMPRODUCT(MAX((Journal!$A$6:$A$1005=$A387)*Journal!$C$6:$C$1005))))</f>
        <v/>
      </c>
      <c r="N387" s="43" t="str">
        <f aca="false">IF($B387="","",IF(MAX($L387,$M387)=0,"",MAX($L387,$M387)))</f>
        <v/>
      </c>
      <c r="O387" s="44" t="str">
        <f aca="false">IF(OR($B387="",$H387=""),"",IF($N387="",IF(EDATE($H387,DelaiPremierEPP)&gt;DateRef,"1er EPP (1re année)","Aucun entretien renseigné"),IF(AND(ReglesTransitoires="Oui",EDATE($N387,AnciennePeriodiciteEP*12)&lt;DateVigueur),"Retard antérieur à la réforme","Périodicité "&amp;PeriodiciteEPP&amp;" ans")))</f>
        <v/>
      </c>
      <c r="P387" s="43" t="str">
        <f aca="false">IF(OR($B387="",$H387=""),"",IF($N387="",EDATE($H387,DelaiPremierEPP),IF(AND(ReglesTransitoires="Oui",EDATE($N387,AnciennePeriodiciteEP*12)&lt;DateVigueur),EDATE($N387,AnciennePeriodiciteEP*12),EDATE($N387,PeriodiciteEPP*12))))</f>
        <v/>
      </c>
      <c r="Q387" s="40"/>
      <c r="R387" s="45" t="str">
        <f aca="false">IF(OR($P387="",AND($I387&lt;&gt;"",$I387&lt;=DateRef)),"",$P387-DateRef)</f>
        <v/>
      </c>
      <c r="S387" s="42" t="str">
        <f aca="false">IF($B387="","",IF(AND($I387&lt;&gt;"",$I387&lt;=DateRef),"Sorti",IF($H387="","À compléter",IF(AND($Q387&lt;&gt;"",$Q387&gt;=DateRef,$Q387&lt;=$P387),"Planifié",IF($R387&lt;0,"En retard",IF($R387&lt;=SeuilAlerteEPP,"À planifier","À jour"))))))</f>
        <v/>
      </c>
      <c r="T387" s="46" t="str">
        <f aca="false">IF(OR($B387="",$S387="Sorti"),"",MID(IF($H387=""," | Date d'embauche manquante","")&amp;IF(AND($K387="Plus d'un an",$N387="")," | Précédent entretien à renseigner (ancienneté &gt; 1 an)","")&amp;IF($O387="Retard antérieur à la réforme"," | Ancien délai de 2 ans expiré avant la réforme","")&amp;IF(AND($N387&lt;&gt;"",$H387&lt;&gt;"",$N387&lt;$H387)," | Entretien antérieur à l'embauche ?","")&amp;IF(AND($N387&lt;&gt;"",$N387&gt;DateRef)," | Entretien daté dans le futur ?","")&amp;IF(AND($Q387&lt;&gt;"",$P387&lt;&gt;"",$Q387&gt;$P387)," | Date prévue après l'échéance","")&amp;IF(AND($Q387&lt;&gt;"",$Q387&lt;DateRef,OR($N387="",$N387&lt;$Q387))," | Entretien prévu passé : le consigner au Journal","")&amp;IF(AND($G387&lt;&gt;"",$X387="",YEAR(DateRef)-YEAR($G387)&gt;=AgeMiCarriere-1,YEAR(DateRef)-YEAR($G387)&lt;=AgeMiCarriere+1)," | Visite de mi-carrière à vérifier",""),4,1000))</f>
        <v/>
      </c>
      <c r="U387" s="39"/>
      <c r="V387" s="40"/>
      <c r="W387" s="42" t="str">
        <f aca="false">IF(OR($B387="",$V387=""),"",IF(AND($I387&lt;&gt;"",$I387&lt;=DateRef),"",IF(AND($N387&lt;&gt;"",$N387&gt;=$V387),"Réalisé",IF(AND($N387&lt;&gt;"",$N387&gt;=EDATE($V387,-FenetreRetour)),"Dispensé (EPP récent)",IF($V387&gt;DateRef,"À prévoir à la reprise","À proposer (reprise passée)")))))</f>
        <v/>
      </c>
      <c r="X387" s="40"/>
      <c r="Y387" s="43" t="str">
        <f aca="false">IF(OR($B387="",$X387=""),"",EDATE($X387,DelaiMiCarriere))</f>
        <v/>
      </c>
      <c r="Z387" s="42" t="str">
        <f aca="false">IF(OR($B387="",$X387=""),"",IF(AND($I387&lt;&gt;"",$I387&lt;=DateRef),"",IF(AND($N387&lt;&gt;"",$N387&gt;=$X387),"Réalisé",IF($Y387&lt;DateRef,"En retard","À planifier"))))</f>
        <v/>
      </c>
      <c r="AA387" s="47" t="str">
        <f aca="false">IF(OR($B387="",$G387=""),"",IF($G387&gt;DateRef,"",DATEDIF($G387,DateRef,"y")))</f>
        <v/>
      </c>
      <c r="AB387" s="43" t="str">
        <f aca="false">IF(OR($B387="",$G387=""),"",EDATE($G387,AgeFinCarriere*12))</f>
        <v/>
      </c>
      <c r="AC387" s="42" t="str">
        <f aca="false">IF(OR($B387="",$G387="",$H387=""),"",IF(AND($I387&lt;&gt;"",$I387&lt;=DateRef),"",IF($AB387&lt;DateVigueur,"Non concerné",IF(AND($N387&lt;&gt;"",$N387&gt;=MAX(EDATE($AB387,-FenetreFinCarriere*12),DateVigueur),$N387&lt;=$AB387),"Réalisé",IF(DateRef&gt;$AB387,"Non réalisé",IF(AND($Q387&lt;&gt;"",$Q387&gt;=EDATE($AB387,-FenetreFinCarriere*12),$Q387&lt;=$AB387),"Planifié dans la fenêtre",IF(AND(MAX($P387,DateRef)&gt;=EDATE($AB387,-FenetreFinCarriere*12),MAX($P387,DateRef)&lt;=$AB387),"Prochain EPP dans la fenêtre",IF(MAX($P387,DateRef)&gt;$AB387,"À programmer avant 60 ans",""))))))))</f>
        <v/>
      </c>
      <c r="AD387" s="40"/>
      <c r="AE387" s="43" t="str">
        <f aca="false">IF(OR($B387="",$H387="",AND($I387&lt;&gt;"",$I387&lt;=DateRef)),"",MAX($H387,$AD387,IF($A387="",0,SUMPRODUCT(MAX((Journal!$A$6:$A$1005=$A387)*((Journal!$D$6:$D$1005=TypeEDL)+(Journal!$D$6:$D$1005=TypeBilan6))*Journal!$C$6:$C$1005)))))</f>
        <v/>
      </c>
      <c r="AF387" s="43" t="str">
        <f aca="false">IF($AE387="","",IF(AND(ReglesTransitoires="Oui",EDATE($AE387,AnciennePeriodiciteEDL*12)&lt;DateVigueur),EDATE($AE387,AnciennePeriodiciteEDL*12),EDATE($AE387,PeriodiciteEDL*12)))</f>
        <v/>
      </c>
      <c r="AG387" s="42" t="str">
        <f aca="false">IF($AF387="","",IF(AND($I387&lt;&gt;"",$I387&lt;=DateRef),"",IF($AF387&lt;DateRef,"En retard",IF($AF387-DateRef&lt;=SeuilAlerteEDL,"À prévoir","À jour"))))</f>
        <v/>
      </c>
      <c r="AH387" s="39"/>
      <c r="AI387" s="39"/>
      <c r="AJ387" s="42" t="str">
        <f aca="false">IF(OR($B387="",$H387=""),"",IF(AND($I387&lt;&gt;"",$I387&lt;=DateRef),"",IF(Effectif&lt;SeuilEffectif,"Non concerné (&lt; "&amp;SeuilEffectif&amp;" salariés)",IF($AH387="Oui","Pas de risque",IF(AND(OR($AI387="Non",$S387="En retard"),$AH387="Non"),"Risque abondement",IF(OR($AI387="Non",$S387="En retard"),"À vérifier (formation ?)",IF($AI387="Oui","Pas de risque","À compléter")))))))</f>
        <v/>
      </c>
      <c r="AK387" s="39"/>
    </row>
    <row r="388" customFormat="false" ht="15" hidden="false" customHeight="false" outlineLevel="0" collapsed="false">
      <c r="A388" s="39"/>
      <c r="B388" s="39"/>
      <c r="C388" s="39"/>
      <c r="D388" s="39"/>
      <c r="E388" s="39"/>
      <c r="F388" s="39"/>
      <c r="G388" s="40"/>
      <c r="H388" s="40"/>
      <c r="I388" s="40"/>
      <c r="J388" s="41" t="str">
        <f aca="false">IF(OR($B388="",$H388=""),"",IF($H388&gt;DateRef,0,YEARFRAC($H388,DateRef,1)))</f>
        <v/>
      </c>
      <c r="K388" s="42" t="str">
        <f aca="false">IF(OR($B388="",$H388=""),"",IF(EDATE($H388,12)&lt;=DateRef,"Plus d'un an","Moins d'un an"))</f>
        <v/>
      </c>
      <c r="L388" s="40"/>
      <c r="M388" s="43" t="str">
        <f aca="false">IF(OR($B388="",$A388=""),"",IF(SUMPRODUCT(MAX((Journal!$A$6:$A$1005=$A388)*Journal!$C$6:$C$1005))=0,"",SUMPRODUCT(MAX((Journal!$A$6:$A$1005=$A388)*Journal!$C$6:$C$1005))))</f>
        <v/>
      </c>
      <c r="N388" s="43" t="str">
        <f aca="false">IF($B388="","",IF(MAX($L388,$M388)=0,"",MAX($L388,$M388)))</f>
        <v/>
      </c>
      <c r="O388" s="44" t="str">
        <f aca="false">IF(OR($B388="",$H388=""),"",IF($N388="",IF(EDATE($H388,DelaiPremierEPP)&gt;DateRef,"1er EPP (1re année)","Aucun entretien renseigné"),IF(AND(ReglesTransitoires="Oui",EDATE($N388,AnciennePeriodiciteEP*12)&lt;DateVigueur),"Retard antérieur à la réforme","Périodicité "&amp;PeriodiciteEPP&amp;" ans")))</f>
        <v/>
      </c>
      <c r="P388" s="43" t="str">
        <f aca="false">IF(OR($B388="",$H388=""),"",IF($N388="",EDATE($H388,DelaiPremierEPP),IF(AND(ReglesTransitoires="Oui",EDATE($N388,AnciennePeriodiciteEP*12)&lt;DateVigueur),EDATE($N388,AnciennePeriodiciteEP*12),EDATE($N388,PeriodiciteEPP*12))))</f>
        <v/>
      </c>
      <c r="Q388" s="40"/>
      <c r="R388" s="45" t="str">
        <f aca="false">IF(OR($P388="",AND($I388&lt;&gt;"",$I388&lt;=DateRef)),"",$P388-DateRef)</f>
        <v/>
      </c>
      <c r="S388" s="42" t="str">
        <f aca="false">IF($B388="","",IF(AND($I388&lt;&gt;"",$I388&lt;=DateRef),"Sorti",IF($H388="","À compléter",IF(AND($Q388&lt;&gt;"",$Q388&gt;=DateRef,$Q388&lt;=$P388),"Planifié",IF($R388&lt;0,"En retard",IF($R388&lt;=SeuilAlerteEPP,"À planifier","À jour"))))))</f>
        <v/>
      </c>
      <c r="T388" s="46" t="str">
        <f aca="false">IF(OR($B388="",$S388="Sorti"),"",MID(IF($H388=""," | Date d'embauche manquante","")&amp;IF(AND($K388="Plus d'un an",$N388="")," | Précédent entretien à renseigner (ancienneté &gt; 1 an)","")&amp;IF($O388="Retard antérieur à la réforme"," | Ancien délai de 2 ans expiré avant la réforme","")&amp;IF(AND($N388&lt;&gt;"",$H388&lt;&gt;"",$N388&lt;$H388)," | Entretien antérieur à l'embauche ?","")&amp;IF(AND($N388&lt;&gt;"",$N388&gt;DateRef)," | Entretien daté dans le futur ?","")&amp;IF(AND($Q388&lt;&gt;"",$P388&lt;&gt;"",$Q388&gt;$P388)," | Date prévue après l'échéance","")&amp;IF(AND($Q388&lt;&gt;"",$Q388&lt;DateRef,OR($N388="",$N388&lt;$Q388))," | Entretien prévu passé : le consigner au Journal","")&amp;IF(AND($G388&lt;&gt;"",$X388="",YEAR(DateRef)-YEAR($G388)&gt;=AgeMiCarriere-1,YEAR(DateRef)-YEAR($G388)&lt;=AgeMiCarriere+1)," | Visite de mi-carrière à vérifier",""),4,1000))</f>
        <v/>
      </c>
      <c r="U388" s="39"/>
      <c r="V388" s="40"/>
      <c r="W388" s="42" t="str">
        <f aca="false">IF(OR($B388="",$V388=""),"",IF(AND($I388&lt;&gt;"",$I388&lt;=DateRef),"",IF(AND($N388&lt;&gt;"",$N388&gt;=$V388),"Réalisé",IF(AND($N388&lt;&gt;"",$N388&gt;=EDATE($V388,-FenetreRetour)),"Dispensé (EPP récent)",IF($V388&gt;DateRef,"À prévoir à la reprise","À proposer (reprise passée)")))))</f>
        <v/>
      </c>
      <c r="X388" s="40"/>
      <c r="Y388" s="43" t="str">
        <f aca="false">IF(OR($B388="",$X388=""),"",EDATE($X388,DelaiMiCarriere))</f>
        <v/>
      </c>
      <c r="Z388" s="42" t="str">
        <f aca="false">IF(OR($B388="",$X388=""),"",IF(AND($I388&lt;&gt;"",$I388&lt;=DateRef),"",IF(AND($N388&lt;&gt;"",$N388&gt;=$X388),"Réalisé",IF($Y388&lt;DateRef,"En retard","À planifier"))))</f>
        <v/>
      </c>
      <c r="AA388" s="47" t="str">
        <f aca="false">IF(OR($B388="",$G388=""),"",IF($G388&gt;DateRef,"",DATEDIF($G388,DateRef,"y")))</f>
        <v/>
      </c>
      <c r="AB388" s="43" t="str">
        <f aca="false">IF(OR($B388="",$G388=""),"",EDATE($G388,AgeFinCarriere*12))</f>
        <v/>
      </c>
      <c r="AC388" s="42" t="str">
        <f aca="false">IF(OR($B388="",$G388="",$H388=""),"",IF(AND($I388&lt;&gt;"",$I388&lt;=DateRef),"",IF($AB388&lt;DateVigueur,"Non concerné",IF(AND($N388&lt;&gt;"",$N388&gt;=MAX(EDATE($AB388,-FenetreFinCarriere*12),DateVigueur),$N388&lt;=$AB388),"Réalisé",IF(DateRef&gt;$AB388,"Non réalisé",IF(AND($Q388&lt;&gt;"",$Q388&gt;=EDATE($AB388,-FenetreFinCarriere*12),$Q388&lt;=$AB388),"Planifié dans la fenêtre",IF(AND(MAX($P388,DateRef)&gt;=EDATE($AB388,-FenetreFinCarriere*12),MAX($P388,DateRef)&lt;=$AB388),"Prochain EPP dans la fenêtre",IF(MAX($P388,DateRef)&gt;$AB388,"À programmer avant 60 ans",""))))))))</f>
        <v/>
      </c>
      <c r="AD388" s="40"/>
      <c r="AE388" s="43" t="str">
        <f aca="false">IF(OR($B388="",$H388="",AND($I388&lt;&gt;"",$I388&lt;=DateRef)),"",MAX($H388,$AD388,IF($A388="",0,SUMPRODUCT(MAX((Journal!$A$6:$A$1005=$A388)*((Journal!$D$6:$D$1005=TypeEDL)+(Journal!$D$6:$D$1005=TypeBilan6))*Journal!$C$6:$C$1005)))))</f>
        <v/>
      </c>
      <c r="AF388" s="43" t="str">
        <f aca="false">IF($AE388="","",IF(AND(ReglesTransitoires="Oui",EDATE($AE388,AnciennePeriodiciteEDL*12)&lt;DateVigueur),EDATE($AE388,AnciennePeriodiciteEDL*12),EDATE($AE388,PeriodiciteEDL*12)))</f>
        <v/>
      </c>
      <c r="AG388" s="42" t="str">
        <f aca="false">IF($AF388="","",IF(AND($I388&lt;&gt;"",$I388&lt;=DateRef),"",IF($AF388&lt;DateRef,"En retard",IF($AF388-DateRef&lt;=SeuilAlerteEDL,"À prévoir","À jour"))))</f>
        <v/>
      </c>
      <c r="AH388" s="39"/>
      <c r="AI388" s="39"/>
      <c r="AJ388" s="42" t="str">
        <f aca="false">IF(OR($B388="",$H388=""),"",IF(AND($I388&lt;&gt;"",$I388&lt;=DateRef),"",IF(Effectif&lt;SeuilEffectif,"Non concerné (&lt; "&amp;SeuilEffectif&amp;" salariés)",IF($AH388="Oui","Pas de risque",IF(AND(OR($AI388="Non",$S388="En retard"),$AH388="Non"),"Risque abondement",IF(OR($AI388="Non",$S388="En retard"),"À vérifier (formation ?)",IF($AI388="Oui","Pas de risque","À compléter")))))))</f>
        <v/>
      </c>
      <c r="AK388" s="39"/>
    </row>
    <row r="389" customFormat="false" ht="15" hidden="false" customHeight="false" outlineLevel="0" collapsed="false">
      <c r="A389" s="39"/>
      <c r="B389" s="39"/>
      <c r="C389" s="39"/>
      <c r="D389" s="39"/>
      <c r="E389" s="39"/>
      <c r="F389" s="39"/>
      <c r="G389" s="40"/>
      <c r="H389" s="40"/>
      <c r="I389" s="40"/>
      <c r="J389" s="41" t="str">
        <f aca="false">IF(OR($B389="",$H389=""),"",IF($H389&gt;DateRef,0,YEARFRAC($H389,DateRef,1)))</f>
        <v/>
      </c>
      <c r="K389" s="42" t="str">
        <f aca="false">IF(OR($B389="",$H389=""),"",IF(EDATE($H389,12)&lt;=DateRef,"Plus d'un an","Moins d'un an"))</f>
        <v/>
      </c>
      <c r="L389" s="40"/>
      <c r="M389" s="43" t="str">
        <f aca="false">IF(OR($B389="",$A389=""),"",IF(SUMPRODUCT(MAX((Journal!$A$6:$A$1005=$A389)*Journal!$C$6:$C$1005))=0,"",SUMPRODUCT(MAX((Journal!$A$6:$A$1005=$A389)*Journal!$C$6:$C$1005))))</f>
        <v/>
      </c>
      <c r="N389" s="43" t="str">
        <f aca="false">IF($B389="","",IF(MAX($L389,$M389)=0,"",MAX($L389,$M389)))</f>
        <v/>
      </c>
      <c r="O389" s="44" t="str">
        <f aca="false">IF(OR($B389="",$H389=""),"",IF($N389="",IF(EDATE($H389,DelaiPremierEPP)&gt;DateRef,"1er EPP (1re année)","Aucun entretien renseigné"),IF(AND(ReglesTransitoires="Oui",EDATE($N389,AnciennePeriodiciteEP*12)&lt;DateVigueur),"Retard antérieur à la réforme","Périodicité "&amp;PeriodiciteEPP&amp;" ans")))</f>
        <v/>
      </c>
      <c r="P389" s="43" t="str">
        <f aca="false">IF(OR($B389="",$H389=""),"",IF($N389="",EDATE($H389,DelaiPremierEPP),IF(AND(ReglesTransitoires="Oui",EDATE($N389,AnciennePeriodiciteEP*12)&lt;DateVigueur),EDATE($N389,AnciennePeriodiciteEP*12),EDATE($N389,PeriodiciteEPP*12))))</f>
        <v/>
      </c>
      <c r="Q389" s="40"/>
      <c r="R389" s="45" t="str">
        <f aca="false">IF(OR($P389="",AND($I389&lt;&gt;"",$I389&lt;=DateRef)),"",$P389-DateRef)</f>
        <v/>
      </c>
      <c r="S389" s="42" t="str">
        <f aca="false">IF($B389="","",IF(AND($I389&lt;&gt;"",$I389&lt;=DateRef),"Sorti",IF($H389="","À compléter",IF(AND($Q389&lt;&gt;"",$Q389&gt;=DateRef,$Q389&lt;=$P389),"Planifié",IF($R389&lt;0,"En retard",IF($R389&lt;=SeuilAlerteEPP,"À planifier","À jour"))))))</f>
        <v/>
      </c>
      <c r="T389" s="46" t="str">
        <f aca="false">IF(OR($B389="",$S389="Sorti"),"",MID(IF($H389=""," | Date d'embauche manquante","")&amp;IF(AND($K389="Plus d'un an",$N389="")," | Précédent entretien à renseigner (ancienneté &gt; 1 an)","")&amp;IF($O389="Retard antérieur à la réforme"," | Ancien délai de 2 ans expiré avant la réforme","")&amp;IF(AND($N389&lt;&gt;"",$H389&lt;&gt;"",$N389&lt;$H389)," | Entretien antérieur à l'embauche ?","")&amp;IF(AND($N389&lt;&gt;"",$N389&gt;DateRef)," | Entretien daté dans le futur ?","")&amp;IF(AND($Q389&lt;&gt;"",$P389&lt;&gt;"",$Q389&gt;$P389)," | Date prévue après l'échéance","")&amp;IF(AND($Q389&lt;&gt;"",$Q389&lt;DateRef,OR($N389="",$N389&lt;$Q389))," | Entretien prévu passé : le consigner au Journal","")&amp;IF(AND($G389&lt;&gt;"",$X389="",YEAR(DateRef)-YEAR($G389)&gt;=AgeMiCarriere-1,YEAR(DateRef)-YEAR($G389)&lt;=AgeMiCarriere+1)," | Visite de mi-carrière à vérifier",""),4,1000))</f>
        <v/>
      </c>
      <c r="U389" s="39"/>
      <c r="V389" s="40"/>
      <c r="W389" s="42" t="str">
        <f aca="false">IF(OR($B389="",$V389=""),"",IF(AND($I389&lt;&gt;"",$I389&lt;=DateRef),"",IF(AND($N389&lt;&gt;"",$N389&gt;=$V389),"Réalisé",IF(AND($N389&lt;&gt;"",$N389&gt;=EDATE($V389,-FenetreRetour)),"Dispensé (EPP récent)",IF($V389&gt;DateRef,"À prévoir à la reprise","À proposer (reprise passée)")))))</f>
        <v/>
      </c>
      <c r="X389" s="40"/>
      <c r="Y389" s="43" t="str">
        <f aca="false">IF(OR($B389="",$X389=""),"",EDATE($X389,DelaiMiCarriere))</f>
        <v/>
      </c>
      <c r="Z389" s="42" t="str">
        <f aca="false">IF(OR($B389="",$X389=""),"",IF(AND($I389&lt;&gt;"",$I389&lt;=DateRef),"",IF(AND($N389&lt;&gt;"",$N389&gt;=$X389),"Réalisé",IF($Y389&lt;DateRef,"En retard","À planifier"))))</f>
        <v/>
      </c>
      <c r="AA389" s="47" t="str">
        <f aca="false">IF(OR($B389="",$G389=""),"",IF($G389&gt;DateRef,"",DATEDIF($G389,DateRef,"y")))</f>
        <v/>
      </c>
      <c r="AB389" s="43" t="str">
        <f aca="false">IF(OR($B389="",$G389=""),"",EDATE($G389,AgeFinCarriere*12))</f>
        <v/>
      </c>
      <c r="AC389" s="42" t="str">
        <f aca="false">IF(OR($B389="",$G389="",$H389=""),"",IF(AND($I389&lt;&gt;"",$I389&lt;=DateRef),"",IF($AB389&lt;DateVigueur,"Non concerné",IF(AND($N389&lt;&gt;"",$N389&gt;=MAX(EDATE($AB389,-FenetreFinCarriere*12),DateVigueur),$N389&lt;=$AB389),"Réalisé",IF(DateRef&gt;$AB389,"Non réalisé",IF(AND($Q389&lt;&gt;"",$Q389&gt;=EDATE($AB389,-FenetreFinCarriere*12),$Q389&lt;=$AB389),"Planifié dans la fenêtre",IF(AND(MAX($P389,DateRef)&gt;=EDATE($AB389,-FenetreFinCarriere*12),MAX($P389,DateRef)&lt;=$AB389),"Prochain EPP dans la fenêtre",IF(MAX($P389,DateRef)&gt;$AB389,"À programmer avant 60 ans",""))))))))</f>
        <v/>
      </c>
      <c r="AD389" s="40"/>
      <c r="AE389" s="43" t="str">
        <f aca="false">IF(OR($B389="",$H389="",AND($I389&lt;&gt;"",$I389&lt;=DateRef)),"",MAX($H389,$AD389,IF($A389="",0,SUMPRODUCT(MAX((Journal!$A$6:$A$1005=$A389)*((Journal!$D$6:$D$1005=TypeEDL)+(Journal!$D$6:$D$1005=TypeBilan6))*Journal!$C$6:$C$1005)))))</f>
        <v/>
      </c>
      <c r="AF389" s="43" t="str">
        <f aca="false">IF($AE389="","",IF(AND(ReglesTransitoires="Oui",EDATE($AE389,AnciennePeriodiciteEDL*12)&lt;DateVigueur),EDATE($AE389,AnciennePeriodiciteEDL*12),EDATE($AE389,PeriodiciteEDL*12)))</f>
        <v/>
      </c>
      <c r="AG389" s="42" t="str">
        <f aca="false">IF($AF389="","",IF(AND($I389&lt;&gt;"",$I389&lt;=DateRef),"",IF($AF389&lt;DateRef,"En retard",IF($AF389-DateRef&lt;=SeuilAlerteEDL,"À prévoir","À jour"))))</f>
        <v/>
      </c>
      <c r="AH389" s="39"/>
      <c r="AI389" s="39"/>
      <c r="AJ389" s="42" t="str">
        <f aca="false">IF(OR($B389="",$H389=""),"",IF(AND($I389&lt;&gt;"",$I389&lt;=DateRef),"",IF(Effectif&lt;SeuilEffectif,"Non concerné (&lt; "&amp;SeuilEffectif&amp;" salariés)",IF($AH389="Oui","Pas de risque",IF(AND(OR($AI389="Non",$S389="En retard"),$AH389="Non"),"Risque abondement",IF(OR($AI389="Non",$S389="En retard"),"À vérifier (formation ?)",IF($AI389="Oui","Pas de risque","À compléter")))))))</f>
        <v/>
      </c>
      <c r="AK389" s="39"/>
    </row>
    <row r="390" customFormat="false" ht="15" hidden="false" customHeight="false" outlineLevel="0" collapsed="false">
      <c r="A390" s="39"/>
      <c r="B390" s="39"/>
      <c r="C390" s="39"/>
      <c r="D390" s="39"/>
      <c r="E390" s="39"/>
      <c r="F390" s="39"/>
      <c r="G390" s="40"/>
      <c r="H390" s="40"/>
      <c r="I390" s="40"/>
      <c r="J390" s="41" t="str">
        <f aca="false">IF(OR($B390="",$H390=""),"",IF($H390&gt;DateRef,0,YEARFRAC($H390,DateRef,1)))</f>
        <v/>
      </c>
      <c r="K390" s="42" t="str">
        <f aca="false">IF(OR($B390="",$H390=""),"",IF(EDATE($H390,12)&lt;=DateRef,"Plus d'un an","Moins d'un an"))</f>
        <v/>
      </c>
      <c r="L390" s="40"/>
      <c r="M390" s="43" t="str">
        <f aca="false">IF(OR($B390="",$A390=""),"",IF(SUMPRODUCT(MAX((Journal!$A$6:$A$1005=$A390)*Journal!$C$6:$C$1005))=0,"",SUMPRODUCT(MAX((Journal!$A$6:$A$1005=$A390)*Journal!$C$6:$C$1005))))</f>
        <v/>
      </c>
      <c r="N390" s="43" t="str">
        <f aca="false">IF($B390="","",IF(MAX($L390,$M390)=0,"",MAX($L390,$M390)))</f>
        <v/>
      </c>
      <c r="O390" s="44" t="str">
        <f aca="false">IF(OR($B390="",$H390=""),"",IF($N390="",IF(EDATE($H390,DelaiPremierEPP)&gt;DateRef,"1er EPP (1re année)","Aucun entretien renseigné"),IF(AND(ReglesTransitoires="Oui",EDATE($N390,AnciennePeriodiciteEP*12)&lt;DateVigueur),"Retard antérieur à la réforme","Périodicité "&amp;PeriodiciteEPP&amp;" ans")))</f>
        <v/>
      </c>
      <c r="P390" s="43" t="str">
        <f aca="false">IF(OR($B390="",$H390=""),"",IF($N390="",EDATE($H390,DelaiPremierEPP),IF(AND(ReglesTransitoires="Oui",EDATE($N390,AnciennePeriodiciteEP*12)&lt;DateVigueur),EDATE($N390,AnciennePeriodiciteEP*12),EDATE($N390,PeriodiciteEPP*12))))</f>
        <v/>
      </c>
      <c r="Q390" s="40"/>
      <c r="R390" s="45" t="str">
        <f aca="false">IF(OR($P390="",AND($I390&lt;&gt;"",$I390&lt;=DateRef)),"",$P390-DateRef)</f>
        <v/>
      </c>
      <c r="S390" s="42" t="str">
        <f aca="false">IF($B390="","",IF(AND($I390&lt;&gt;"",$I390&lt;=DateRef),"Sorti",IF($H390="","À compléter",IF(AND($Q390&lt;&gt;"",$Q390&gt;=DateRef,$Q390&lt;=$P390),"Planifié",IF($R390&lt;0,"En retard",IF($R390&lt;=SeuilAlerteEPP,"À planifier","À jour"))))))</f>
        <v/>
      </c>
      <c r="T390" s="46" t="str">
        <f aca="false">IF(OR($B390="",$S390="Sorti"),"",MID(IF($H390=""," | Date d'embauche manquante","")&amp;IF(AND($K390="Plus d'un an",$N390="")," | Précédent entretien à renseigner (ancienneté &gt; 1 an)","")&amp;IF($O390="Retard antérieur à la réforme"," | Ancien délai de 2 ans expiré avant la réforme","")&amp;IF(AND($N390&lt;&gt;"",$H390&lt;&gt;"",$N390&lt;$H390)," | Entretien antérieur à l'embauche ?","")&amp;IF(AND($N390&lt;&gt;"",$N390&gt;DateRef)," | Entretien daté dans le futur ?","")&amp;IF(AND($Q390&lt;&gt;"",$P390&lt;&gt;"",$Q390&gt;$P390)," | Date prévue après l'échéance","")&amp;IF(AND($Q390&lt;&gt;"",$Q390&lt;DateRef,OR($N390="",$N390&lt;$Q390))," | Entretien prévu passé : le consigner au Journal","")&amp;IF(AND($G390&lt;&gt;"",$X390="",YEAR(DateRef)-YEAR($G390)&gt;=AgeMiCarriere-1,YEAR(DateRef)-YEAR($G390)&lt;=AgeMiCarriere+1)," | Visite de mi-carrière à vérifier",""),4,1000))</f>
        <v/>
      </c>
      <c r="U390" s="39"/>
      <c r="V390" s="40"/>
      <c r="W390" s="42" t="str">
        <f aca="false">IF(OR($B390="",$V390=""),"",IF(AND($I390&lt;&gt;"",$I390&lt;=DateRef),"",IF(AND($N390&lt;&gt;"",$N390&gt;=$V390),"Réalisé",IF(AND($N390&lt;&gt;"",$N390&gt;=EDATE($V390,-FenetreRetour)),"Dispensé (EPP récent)",IF($V390&gt;DateRef,"À prévoir à la reprise","À proposer (reprise passée)")))))</f>
        <v/>
      </c>
      <c r="X390" s="40"/>
      <c r="Y390" s="43" t="str">
        <f aca="false">IF(OR($B390="",$X390=""),"",EDATE($X390,DelaiMiCarriere))</f>
        <v/>
      </c>
      <c r="Z390" s="42" t="str">
        <f aca="false">IF(OR($B390="",$X390=""),"",IF(AND($I390&lt;&gt;"",$I390&lt;=DateRef),"",IF(AND($N390&lt;&gt;"",$N390&gt;=$X390),"Réalisé",IF($Y390&lt;DateRef,"En retard","À planifier"))))</f>
        <v/>
      </c>
      <c r="AA390" s="47" t="str">
        <f aca="false">IF(OR($B390="",$G390=""),"",IF($G390&gt;DateRef,"",DATEDIF($G390,DateRef,"y")))</f>
        <v/>
      </c>
      <c r="AB390" s="43" t="str">
        <f aca="false">IF(OR($B390="",$G390=""),"",EDATE($G390,AgeFinCarriere*12))</f>
        <v/>
      </c>
      <c r="AC390" s="42" t="str">
        <f aca="false">IF(OR($B390="",$G390="",$H390=""),"",IF(AND($I390&lt;&gt;"",$I390&lt;=DateRef),"",IF($AB390&lt;DateVigueur,"Non concerné",IF(AND($N390&lt;&gt;"",$N390&gt;=MAX(EDATE($AB390,-FenetreFinCarriere*12),DateVigueur),$N390&lt;=$AB390),"Réalisé",IF(DateRef&gt;$AB390,"Non réalisé",IF(AND($Q390&lt;&gt;"",$Q390&gt;=EDATE($AB390,-FenetreFinCarriere*12),$Q390&lt;=$AB390),"Planifié dans la fenêtre",IF(AND(MAX($P390,DateRef)&gt;=EDATE($AB390,-FenetreFinCarriere*12),MAX($P390,DateRef)&lt;=$AB390),"Prochain EPP dans la fenêtre",IF(MAX($P390,DateRef)&gt;$AB390,"À programmer avant 60 ans",""))))))))</f>
        <v/>
      </c>
      <c r="AD390" s="40"/>
      <c r="AE390" s="43" t="str">
        <f aca="false">IF(OR($B390="",$H390="",AND($I390&lt;&gt;"",$I390&lt;=DateRef)),"",MAX($H390,$AD390,IF($A390="",0,SUMPRODUCT(MAX((Journal!$A$6:$A$1005=$A390)*((Journal!$D$6:$D$1005=TypeEDL)+(Journal!$D$6:$D$1005=TypeBilan6))*Journal!$C$6:$C$1005)))))</f>
        <v/>
      </c>
      <c r="AF390" s="43" t="str">
        <f aca="false">IF($AE390="","",IF(AND(ReglesTransitoires="Oui",EDATE($AE390,AnciennePeriodiciteEDL*12)&lt;DateVigueur),EDATE($AE390,AnciennePeriodiciteEDL*12),EDATE($AE390,PeriodiciteEDL*12)))</f>
        <v/>
      </c>
      <c r="AG390" s="42" t="str">
        <f aca="false">IF($AF390="","",IF(AND($I390&lt;&gt;"",$I390&lt;=DateRef),"",IF($AF390&lt;DateRef,"En retard",IF($AF390-DateRef&lt;=SeuilAlerteEDL,"À prévoir","À jour"))))</f>
        <v/>
      </c>
      <c r="AH390" s="39"/>
      <c r="AI390" s="39"/>
      <c r="AJ390" s="42" t="str">
        <f aca="false">IF(OR($B390="",$H390=""),"",IF(AND($I390&lt;&gt;"",$I390&lt;=DateRef),"",IF(Effectif&lt;SeuilEffectif,"Non concerné (&lt; "&amp;SeuilEffectif&amp;" salariés)",IF($AH390="Oui","Pas de risque",IF(AND(OR($AI390="Non",$S390="En retard"),$AH390="Non"),"Risque abondement",IF(OR($AI390="Non",$S390="En retard"),"À vérifier (formation ?)",IF($AI390="Oui","Pas de risque","À compléter")))))))</f>
        <v/>
      </c>
      <c r="AK390" s="39"/>
    </row>
    <row r="391" customFormat="false" ht="15" hidden="false" customHeight="false" outlineLevel="0" collapsed="false">
      <c r="A391" s="39"/>
      <c r="B391" s="39"/>
      <c r="C391" s="39"/>
      <c r="D391" s="39"/>
      <c r="E391" s="39"/>
      <c r="F391" s="39"/>
      <c r="G391" s="40"/>
      <c r="H391" s="40"/>
      <c r="I391" s="40"/>
      <c r="J391" s="41" t="str">
        <f aca="false">IF(OR($B391="",$H391=""),"",IF($H391&gt;DateRef,0,YEARFRAC($H391,DateRef,1)))</f>
        <v/>
      </c>
      <c r="K391" s="42" t="str">
        <f aca="false">IF(OR($B391="",$H391=""),"",IF(EDATE($H391,12)&lt;=DateRef,"Plus d'un an","Moins d'un an"))</f>
        <v/>
      </c>
      <c r="L391" s="40"/>
      <c r="M391" s="43" t="str">
        <f aca="false">IF(OR($B391="",$A391=""),"",IF(SUMPRODUCT(MAX((Journal!$A$6:$A$1005=$A391)*Journal!$C$6:$C$1005))=0,"",SUMPRODUCT(MAX((Journal!$A$6:$A$1005=$A391)*Journal!$C$6:$C$1005))))</f>
        <v/>
      </c>
      <c r="N391" s="43" t="str">
        <f aca="false">IF($B391="","",IF(MAX($L391,$M391)=0,"",MAX($L391,$M391)))</f>
        <v/>
      </c>
      <c r="O391" s="44" t="str">
        <f aca="false">IF(OR($B391="",$H391=""),"",IF($N391="",IF(EDATE($H391,DelaiPremierEPP)&gt;DateRef,"1er EPP (1re année)","Aucun entretien renseigné"),IF(AND(ReglesTransitoires="Oui",EDATE($N391,AnciennePeriodiciteEP*12)&lt;DateVigueur),"Retard antérieur à la réforme","Périodicité "&amp;PeriodiciteEPP&amp;" ans")))</f>
        <v/>
      </c>
      <c r="P391" s="43" t="str">
        <f aca="false">IF(OR($B391="",$H391=""),"",IF($N391="",EDATE($H391,DelaiPremierEPP),IF(AND(ReglesTransitoires="Oui",EDATE($N391,AnciennePeriodiciteEP*12)&lt;DateVigueur),EDATE($N391,AnciennePeriodiciteEP*12),EDATE($N391,PeriodiciteEPP*12))))</f>
        <v/>
      </c>
      <c r="Q391" s="40"/>
      <c r="R391" s="45" t="str">
        <f aca="false">IF(OR($P391="",AND($I391&lt;&gt;"",$I391&lt;=DateRef)),"",$P391-DateRef)</f>
        <v/>
      </c>
      <c r="S391" s="42" t="str">
        <f aca="false">IF($B391="","",IF(AND($I391&lt;&gt;"",$I391&lt;=DateRef),"Sorti",IF($H391="","À compléter",IF(AND($Q391&lt;&gt;"",$Q391&gt;=DateRef,$Q391&lt;=$P391),"Planifié",IF($R391&lt;0,"En retard",IF($R391&lt;=SeuilAlerteEPP,"À planifier","À jour"))))))</f>
        <v/>
      </c>
      <c r="T391" s="46" t="str">
        <f aca="false">IF(OR($B391="",$S391="Sorti"),"",MID(IF($H391=""," | Date d'embauche manquante","")&amp;IF(AND($K391="Plus d'un an",$N391="")," | Précédent entretien à renseigner (ancienneté &gt; 1 an)","")&amp;IF($O391="Retard antérieur à la réforme"," | Ancien délai de 2 ans expiré avant la réforme","")&amp;IF(AND($N391&lt;&gt;"",$H391&lt;&gt;"",$N391&lt;$H391)," | Entretien antérieur à l'embauche ?","")&amp;IF(AND($N391&lt;&gt;"",$N391&gt;DateRef)," | Entretien daté dans le futur ?","")&amp;IF(AND($Q391&lt;&gt;"",$P391&lt;&gt;"",$Q391&gt;$P391)," | Date prévue après l'échéance","")&amp;IF(AND($Q391&lt;&gt;"",$Q391&lt;DateRef,OR($N391="",$N391&lt;$Q391))," | Entretien prévu passé : le consigner au Journal","")&amp;IF(AND($G391&lt;&gt;"",$X391="",YEAR(DateRef)-YEAR($G391)&gt;=AgeMiCarriere-1,YEAR(DateRef)-YEAR($G391)&lt;=AgeMiCarriere+1)," | Visite de mi-carrière à vérifier",""),4,1000))</f>
        <v/>
      </c>
      <c r="U391" s="39"/>
      <c r="V391" s="40"/>
      <c r="W391" s="42" t="str">
        <f aca="false">IF(OR($B391="",$V391=""),"",IF(AND($I391&lt;&gt;"",$I391&lt;=DateRef),"",IF(AND($N391&lt;&gt;"",$N391&gt;=$V391),"Réalisé",IF(AND($N391&lt;&gt;"",$N391&gt;=EDATE($V391,-FenetreRetour)),"Dispensé (EPP récent)",IF($V391&gt;DateRef,"À prévoir à la reprise","À proposer (reprise passée)")))))</f>
        <v/>
      </c>
      <c r="X391" s="40"/>
      <c r="Y391" s="43" t="str">
        <f aca="false">IF(OR($B391="",$X391=""),"",EDATE($X391,DelaiMiCarriere))</f>
        <v/>
      </c>
      <c r="Z391" s="42" t="str">
        <f aca="false">IF(OR($B391="",$X391=""),"",IF(AND($I391&lt;&gt;"",$I391&lt;=DateRef),"",IF(AND($N391&lt;&gt;"",$N391&gt;=$X391),"Réalisé",IF($Y391&lt;DateRef,"En retard","À planifier"))))</f>
        <v/>
      </c>
      <c r="AA391" s="47" t="str">
        <f aca="false">IF(OR($B391="",$G391=""),"",IF($G391&gt;DateRef,"",DATEDIF($G391,DateRef,"y")))</f>
        <v/>
      </c>
      <c r="AB391" s="43" t="str">
        <f aca="false">IF(OR($B391="",$G391=""),"",EDATE($G391,AgeFinCarriere*12))</f>
        <v/>
      </c>
      <c r="AC391" s="42" t="str">
        <f aca="false">IF(OR($B391="",$G391="",$H391=""),"",IF(AND($I391&lt;&gt;"",$I391&lt;=DateRef),"",IF($AB391&lt;DateVigueur,"Non concerné",IF(AND($N391&lt;&gt;"",$N391&gt;=MAX(EDATE($AB391,-FenetreFinCarriere*12),DateVigueur),$N391&lt;=$AB391),"Réalisé",IF(DateRef&gt;$AB391,"Non réalisé",IF(AND($Q391&lt;&gt;"",$Q391&gt;=EDATE($AB391,-FenetreFinCarriere*12),$Q391&lt;=$AB391),"Planifié dans la fenêtre",IF(AND(MAX($P391,DateRef)&gt;=EDATE($AB391,-FenetreFinCarriere*12),MAX($P391,DateRef)&lt;=$AB391),"Prochain EPP dans la fenêtre",IF(MAX($P391,DateRef)&gt;$AB391,"À programmer avant 60 ans",""))))))))</f>
        <v/>
      </c>
      <c r="AD391" s="40"/>
      <c r="AE391" s="43" t="str">
        <f aca="false">IF(OR($B391="",$H391="",AND($I391&lt;&gt;"",$I391&lt;=DateRef)),"",MAX($H391,$AD391,IF($A391="",0,SUMPRODUCT(MAX((Journal!$A$6:$A$1005=$A391)*((Journal!$D$6:$D$1005=TypeEDL)+(Journal!$D$6:$D$1005=TypeBilan6))*Journal!$C$6:$C$1005)))))</f>
        <v/>
      </c>
      <c r="AF391" s="43" t="str">
        <f aca="false">IF($AE391="","",IF(AND(ReglesTransitoires="Oui",EDATE($AE391,AnciennePeriodiciteEDL*12)&lt;DateVigueur),EDATE($AE391,AnciennePeriodiciteEDL*12),EDATE($AE391,PeriodiciteEDL*12)))</f>
        <v/>
      </c>
      <c r="AG391" s="42" t="str">
        <f aca="false">IF($AF391="","",IF(AND($I391&lt;&gt;"",$I391&lt;=DateRef),"",IF($AF391&lt;DateRef,"En retard",IF($AF391-DateRef&lt;=SeuilAlerteEDL,"À prévoir","À jour"))))</f>
        <v/>
      </c>
      <c r="AH391" s="39"/>
      <c r="AI391" s="39"/>
      <c r="AJ391" s="42" t="str">
        <f aca="false">IF(OR($B391="",$H391=""),"",IF(AND($I391&lt;&gt;"",$I391&lt;=DateRef),"",IF(Effectif&lt;SeuilEffectif,"Non concerné (&lt; "&amp;SeuilEffectif&amp;" salariés)",IF($AH391="Oui","Pas de risque",IF(AND(OR($AI391="Non",$S391="En retard"),$AH391="Non"),"Risque abondement",IF(OR($AI391="Non",$S391="En retard"),"À vérifier (formation ?)",IF($AI391="Oui","Pas de risque","À compléter")))))))</f>
        <v/>
      </c>
      <c r="AK391" s="39"/>
    </row>
    <row r="392" customFormat="false" ht="15" hidden="false" customHeight="false" outlineLevel="0" collapsed="false">
      <c r="A392" s="39"/>
      <c r="B392" s="39"/>
      <c r="C392" s="39"/>
      <c r="D392" s="39"/>
      <c r="E392" s="39"/>
      <c r="F392" s="39"/>
      <c r="G392" s="40"/>
      <c r="H392" s="40"/>
      <c r="I392" s="40"/>
      <c r="J392" s="41" t="str">
        <f aca="false">IF(OR($B392="",$H392=""),"",IF($H392&gt;DateRef,0,YEARFRAC($H392,DateRef,1)))</f>
        <v/>
      </c>
      <c r="K392" s="42" t="str">
        <f aca="false">IF(OR($B392="",$H392=""),"",IF(EDATE($H392,12)&lt;=DateRef,"Plus d'un an","Moins d'un an"))</f>
        <v/>
      </c>
      <c r="L392" s="40"/>
      <c r="M392" s="43" t="str">
        <f aca="false">IF(OR($B392="",$A392=""),"",IF(SUMPRODUCT(MAX((Journal!$A$6:$A$1005=$A392)*Journal!$C$6:$C$1005))=0,"",SUMPRODUCT(MAX((Journal!$A$6:$A$1005=$A392)*Journal!$C$6:$C$1005))))</f>
        <v/>
      </c>
      <c r="N392" s="43" t="str">
        <f aca="false">IF($B392="","",IF(MAX($L392,$M392)=0,"",MAX($L392,$M392)))</f>
        <v/>
      </c>
      <c r="O392" s="44" t="str">
        <f aca="false">IF(OR($B392="",$H392=""),"",IF($N392="",IF(EDATE($H392,DelaiPremierEPP)&gt;DateRef,"1er EPP (1re année)","Aucun entretien renseigné"),IF(AND(ReglesTransitoires="Oui",EDATE($N392,AnciennePeriodiciteEP*12)&lt;DateVigueur),"Retard antérieur à la réforme","Périodicité "&amp;PeriodiciteEPP&amp;" ans")))</f>
        <v/>
      </c>
      <c r="P392" s="43" t="str">
        <f aca="false">IF(OR($B392="",$H392=""),"",IF($N392="",EDATE($H392,DelaiPremierEPP),IF(AND(ReglesTransitoires="Oui",EDATE($N392,AnciennePeriodiciteEP*12)&lt;DateVigueur),EDATE($N392,AnciennePeriodiciteEP*12),EDATE($N392,PeriodiciteEPP*12))))</f>
        <v/>
      </c>
      <c r="Q392" s="40"/>
      <c r="R392" s="45" t="str">
        <f aca="false">IF(OR($P392="",AND($I392&lt;&gt;"",$I392&lt;=DateRef)),"",$P392-DateRef)</f>
        <v/>
      </c>
      <c r="S392" s="42" t="str">
        <f aca="false">IF($B392="","",IF(AND($I392&lt;&gt;"",$I392&lt;=DateRef),"Sorti",IF($H392="","À compléter",IF(AND($Q392&lt;&gt;"",$Q392&gt;=DateRef,$Q392&lt;=$P392),"Planifié",IF($R392&lt;0,"En retard",IF($R392&lt;=SeuilAlerteEPP,"À planifier","À jour"))))))</f>
        <v/>
      </c>
      <c r="T392" s="46" t="str">
        <f aca="false">IF(OR($B392="",$S392="Sorti"),"",MID(IF($H392=""," | Date d'embauche manquante","")&amp;IF(AND($K392="Plus d'un an",$N392="")," | Précédent entretien à renseigner (ancienneté &gt; 1 an)","")&amp;IF($O392="Retard antérieur à la réforme"," | Ancien délai de 2 ans expiré avant la réforme","")&amp;IF(AND($N392&lt;&gt;"",$H392&lt;&gt;"",$N392&lt;$H392)," | Entretien antérieur à l'embauche ?","")&amp;IF(AND($N392&lt;&gt;"",$N392&gt;DateRef)," | Entretien daté dans le futur ?","")&amp;IF(AND($Q392&lt;&gt;"",$P392&lt;&gt;"",$Q392&gt;$P392)," | Date prévue après l'échéance","")&amp;IF(AND($Q392&lt;&gt;"",$Q392&lt;DateRef,OR($N392="",$N392&lt;$Q392))," | Entretien prévu passé : le consigner au Journal","")&amp;IF(AND($G392&lt;&gt;"",$X392="",YEAR(DateRef)-YEAR($G392)&gt;=AgeMiCarriere-1,YEAR(DateRef)-YEAR($G392)&lt;=AgeMiCarriere+1)," | Visite de mi-carrière à vérifier",""),4,1000))</f>
        <v/>
      </c>
      <c r="U392" s="39"/>
      <c r="V392" s="40"/>
      <c r="W392" s="42" t="str">
        <f aca="false">IF(OR($B392="",$V392=""),"",IF(AND($I392&lt;&gt;"",$I392&lt;=DateRef),"",IF(AND($N392&lt;&gt;"",$N392&gt;=$V392),"Réalisé",IF(AND($N392&lt;&gt;"",$N392&gt;=EDATE($V392,-FenetreRetour)),"Dispensé (EPP récent)",IF($V392&gt;DateRef,"À prévoir à la reprise","À proposer (reprise passée)")))))</f>
        <v/>
      </c>
      <c r="X392" s="40"/>
      <c r="Y392" s="43" t="str">
        <f aca="false">IF(OR($B392="",$X392=""),"",EDATE($X392,DelaiMiCarriere))</f>
        <v/>
      </c>
      <c r="Z392" s="42" t="str">
        <f aca="false">IF(OR($B392="",$X392=""),"",IF(AND($I392&lt;&gt;"",$I392&lt;=DateRef),"",IF(AND($N392&lt;&gt;"",$N392&gt;=$X392),"Réalisé",IF($Y392&lt;DateRef,"En retard","À planifier"))))</f>
        <v/>
      </c>
      <c r="AA392" s="47" t="str">
        <f aca="false">IF(OR($B392="",$G392=""),"",IF($G392&gt;DateRef,"",DATEDIF($G392,DateRef,"y")))</f>
        <v/>
      </c>
      <c r="AB392" s="43" t="str">
        <f aca="false">IF(OR($B392="",$G392=""),"",EDATE($G392,AgeFinCarriere*12))</f>
        <v/>
      </c>
      <c r="AC392" s="42" t="str">
        <f aca="false">IF(OR($B392="",$G392="",$H392=""),"",IF(AND($I392&lt;&gt;"",$I392&lt;=DateRef),"",IF($AB392&lt;DateVigueur,"Non concerné",IF(AND($N392&lt;&gt;"",$N392&gt;=MAX(EDATE($AB392,-FenetreFinCarriere*12),DateVigueur),$N392&lt;=$AB392),"Réalisé",IF(DateRef&gt;$AB392,"Non réalisé",IF(AND($Q392&lt;&gt;"",$Q392&gt;=EDATE($AB392,-FenetreFinCarriere*12),$Q392&lt;=$AB392),"Planifié dans la fenêtre",IF(AND(MAX($P392,DateRef)&gt;=EDATE($AB392,-FenetreFinCarriere*12),MAX($P392,DateRef)&lt;=$AB392),"Prochain EPP dans la fenêtre",IF(MAX($P392,DateRef)&gt;$AB392,"À programmer avant 60 ans",""))))))))</f>
        <v/>
      </c>
      <c r="AD392" s="40"/>
      <c r="AE392" s="43" t="str">
        <f aca="false">IF(OR($B392="",$H392="",AND($I392&lt;&gt;"",$I392&lt;=DateRef)),"",MAX($H392,$AD392,IF($A392="",0,SUMPRODUCT(MAX((Journal!$A$6:$A$1005=$A392)*((Journal!$D$6:$D$1005=TypeEDL)+(Journal!$D$6:$D$1005=TypeBilan6))*Journal!$C$6:$C$1005)))))</f>
        <v/>
      </c>
      <c r="AF392" s="43" t="str">
        <f aca="false">IF($AE392="","",IF(AND(ReglesTransitoires="Oui",EDATE($AE392,AnciennePeriodiciteEDL*12)&lt;DateVigueur),EDATE($AE392,AnciennePeriodiciteEDL*12),EDATE($AE392,PeriodiciteEDL*12)))</f>
        <v/>
      </c>
      <c r="AG392" s="42" t="str">
        <f aca="false">IF($AF392="","",IF(AND($I392&lt;&gt;"",$I392&lt;=DateRef),"",IF($AF392&lt;DateRef,"En retard",IF($AF392-DateRef&lt;=SeuilAlerteEDL,"À prévoir","À jour"))))</f>
        <v/>
      </c>
      <c r="AH392" s="39"/>
      <c r="AI392" s="39"/>
      <c r="AJ392" s="42" t="str">
        <f aca="false">IF(OR($B392="",$H392=""),"",IF(AND($I392&lt;&gt;"",$I392&lt;=DateRef),"",IF(Effectif&lt;SeuilEffectif,"Non concerné (&lt; "&amp;SeuilEffectif&amp;" salariés)",IF($AH392="Oui","Pas de risque",IF(AND(OR($AI392="Non",$S392="En retard"),$AH392="Non"),"Risque abondement",IF(OR($AI392="Non",$S392="En retard"),"À vérifier (formation ?)",IF($AI392="Oui","Pas de risque","À compléter")))))))</f>
        <v/>
      </c>
      <c r="AK392" s="39"/>
    </row>
    <row r="393" customFormat="false" ht="15" hidden="false" customHeight="false" outlineLevel="0" collapsed="false">
      <c r="A393" s="39"/>
      <c r="B393" s="39"/>
      <c r="C393" s="39"/>
      <c r="D393" s="39"/>
      <c r="E393" s="39"/>
      <c r="F393" s="39"/>
      <c r="G393" s="40"/>
      <c r="H393" s="40"/>
      <c r="I393" s="40"/>
      <c r="J393" s="41" t="str">
        <f aca="false">IF(OR($B393="",$H393=""),"",IF($H393&gt;DateRef,0,YEARFRAC($H393,DateRef,1)))</f>
        <v/>
      </c>
      <c r="K393" s="42" t="str">
        <f aca="false">IF(OR($B393="",$H393=""),"",IF(EDATE($H393,12)&lt;=DateRef,"Plus d'un an","Moins d'un an"))</f>
        <v/>
      </c>
      <c r="L393" s="40"/>
      <c r="M393" s="43" t="str">
        <f aca="false">IF(OR($B393="",$A393=""),"",IF(SUMPRODUCT(MAX((Journal!$A$6:$A$1005=$A393)*Journal!$C$6:$C$1005))=0,"",SUMPRODUCT(MAX((Journal!$A$6:$A$1005=$A393)*Journal!$C$6:$C$1005))))</f>
        <v/>
      </c>
      <c r="N393" s="43" t="str">
        <f aca="false">IF($B393="","",IF(MAX($L393,$M393)=0,"",MAX($L393,$M393)))</f>
        <v/>
      </c>
      <c r="O393" s="44" t="str">
        <f aca="false">IF(OR($B393="",$H393=""),"",IF($N393="",IF(EDATE($H393,DelaiPremierEPP)&gt;DateRef,"1er EPP (1re année)","Aucun entretien renseigné"),IF(AND(ReglesTransitoires="Oui",EDATE($N393,AnciennePeriodiciteEP*12)&lt;DateVigueur),"Retard antérieur à la réforme","Périodicité "&amp;PeriodiciteEPP&amp;" ans")))</f>
        <v/>
      </c>
      <c r="P393" s="43" t="str">
        <f aca="false">IF(OR($B393="",$H393=""),"",IF($N393="",EDATE($H393,DelaiPremierEPP),IF(AND(ReglesTransitoires="Oui",EDATE($N393,AnciennePeriodiciteEP*12)&lt;DateVigueur),EDATE($N393,AnciennePeriodiciteEP*12),EDATE($N393,PeriodiciteEPP*12))))</f>
        <v/>
      </c>
      <c r="Q393" s="40"/>
      <c r="R393" s="45" t="str">
        <f aca="false">IF(OR($P393="",AND($I393&lt;&gt;"",$I393&lt;=DateRef)),"",$P393-DateRef)</f>
        <v/>
      </c>
      <c r="S393" s="42" t="str">
        <f aca="false">IF($B393="","",IF(AND($I393&lt;&gt;"",$I393&lt;=DateRef),"Sorti",IF($H393="","À compléter",IF(AND($Q393&lt;&gt;"",$Q393&gt;=DateRef,$Q393&lt;=$P393),"Planifié",IF($R393&lt;0,"En retard",IF($R393&lt;=SeuilAlerteEPP,"À planifier","À jour"))))))</f>
        <v/>
      </c>
      <c r="T393" s="46" t="str">
        <f aca="false">IF(OR($B393="",$S393="Sorti"),"",MID(IF($H393=""," | Date d'embauche manquante","")&amp;IF(AND($K393="Plus d'un an",$N393="")," | Précédent entretien à renseigner (ancienneté &gt; 1 an)","")&amp;IF($O393="Retard antérieur à la réforme"," | Ancien délai de 2 ans expiré avant la réforme","")&amp;IF(AND($N393&lt;&gt;"",$H393&lt;&gt;"",$N393&lt;$H393)," | Entretien antérieur à l'embauche ?","")&amp;IF(AND($N393&lt;&gt;"",$N393&gt;DateRef)," | Entretien daté dans le futur ?","")&amp;IF(AND($Q393&lt;&gt;"",$P393&lt;&gt;"",$Q393&gt;$P393)," | Date prévue après l'échéance","")&amp;IF(AND($Q393&lt;&gt;"",$Q393&lt;DateRef,OR($N393="",$N393&lt;$Q393))," | Entretien prévu passé : le consigner au Journal","")&amp;IF(AND($G393&lt;&gt;"",$X393="",YEAR(DateRef)-YEAR($G393)&gt;=AgeMiCarriere-1,YEAR(DateRef)-YEAR($G393)&lt;=AgeMiCarriere+1)," | Visite de mi-carrière à vérifier",""),4,1000))</f>
        <v/>
      </c>
      <c r="U393" s="39"/>
      <c r="V393" s="40"/>
      <c r="W393" s="42" t="str">
        <f aca="false">IF(OR($B393="",$V393=""),"",IF(AND($I393&lt;&gt;"",$I393&lt;=DateRef),"",IF(AND($N393&lt;&gt;"",$N393&gt;=$V393),"Réalisé",IF(AND($N393&lt;&gt;"",$N393&gt;=EDATE($V393,-FenetreRetour)),"Dispensé (EPP récent)",IF($V393&gt;DateRef,"À prévoir à la reprise","À proposer (reprise passée)")))))</f>
        <v/>
      </c>
      <c r="X393" s="40"/>
      <c r="Y393" s="43" t="str">
        <f aca="false">IF(OR($B393="",$X393=""),"",EDATE($X393,DelaiMiCarriere))</f>
        <v/>
      </c>
      <c r="Z393" s="42" t="str">
        <f aca="false">IF(OR($B393="",$X393=""),"",IF(AND($I393&lt;&gt;"",$I393&lt;=DateRef),"",IF(AND($N393&lt;&gt;"",$N393&gt;=$X393),"Réalisé",IF($Y393&lt;DateRef,"En retard","À planifier"))))</f>
        <v/>
      </c>
      <c r="AA393" s="47" t="str">
        <f aca="false">IF(OR($B393="",$G393=""),"",IF($G393&gt;DateRef,"",DATEDIF($G393,DateRef,"y")))</f>
        <v/>
      </c>
      <c r="AB393" s="43" t="str">
        <f aca="false">IF(OR($B393="",$G393=""),"",EDATE($G393,AgeFinCarriere*12))</f>
        <v/>
      </c>
      <c r="AC393" s="42" t="str">
        <f aca="false">IF(OR($B393="",$G393="",$H393=""),"",IF(AND($I393&lt;&gt;"",$I393&lt;=DateRef),"",IF($AB393&lt;DateVigueur,"Non concerné",IF(AND($N393&lt;&gt;"",$N393&gt;=MAX(EDATE($AB393,-FenetreFinCarriere*12),DateVigueur),$N393&lt;=$AB393),"Réalisé",IF(DateRef&gt;$AB393,"Non réalisé",IF(AND($Q393&lt;&gt;"",$Q393&gt;=EDATE($AB393,-FenetreFinCarriere*12),$Q393&lt;=$AB393),"Planifié dans la fenêtre",IF(AND(MAX($P393,DateRef)&gt;=EDATE($AB393,-FenetreFinCarriere*12),MAX($P393,DateRef)&lt;=$AB393),"Prochain EPP dans la fenêtre",IF(MAX($P393,DateRef)&gt;$AB393,"À programmer avant 60 ans",""))))))))</f>
        <v/>
      </c>
      <c r="AD393" s="40"/>
      <c r="AE393" s="43" t="str">
        <f aca="false">IF(OR($B393="",$H393="",AND($I393&lt;&gt;"",$I393&lt;=DateRef)),"",MAX($H393,$AD393,IF($A393="",0,SUMPRODUCT(MAX((Journal!$A$6:$A$1005=$A393)*((Journal!$D$6:$D$1005=TypeEDL)+(Journal!$D$6:$D$1005=TypeBilan6))*Journal!$C$6:$C$1005)))))</f>
        <v/>
      </c>
      <c r="AF393" s="43" t="str">
        <f aca="false">IF($AE393="","",IF(AND(ReglesTransitoires="Oui",EDATE($AE393,AnciennePeriodiciteEDL*12)&lt;DateVigueur),EDATE($AE393,AnciennePeriodiciteEDL*12),EDATE($AE393,PeriodiciteEDL*12)))</f>
        <v/>
      </c>
      <c r="AG393" s="42" t="str">
        <f aca="false">IF($AF393="","",IF(AND($I393&lt;&gt;"",$I393&lt;=DateRef),"",IF($AF393&lt;DateRef,"En retard",IF($AF393-DateRef&lt;=SeuilAlerteEDL,"À prévoir","À jour"))))</f>
        <v/>
      </c>
      <c r="AH393" s="39"/>
      <c r="AI393" s="39"/>
      <c r="AJ393" s="42" t="str">
        <f aca="false">IF(OR($B393="",$H393=""),"",IF(AND($I393&lt;&gt;"",$I393&lt;=DateRef),"",IF(Effectif&lt;SeuilEffectif,"Non concerné (&lt; "&amp;SeuilEffectif&amp;" salariés)",IF($AH393="Oui","Pas de risque",IF(AND(OR($AI393="Non",$S393="En retard"),$AH393="Non"),"Risque abondement",IF(OR($AI393="Non",$S393="En retard"),"À vérifier (formation ?)",IF($AI393="Oui","Pas de risque","À compléter")))))))</f>
        <v/>
      </c>
      <c r="AK393" s="39"/>
    </row>
    <row r="394" customFormat="false" ht="15" hidden="false" customHeight="false" outlineLevel="0" collapsed="false">
      <c r="A394" s="39"/>
      <c r="B394" s="39"/>
      <c r="C394" s="39"/>
      <c r="D394" s="39"/>
      <c r="E394" s="39"/>
      <c r="F394" s="39"/>
      <c r="G394" s="40"/>
      <c r="H394" s="40"/>
      <c r="I394" s="40"/>
      <c r="J394" s="41" t="str">
        <f aca="false">IF(OR($B394="",$H394=""),"",IF($H394&gt;DateRef,0,YEARFRAC($H394,DateRef,1)))</f>
        <v/>
      </c>
      <c r="K394" s="42" t="str">
        <f aca="false">IF(OR($B394="",$H394=""),"",IF(EDATE($H394,12)&lt;=DateRef,"Plus d'un an","Moins d'un an"))</f>
        <v/>
      </c>
      <c r="L394" s="40"/>
      <c r="M394" s="43" t="str">
        <f aca="false">IF(OR($B394="",$A394=""),"",IF(SUMPRODUCT(MAX((Journal!$A$6:$A$1005=$A394)*Journal!$C$6:$C$1005))=0,"",SUMPRODUCT(MAX((Journal!$A$6:$A$1005=$A394)*Journal!$C$6:$C$1005))))</f>
        <v/>
      </c>
      <c r="N394" s="43" t="str">
        <f aca="false">IF($B394="","",IF(MAX($L394,$M394)=0,"",MAX($L394,$M394)))</f>
        <v/>
      </c>
      <c r="O394" s="44" t="str">
        <f aca="false">IF(OR($B394="",$H394=""),"",IF($N394="",IF(EDATE($H394,DelaiPremierEPP)&gt;DateRef,"1er EPP (1re année)","Aucun entretien renseigné"),IF(AND(ReglesTransitoires="Oui",EDATE($N394,AnciennePeriodiciteEP*12)&lt;DateVigueur),"Retard antérieur à la réforme","Périodicité "&amp;PeriodiciteEPP&amp;" ans")))</f>
        <v/>
      </c>
      <c r="P394" s="43" t="str">
        <f aca="false">IF(OR($B394="",$H394=""),"",IF($N394="",EDATE($H394,DelaiPremierEPP),IF(AND(ReglesTransitoires="Oui",EDATE($N394,AnciennePeriodiciteEP*12)&lt;DateVigueur),EDATE($N394,AnciennePeriodiciteEP*12),EDATE($N394,PeriodiciteEPP*12))))</f>
        <v/>
      </c>
      <c r="Q394" s="40"/>
      <c r="R394" s="45" t="str">
        <f aca="false">IF(OR($P394="",AND($I394&lt;&gt;"",$I394&lt;=DateRef)),"",$P394-DateRef)</f>
        <v/>
      </c>
      <c r="S394" s="42" t="str">
        <f aca="false">IF($B394="","",IF(AND($I394&lt;&gt;"",$I394&lt;=DateRef),"Sorti",IF($H394="","À compléter",IF(AND($Q394&lt;&gt;"",$Q394&gt;=DateRef,$Q394&lt;=$P394),"Planifié",IF($R394&lt;0,"En retard",IF($R394&lt;=SeuilAlerteEPP,"À planifier","À jour"))))))</f>
        <v/>
      </c>
      <c r="T394" s="46" t="str">
        <f aca="false">IF(OR($B394="",$S394="Sorti"),"",MID(IF($H394=""," | Date d'embauche manquante","")&amp;IF(AND($K394="Plus d'un an",$N394="")," | Précédent entretien à renseigner (ancienneté &gt; 1 an)","")&amp;IF($O394="Retard antérieur à la réforme"," | Ancien délai de 2 ans expiré avant la réforme","")&amp;IF(AND($N394&lt;&gt;"",$H394&lt;&gt;"",$N394&lt;$H394)," | Entretien antérieur à l'embauche ?","")&amp;IF(AND($N394&lt;&gt;"",$N394&gt;DateRef)," | Entretien daté dans le futur ?","")&amp;IF(AND($Q394&lt;&gt;"",$P394&lt;&gt;"",$Q394&gt;$P394)," | Date prévue après l'échéance","")&amp;IF(AND($Q394&lt;&gt;"",$Q394&lt;DateRef,OR($N394="",$N394&lt;$Q394))," | Entretien prévu passé : le consigner au Journal","")&amp;IF(AND($G394&lt;&gt;"",$X394="",YEAR(DateRef)-YEAR($G394)&gt;=AgeMiCarriere-1,YEAR(DateRef)-YEAR($G394)&lt;=AgeMiCarriere+1)," | Visite de mi-carrière à vérifier",""),4,1000))</f>
        <v/>
      </c>
      <c r="U394" s="39"/>
      <c r="V394" s="40"/>
      <c r="W394" s="42" t="str">
        <f aca="false">IF(OR($B394="",$V394=""),"",IF(AND($I394&lt;&gt;"",$I394&lt;=DateRef),"",IF(AND($N394&lt;&gt;"",$N394&gt;=$V394),"Réalisé",IF(AND($N394&lt;&gt;"",$N394&gt;=EDATE($V394,-FenetreRetour)),"Dispensé (EPP récent)",IF($V394&gt;DateRef,"À prévoir à la reprise","À proposer (reprise passée)")))))</f>
        <v/>
      </c>
      <c r="X394" s="40"/>
      <c r="Y394" s="43" t="str">
        <f aca="false">IF(OR($B394="",$X394=""),"",EDATE($X394,DelaiMiCarriere))</f>
        <v/>
      </c>
      <c r="Z394" s="42" t="str">
        <f aca="false">IF(OR($B394="",$X394=""),"",IF(AND($I394&lt;&gt;"",$I394&lt;=DateRef),"",IF(AND($N394&lt;&gt;"",$N394&gt;=$X394),"Réalisé",IF($Y394&lt;DateRef,"En retard","À planifier"))))</f>
        <v/>
      </c>
      <c r="AA394" s="47" t="str">
        <f aca="false">IF(OR($B394="",$G394=""),"",IF($G394&gt;DateRef,"",DATEDIF($G394,DateRef,"y")))</f>
        <v/>
      </c>
      <c r="AB394" s="43" t="str">
        <f aca="false">IF(OR($B394="",$G394=""),"",EDATE($G394,AgeFinCarriere*12))</f>
        <v/>
      </c>
      <c r="AC394" s="42" t="str">
        <f aca="false">IF(OR($B394="",$G394="",$H394=""),"",IF(AND($I394&lt;&gt;"",$I394&lt;=DateRef),"",IF($AB394&lt;DateVigueur,"Non concerné",IF(AND($N394&lt;&gt;"",$N394&gt;=MAX(EDATE($AB394,-FenetreFinCarriere*12),DateVigueur),$N394&lt;=$AB394),"Réalisé",IF(DateRef&gt;$AB394,"Non réalisé",IF(AND($Q394&lt;&gt;"",$Q394&gt;=EDATE($AB394,-FenetreFinCarriere*12),$Q394&lt;=$AB394),"Planifié dans la fenêtre",IF(AND(MAX($P394,DateRef)&gt;=EDATE($AB394,-FenetreFinCarriere*12),MAX($P394,DateRef)&lt;=$AB394),"Prochain EPP dans la fenêtre",IF(MAX($P394,DateRef)&gt;$AB394,"À programmer avant 60 ans",""))))))))</f>
        <v/>
      </c>
      <c r="AD394" s="40"/>
      <c r="AE394" s="43" t="str">
        <f aca="false">IF(OR($B394="",$H394="",AND($I394&lt;&gt;"",$I394&lt;=DateRef)),"",MAX($H394,$AD394,IF($A394="",0,SUMPRODUCT(MAX((Journal!$A$6:$A$1005=$A394)*((Journal!$D$6:$D$1005=TypeEDL)+(Journal!$D$6:$D$1005=TypeBilan6))*Journal!$C$6:$C$1005)))))</f>
        <v/>
      </c>
      <c r="AF394" s="43" t="str">
        <f aca="false">IF($AE394="","",IF(AND(ReglesTransitoires="Oui",EDATE($AE394,AnciennePeriodiciteEDL*12)&lt;DateVigueur),EDATE($AE394,AnciennePeriodiciteEDL*12),EDATE($AE394,PeriodiciteEDL*12)))</f>
        <v/>
      </c>
      <c r="AG394" s="42" t="str">
        <f aca="false">IF($AF394="","",IF(AND($I394&lt;&gt;"",$I394&lt;=DateRef),"",IF($AF394&lt;DateRef,"En retard",IF($AF394-DateRef&lt;=SeuilAlerteEDL,"À prévoir","À jour"))))</f>
        <v/>
      </c>
      <c r="AH394" s="39"/>
      <c r="AI394" s="39"/>
      <c r="AJ394" s="42" t="str">
        <f aca="false">IF(OR($B394="",$H394=""),"",IF(AND($I394&lt;&gt;"",$I394&lt;=DateRef),"",IF(Effectif&lt;SeuilEffectif,"Non concerné (&lt; "&amp;SeuilEffectif&amp;" salariés)",IF($AH394="Oui","Pas de risque",IF(AND(OR($AI394="Non",$S394="En retard"),$AH394="Non"),"Risque abondement",IF(OR($AI394="Non",$S394="En retard"),"À vérifier (formation ?)",IF($AI394="Oui","Pas de risque","À compléter")))))))</f>
        <v/>
      </c>
      <c r="AK394" s="39"/>
    </row>
    <row r="395" customFormat="false" ht="15" hidden="false" customHeight="false" outlineLevel="0" collapsed="false">
      <c r="A395" s="39"/>
      <c r="B395" s="39"/>
      <c r="C395" s="39"/>
      <c r="D395" s="39"/>
      <c r="E395" s="39"/>
      <c r="F395" s="39"/>
      <c r="G395" s="40"/>
      <c r="H395" s="40"/>
      <c r="I395" s="40"/>
      <c r="J395" s="41" t="str">
        <f aca="false">IF(OR($B395="",$H395=""),"",IF($H395&gt;DateRef,0,YEARFRAC($H395,DateRef,1)))</f>
        <v/>
      </c>
      <c r="K395" s="42" t="str">
        <f aca="false">IF(OR($B395="",$H395=""),"",IF(EDATE($H395,12)&lt;=DateRef,"Plus d'un an","Moins d'un an"))</f>
        <v/>
      </c>
      <c r="L395" s="40"/>
      <c r="M395" s="43" t="str">
        <f aca="false">IF(OR($B395="",$A395=""),"",IF(SUMPRODUCT(MAX((Journal!$A$6:$A$1005=$A395)*Journal!$C$6:$C$1005))=0,"",SUMPRODUCT(MAX((Journal!$A$6:$A$1005=$A395)*Journal!$C$6:$C$1005))))</f>
        <v/>
      </c>
      <c r="N395" s="43" t="str">
        <f aca="false">IF($B395="","",IF(MAX($L395,$M395)=0,"",MAX($L395,$M395)))</f>
        <v/>
      </c>
      <c r="O395" s="44" t="str">
        <f aca="false">IF(OR($B395="",$H395=""),"",IF($N395="",IF(EDATE($H395,DelaiPremierEPP)&gt;DateRef,"1er EPP (1re année)","Aucun entretien renseigné"),IF(AND(ReglesTransitoires="Oui",EDATE($N395,AnciennePeriodiciteEP*12)&lt;DateVigueur),"Retard antérieur à la réforme","Périodicité "&amp;PeriodiciteEPP&amp;" ans")))</f>
        <v/>
      </c>
      <c r="P395" s="43" t="str">
        <f aca="false">IF(OR($B395="",$H395=""),"",IF($N395="",EDATE($H395,DelaiPremierEPP),IF(AND(ReglesTransitoires="Oui",EDATE($N395,AnciennePeriodiciteEP*12)&lt;DateVigueur),EDATE($N395,AnciennePeriodiciteEP*12),EDATE($N395,PeriodiciteEPP*12))))</f>
        <v/>
      </c>
      <c r="Q395" s="40"/>
      <c r="R395" s="45" t="str">
        <f aca="false">IF(OR($P395="",AND($I395&lt;&gt;"",$I395&lt;=DateRef)),"",$P395-DateRef)</f>
        <v/>
      </c>
      <c r="S395" s="42" t="str">
        <f aca="false">IF($B395="","",IF(AND($I395&lt;&gt;"",$I395&lt;=DateRef),"Sorti",IF($H395="","À compléter",IF(AND($Q395&lt;&gt;"",$Q395&gt;=DateRef,$Q395&lt;=$P395),"Planifié",IF($R395&lt;0,"En retard",IF($R395&lt;=SeuilAlerteEPP,"À planifier","À jour"))))))</f>
        <v/>
      </c>
      <c r="T395" s="46" t="str">
        <f aca="false">IF(OR($B395="",$S395="Sorti"),"",MID(IF($H395=""," | Date d'embauche manquante","")&amp;IF(AND($K395="Plus d'un an",$N395="")," | Précédent entretien à renseigner (ancienneté &gt; 1 an)","")&amp;IF($O395="Retard antérieur à la réforme"," | Ancien délai de 2 ans expiré avant la réforme","")&amp;IF(AND($N395&lt;&gt;"",$H395&lt;&gt;"",$N395&lt;$H395)," | Entretien antérieur à l'embauche ?","")&amp;IF(AND($N395&lt;&gt;"",$N395&gt;DateRef)," | Entretien daté dans le futur ?","")&amp;IF(AND($Q395&lt;&gt;"",$P395&lt;&gt;"",$Q395&gt;$P395)," | Date prévue après l'échéance","")&amp;IF(AND($Q395&lt;&gt;"",$Q395&lt;DateRef,OR($N395="",$N395&lt;$Q395))," | Entretien prévu passé : le consigner au Journal","")&amp;IF(AND($G395&lt;&gt;"",$X395="",YEAR(DateRef)-YEAR($G395)&gt;=AgeMiCarriere-1,YEAR(DateRef)-YEAR($G395)&lt;=AgeMiCarriere+1)," | Visite de mi-carrière à vérifier",""),4,1000))</f>
        <v/>
      </c>
      <c r="U395" s="39"/>
      <c r="V395" s="40"/>
      <c r="W395" s="42" t="str">
        <f aca="false">IF(OR($B395="",$V395=""),"",IF(AND($I395&lt;&gt;"",$I395&lt;=DateRef),"",IF(AND($N395&lt;&gt;"",$N395&gt;=$V395),"Réalisé",IF(AND($N395&lt;&gt;"",$N395&gt;=EDATE($V395,-FenetreRetour)),"Dispensé (EPP récent)",IF($V395&gt;DateRef,"À prévoir à la reprise","À proposer (reprise passée)")))))</f>
        <v/>
      </c>
      <c r="X395" s="40"/>
      <c r="Y395" s="43" t="str">
        <f aca="false">IF(OR($B395="",$X395=""),"",EDATE($X395,DelaiMiCarriere))</f>
        <v/>
      </c>
      <c r="Z395" s="42" t="str">
        <f aca="false">IF(OR($B395="",$X395=""),"",IF(AND($I395&lt;&gt;"",$I395&lt;=DateRef),"",IF(AND($N395&lt;&gt;"",$N395&gt;=$X395),"Réalisé",IF($Y395&lt;DateRef,"En retard","À planifier"))))</f>
        <v/>
      </c>
      <c r="AA395" s="47" t="str">
        <f aca="false">IF(OR($B395="",$G395=""),"",IF($G395&gt;DateRef,"",DATEDIF($G395,DateRef,"y")))</f>
        <v/>
      </c>
      <c r="AB395" s="43" t="str">
        <f aca="false">IF(OR($B395="",$G395=""),"",EDATE($G395,AgeFinCarriere*12))</f>
        <v/>
      </c>
      <c r="AC395" s="42" t="str">
        <f aca="false">IF(OR($B395="",$G395="",$H395=""),"",IF(AND($I395&lt;&gt;"",$I395&lt;=DateRef),"",IF($AB395&lt;DateVigueur,"Non concerné",IF(AND($N395&lt;&gt;"",$N395&gt;=MAX(EDATE($AB395,-FenetreFinCarriere*12),DateVigueur),$N395&lt;=$AB395),"Réalisé",IF(DateRef&gt;$AB395,"Non réalisé",IF(AND($Q395&lt;&gt;"",$Q395&gt;=EDATE($AB395,-FenetreFinCarriere*12),$Q395&lt;=$AB395),"Planifié dans la fenêtre",IF(AND(MAX($P395,DateRef)&gt;=EDATE($AB395,-FenetreFinCarriere*12),MAX($P395,DateRef)&lt;=$AB395),"Prochain EPP dans la fenêtre",IF(MAX($P395,DateRef)&gt;$AB395,"À programmer avant 60 ans",""))))))))</f>
        <v/>
      </c>
      <c r="AD395" s="40"/>
      <c r="AE395" s="43" t="str">
        <f aca="false">IF(OR($B395="",$H395="",AND($I395&lt;&gt;"",$I395&lt;=DateRef)),"",MAX($H395,$AD395,IF($A395="",0,SUMPRODUCT(MAX((Journal!$A$6:$A$1005=$A395)*((Journal!$D$6:$D$1005=TypeEDL)+(Journal!$D$6:$D$1005=TypeBilan6))*Journal!$C$6:$C$1005)))))</f>
        <v/>
      </c>
      <c r="AF395" s="43" t="str">
        <f aca="false">IF($AE395="","",IF(AND(ReglesTransitoires="Oui",EDATE($AE395,AnciennePeriodiciteEDL*12)&lt;DateVigueur),EDATE($AE395,AnciennePeriodiciteEDL*12),EDATE($AE395,PeriodiciteEDL*12)))</f>
        <v/>
      </c>
      <c r="AG395" s="42" t="str">
        <f aca="false">IF($AF395="","",IF(AND($I395&lt;&gt;"",$I395&lt;=DateRef),"",IF($AF395&lt;DateRef,"En retard",IF($AF395-DateRef&lt;=SeuilAlerteEDL,"À prévoir","À jour"))))</f>
        <v/>
      </c>
      <c r="AH395" s="39"/>
      <c r="AI395" s="39"/>
      <c r="AJ395" s="42" t="str">
        <f aca="false">IF(OR($B395="",$H395=""),"",IF(AND($I395&lt;&gt;"",$I395&lt;=DateRef),"",IF(Effectif&lt;SeuilEffectif,"Non concerné (&lt; "&amp;SeuilEffectif&amp;" salariés)",IF($AH395="Oui","Pas de risque",IF(AND(OR($AI395="Non",$S395="En retard"),$AH395="Non"),"Risque abondement",IF(OR($AI395="Non",$S395="En retard"),"À vérifier (formation ?)",IF($AI395="Oui","Pas de risque","À compléter")))))))</f>
        <v/>
      </c>
      <c r="AK395" s="39"/>
    </row>
    <row r="396" customFormat="false" ht="15" hidden="false" customHeight="false" outlineLevel="0" collapsed="false">
      <c r="A396" s="39"/>
      <c r="B396" s="39"/>
      <c r="C396" s="39"/>
      <c r="D396" s="39"/>
      <c r="E396" s="39"/>
      <c r="F396" s="39"/>
      <c r="G396" s="40"/>
      <c r="H396" s="40"/>
      <c r="I396" s="40"/>
      <c r="J396" s="41" t="str">
        <f aca="false">IF(OR($B396="",$H396=""),"",IF($H396&gt;DateRef,0,YEARFRAC($H396,DateRef,1)))</f>
        <v/>
      </c>
      <c r="K396" s="42" t="str">
        <f aca="false">IF(OR($B396="",$H396=""),"",IF(EDATE($H396,12)&lt;=DateRef,"Plus d'un an","Moins d'un an"))</f>
        <v/>
      </c>
      <c r="L396" s="40"/>
      <c r="M396" s="43" t="str">
        <f aca="false">IF(OR($B396="",$A396=""),"",IF(SUMPRODUCT(MAX((Journal!$A$6:$A$1005=$A396)*Journal!$C$6:$C$1005))=0,"",SUMPRODUCT(MAX((Journal!$A$6:$A$1005=$A396)*Journal!$C$6:$C$1005))))</f>
        <v/>
      </c>
      <c r="N396" s="43" t="str">
        <f aca="false">IF($B396="","",IF(MAX($L396,$M396)=0,"",MAX($L396,$M396)))</f>
        <v/>
      </c>
      <c r="O396" s="44" t="str">
        <f aca="false">IF(OR($B396="",$H396=""),"",IF($N396="",IF(EDATE($H396,DelaiPremierEPP)&gt;DateRef,"1er EPP (1re année)","Aucun entretien renseigné"),IF(AND(ReglesTransitoires="Oui",EDATE($N396,AnciennePeriodiciteEP*12)&lt;DateVigueur),"Retard antérieur à la réforme","Périodicité "&amp;PeriodiciteEPP&amp;" ans")))</f>
        <v/>
      </c>
      <c r="P396" s="43" t="str">
        <f aca="false">IF(OR($B396="",$H396=""),"",IF($N396="",EDATE($H396,DelaiPremierEPP),IF(AND(ReglesTransitoires="Oui",EDATE($N396,AnciennePeriodiciteEP*12)&lt;DateVigueur),EDATE($N396,AnciennePeriodiciteEP*12),EDATE($N396,PeriodiciteEPP*12))))</f>
        <v/>
      </c>
      <c r="Q396" s="40"/>
      <c r="R396" s="45" t="str">
        <f aca="false">IF(OR($P396="",AND($I396&lt;&gt;"",$I396&lt;=DateRef)),"",$P396-DateRef)</f>
        <v/>
      </c>
      <c r="S396" s="42" t="str">
        <f aca="false">IF($B396="","",IF(AND($I396&lt;&gt;"",$I396&lt;=DateRef),"Sorti",IF($H396="","À compléter",IF(AND($Q396&lt;&gt;"",$Q396&gt;=DateRef,$Q396&lt;=$P396),"Planifié",IF($R396&lt;0,"En retard",IF($R396&lt;=SeuilAlerteEPP,"À planifier","À jour"))))))</f>
        <v/>
      </c>
      <c r="T396" s="46" t="str">
        <f aca="false">IF(OR($B396="",$S396="Sorti"),"",MID(IF($H396=""," | Date d'embauche manquante","")&amp;IF(AND($K396="Plus d'un an",$N396="")," | Précédent entretien à renseigner (ancienneté &gt; 1 an)","")&amp;IF($O396="Retard antérieur à la réforme"," | Ancien délai de 2 ans expiré avant la réforme","")&amp;IF(AND($N396&lt;&gt;"",$H396&lt;&gt;"",$N396&lt;$H396)," | Entretien antérieur à l'embauche ?","")&amp;IF(AND($N396&lt;&gt;"",$N396&gt;DateRef)," | Entretien daté dans le futur ?","")&amp;IF(AND($Q396&lt;&gt;"",$P396&lt;&gt;"",$Q396&gt;$P396)," | Date prévue après l'échéance","")&amp;IF(AND($Q396&lt;&gt;"",$Q396&lt;DateRef,OR($N396="",$N396&lt;$Q396))," | Entretien prévu passé : le consigner au Journal","")&amp;IF(AND($G396&lt;&gt;"",$X396="",YEAR(DateRef)-YEAR($G396)&gt;=AgeMiCarriere-1,YEAR(DateRef)-YEAR($G396)&lt;=AgeMiCarriere+1)," | Visite de mi-carrière à vérifier",""),4,1000))</f>
        <v/>
      </c>
      <c r="U396" s="39"/>
      <c r="V396" s="40"/>
      <c r="W396" s="42" t="str">
        <f aca="false">IF(OR($B396="",$V396=""),"",IF(AND($I396&lt;&gt;"",$I396&lt;=DateRef),"",IF(AND($N396&lt;&gt;"",$N396&gt;=$V396),"Réalisé",IF(AND($N396&lt;&gt;"",$N396&gt;=EDATE($V396,-FenetreRetour)),"Dispensé (EPP récent)",IF($V396&gt;DateRef,"À prévoir à la reprise","À proposer (reprise passée)")))))</f>
        <v/>
      </c>
      <c r="X396" s="40"/>
      <c r="Y396" s="43" t="str">
        <f aca="false">IF(OR($B396="",$X396=""),"",EDATE($X396,DelaiMiCarriere))</f>
        <v/>
      </c>
      <c r="Z396" s="42" t="str">
        <f aca="false">IF(OR($B396="",$X396=""),"",IF(AND($I396&lt;&gt;"",$I396&lt;=DateRef),"",IF(AND($N396&lt;&gt;"",$N396&gt;=$X396),"Réalisé",IF($Y396&lt;DateRef,"En retard","À planifier"))))</f>
        <v/>
      </c>
      <c r="AA396" s="47" t="str">
        <f aca="false">IF(OR($B396="",$G396=""),"",IF($G396&gt;DateRef,"",DATEDIF($G396,DateRef,"y")))</f>
        <v/>
      </c>
      <c r="AB396" s="43" t="str">
        <f aca="false">IF(OR($B396="",$G396=""),"",EDATE($G396,AgeFinCarriere*12))</f>
        <v/>
      </c>
      <c r="AC396" s="42" t="str">
        <f aca="false">IF(OR($B396="",$G396="",$H396=""),"",IF(AND($I396&lt;&gt;"",$I396&lt;=DateRef),"",IF($AB396&lt;DateVigueur,"Non concerné",IF(AND($N396&lt;&gt;"",$N396&gt;=MAX(EDATE($AB396,-FenetreFinCarriere*12),DateVigueur),$N396&lt;=$AB396),"Réalisé",IF(DateRef&gt;$AB396,"Non réalisé",IF(AND($Q396&lt;&gt;"",$Q396&gt;=EDATE($AB396,-FenetreFinCarriere*12),$Q396&lt;=$AB396),"Planifié dans la fenêtre",IF(AND(MAX($P396,DateRef)&gt;=EDATE($AB396,-FenetreFinCarriere*12),MAX($P396,DateRef)&lt;=$AB396),"Prochain EPP dans la fenêtre",IF(MAX($P396,DateRef)&gt;$AB396,"À programmer avant 60 ans",""))))))))</f>
        <v/>
      </c>
      <c r="AD396" s="40"/>
      <c r="AE396" s="43" t="str">
        <f aca="false">IF(OR($B396="",$H396="",AND($I396&lt;&gt;"",$I396&lt;=DateRef)),"",MAX($H396,$AD396,IF($A396="",0,SUMPRODUCT(MAX((Journal!$A$6:$A$1005=$A396)*((Journal!$D$6:$D$1005=TypeEDL)+(Journal!$D$6:$D$1005=TypeBilan6))*Journal!$C$6:$C$1005)))))</f>
        <v/>
      </c>
      <c r="AF396" s="43" t="str">
        <f aca="false">IF($AE396="","",IF(AND(ReglesTransitoires="Oui",EDATE($AE396,AnciennePeriodiciteEDL*12)&lt;DateVigueur),EDATE($AE396,AnciennePeriodiciteEDL*12),EDATE($AE396,PeriodiciteEDL*12)))</f>
        <v/>
      </c>
      <c r="AG396" s="42" t="str">
        <f aca="false">IF($AF396="","",IF(AND($I396&lt;&gt;"",$I396&lt;=DateRef),"",IF($AF396&lt;DateRef,"En retard",IF($AF396-DateRef&lt;=SeuilAlerteEDL,"À prévoir","À jour"))))</f>
        <v/>
      </c>
      <c r="AH396" s="39"/>
      <c r="AI396" s="39"/>
      <c r="AJ396" s="42" t="str">
        <f aca="false">IF(OR($B396="",$H396=""),"",IF(AND($I396&lt;&gt;"",$I396&lt;=DateRef),"",IF(Effectif&lt;SeuilEffectif,"Non concerné (&lt; "&amp;SeuilEffectif&amp;" salariés)",IF($AH396="Oui","Pas de risque",IF(AND(OR($AI396="Non",$S396="En retard"),$AH396="Non"),"Risque abondement",IF(OR($AI396="Non",$S396="En retard"),"À vérifier (formation ?)",IF($AI396="Oui","Pas de risque","À compléter")))))))</f>
        <v/>
      </c>
      <c r="AK396" s="39"/>
    </row>
    <row r="397" customFormat="false" ht="15" hidden="false" customHeight="false" outlineLevel="0" collapsed="false">
      <c r="A397" s="39"/>
      <c r="B397" s="39"/>
      <c r="C397" s="39"/>
      <c r="D397" s="39"/>
      <c r="E397" s="39"/>
      <c r="F397" s="39"/>
      <c r="G397" s="40"/>
      <c r="H397" s="40"/>
      <c r="I397" s="40"/>
      <c r="J397" s="41" t="str">
        <f aca="false">IF(OR($B397="",$H397=""),"",IF($H397&gt;DateRef,0,YEARFRAC($H397,DateRef,1)))</f>
        <v/>
      </c>
      <c r="K397" s="42" t="str">
        <f aca="false">IF(OR($B397="",$H397=""),"",IF(EDATE($H397,12)&lt;=DateRef,"Plus d'un an","Moins d'un an"))</f>
        <v/>
      </c>
      <c r="L397" s="40"/>
      <c r="M397" s="43" t="str">
        <f aca="false">IF(OR($B397="",$A397=""),"",IF(SUMPRODUCT(MAX((Journal!$A$6:$A$1005=$A397)*Journal!$C$6:$C$1005))=0,"",SUMPRODUCT(MAX((Journal!$A$6:$A$1005=$A397)*Journal!$C$6:$C$1005))))</f>
        <v/>
      </c>
      <c r="N397" s="43" t="str">
        <f aca="false">IF($B397="","",IF(MAX($L397,$M397)=0,"",MAX($L397,$M397)))</f>
        <v/>
      </c>
      <c r="O397" s="44" t="str">
        <f aca="false">IF(OR($B397="",$H397=""),"",IF($N397="",IF(EDATE($H397,DelaiPremierEPP)&gt;DateRef,"1er EPP (1re année)","Aucun entretien renseigné"),IF(AND(ReglesTransitoires="Oui",EDATE($N397,AnciennePeriodiciteEP*12)&lt;DateVigueur),"Retard antérieur à la réforme","Périodicité "&amp;PeriodiciteEPP&amp;" ans")))</f>
        <v/>
      </c>
      <c r="P397" s="43" t="str">
        <f aca="false">IF(OR($B397="",$H397=""),"",IF($N397="",EDATE($H397,DelaiPremierEPP),IF(AND(ReglesTransitoires="Oui",EDATE($N397,AnciennePeriodiciteEP*12)&lt;DateVigueur),EDATE($N397,AnciennePeriodiciteEP*12),EDATE($N397,PeriodiciteEPP*12))))</f>
        <v/>
      </c>
      <c r="Q397" s="40"/>
      <c r="R397" s="45" t="str">
        <f aca="false">IF(OR($P397="",AND($I397&lt;&gt;"",$I397&lt;=DateRef)),"",$P397-DateRef)</f>
        <v/>
      </c>
      <c r="S397" s="42" t="str">
        <f aca="false">IF($B397="","",IF(AND($I397&lt;&gt;"",$I397&lt;=DateRef),"Sorti",IF($H397="","À compléter",IF(AND($Q397&lt;&gt;"",$Q397&gt;=DateRef,$Q397&lt;=$P397),"Planifié",IF($R397&lt;0,"En retard",IF($R397&lt;=SeuilAlerteEPP,"À planifier","À jour"))))))</f>
        <v/>
      </c>
      <c r="T397" s="46" t="str">
        <f aca="false">IF(OR($B397="",$S397="Sorti"),"",MID(IF($H397=""," | Date d'embauche manquante","")&amp;IF(AND($K397="Plus d'un an",$N397="")," | Précédent entretien à renseigner (ancienneté &gt; 1 an)","")&amp;IF($O397="Retard antérieur à la réforme"," | Ancien délai de 2 ans expiré avant la réforme","")&amp;IF(AND($N397&lt;&gt;"",$H397&lt;&gt;"",$N397&lt;$H397)," | Entretien antérieur à l'embauche ?","")&amp;IF(AND($N397&lt;&gt;"",$N397&gt;DateRef)," | Entretien daté dans le futur ?","")&amp;IF(AND($Q397&lt;&gt;"",$P397&lt;&gt;"",$Q397&gt;$P397)," | Date prévue après l'échéance","")&amp;IF(AND($Q397&lt;&gt;"",$Q397&lt;DateRef,OR($N397="",$N397&lt;$Q397))," | Entretien prévu passé : le consigner au Journal","")&amp;IF(AND($G397&lt;&gt;"",$X397="",YEAR(DateRef)-YEAR($G397)&gt;=AgeMiCarriere-1,YEAR(DateRef)-YEAR($G397)&lt;=AgeMiCarriere+1)," | Visite de mi-carrière à vérifier",""),4,1000))</f>
        <v/>
      </c>
      <c r="U397" s="39"/>
      <c r="V397" s="40"/>
      <c r="W397" s="42" t="str">
        <f aca="false">IF(OR($B397="",$V397=""),"",IF(AND($I397&lt;&gt;"",$I397&lt;=DateRef),"",IF(AND($N397&lt;&gt;"",$N397&gt;=$V397),"Réalisé",IF(AND($N397&lt;&gt;"",$N397&gt;=EDATE($V397,-FenetreRetour)),"Dispensé (EPP récent)",IF($V397&gt;DateRef,"À prévoir à la reprise","À proposer (reprise passée)")))))</f>
        <v/>
      </c>
      <c r="X397" s="40"/>
      <c r="Y397" s="43" t="str">
        <f aca="false">IF(OR($B397="",$X397=""),"",EDATE($X397,DelaiMiCarriere))</f>
        <v/>
      </c>
      <c r="Z397" s="42" t="str">
        <f aca="false">IF(OR($B397="",$X397=""),"",IF(AND($I397&lt;&gt;"",$I397&lt;=DateRef),"",IF(AND($N397&lt;&gt;"",$N397&gt;=$X397),"Réalisé",IF($Y397&lt;DateRef,"En retard","À planifier"))))</f>
        <v/>
      </c>
      <c r="AA397" s="47" t="str">
        <f aca="false">IF(OR($B397="",$G397=""),"",IF($G397&gt;DateRef,"",DATEDIF($G397,DateRef,"y")))</f>
        <v/>
      </c>
      <c r="AB397" s="43" t="str">
        <f aca="false">IF(OR($B397="",$G397=""),"",EDATE($G397,AgeFinCarriere*12))</f>
        <v/>
      </c>
      <c r="AC397" s="42" t="str">
        <f aca="false">IF(OR($B397="",$G397="",$H397=""),"",IF(AND($I397&lt;&gt;"",$I397&lt;=DateRef),"",IF($AB397&lt;DateVigueur,"Non concerné",IF(AND($N397&lt;&gt;"",$N397&gt;=MAX(EDATE($AB397,-FenetreFinCarriere*12),DateVigueur),$N397&lt;=$AB397),"Réalisé",IF(DateRef&gt;$AB397,"Non réalisé",IF(AND($Q397&lt;&gt;"",$Q397&gt;=EDATE($AB397,-FenetreFinCarriere*12),$Q397&lt;=$AB397),"Planifié dans la fenêtre",IF(AND(MAX($P397,DateRef)&gt;=EDATE($AB397,-FenetreFinCarriere*12),MAX($P397,DateRef)&lt;=$AB397),"Prochain EPP dans la fenêtre",IF(MAX($P397,DateRef)&gt;$AB397,"À programmer avant 60 ans",""))))))))</f>
        <v/>
      </c>
      <c r="AD397" s="40"/>
      <c r="AE397" s="43" t="str">
        <f aca="false">IF(OR($B397="",$H397="",AND($I397&lt;&gt;"",$I397&lt;=DateRef)),"",MAX($H397,$AD397,IF($A397="",0,SUMPRODUCT(MAX((Journal!$A$6:$A$1005=$A397)*((Journal!$D$6:$D$1005=TypeEDL)+(Journal!$D$6:$D$1005=TypeBilan6))*Journal!$C$6:$C$1005)))))</f>
        <v/>
      </c>
      <c r="AF397" s="43" t="str">
        <f aca="false">IF($AE397="","",IF(AND(ReglesTransitoires="Oui",EDATE($AE397,AnciennePeriodiciteEDL*12)&lt;DateVigueur),EDATE($AE397,AnciennePeriodiciteEDL*12),EDATE($AE397,PeriodiciteEDL*12)))</f>
        <v/>
      </c>
      <c r="AG397" s="42" t="str">
        <f aca="false">IF($AF397="","",IF(AND($I397&lt;&gt;"",$I397&lt;=DateRef),"",IF($AF397&lt;DateRef,"En retard",IF($AF397-DateRef&lt;=SeuilAlerteEDL,"À prévoir","À jour"))))</f>
        <v/>
      </c>
      <c r="AH397" s="39"/>
      <c r="AI397" s="39"/>
      <c r="AJ397" s="42" t="str">
        <f aca="false">IF(OR($B397="",$H397=""),"",IF(AND($I397&lt;&gt;"",$I397&lt;=DateRef),"",IF(Effectif&lt;SeuilEffectif,"Non concerné (&lt; "&amp;SeuilEffectif&amp;" salariés)",IF($AH397="Oui","Pas de risque",IF(AND(OR($AI397="Non",$S397="En retard"),$AH397="Non"),"Risque abondement",IF(OR($AI397="Non",$S397="En retard"),"À vérifier (formation ?)",IF($AI397="Oui","Pas de risque","À compléter")))))))</f>
        <v/>
      </c>
      <c r="AK397" s="39"/>
    </row>
    <row r="398" customFormat="false" ht="15" hidden="false" customHeight="false" outlineLevel="0" collapsed="false">
      <c r="A398" s="39"/>
      <c r="B398" s="39"/>
      <c r="C398" s="39"/>
      <c r="D398" s="39"/>
      <c r="E398" s="39"/>
      <c r="F398" s="39"/>
      <c r="G398" s="40"/>
      <c r="H398" s="40"/>
      <c r="I398" s="40"/>
      <c r="J398" s="41" t="str">
        <f aca="false">IF(OR($B398="",$H398=""),"",IF($H398&gt;DateRef,0,YEARFRAC($H398,DateRef,1)))</f>
        <v/>
      </c>
      <c r="K398" s="42" t="str">
        <f aca="false">IF(OR($B398="",$H398=""),"",IF(EDATE($H398,12)&lt;=DateRef,"Plus d'un an","Moins d'un an"))</f>
        <v/>
      </c>
      <c r="L398" s="40"/>
      <c r="M398" s="43" t="str">
        <f aca="false">IF(OR($B398="",$A398=""),"",IF(SUMPRODUCT(MAX((Journal!$A$6:$A$1005=$A398)*Journal!$C$6:$C$1005))=0,"",SUMPRODUCT(MAX((Journal!$A$6:$A$1005=$A398)*Journal!$C$6:$C$1005))))</f>
        <v/>
      </c>
      <c r="N398" s="43" t="str">
        <f aca="false">IF($B398="","",IF(MAX($L398,$M398)=0,"",MAX($L398,$M398)))</f>
        <v/>
      </c>
      <c r="O398" s="44" t="str">
        <f aca="false">IF(OR($B398="",$H398=""),"",IF($N398="",IF(EDATE($H398,DelaiPremierEPP)&gt;DateRef,"1er EPP (1re année)","Aucun entretien renseigné"),IF(AND(ReglesTransitoires="Oui",EDATE($N398,AnciennePeriodiciteEP*12)&lt;DateVigueur),"Retard antérieur à la réforme","Périodicité "&amp;PeriodiciteEPP&amp;" ans")))</f>
        <v/>
      </c>
      <c r="P398" s="43" t="str">
        <f aca="false">IF(OR($B398="",$H398=""),"",IF($N398="",EDATE($H398,DelaiPremierEPP),IF(AND(ReglesTransitoires="Oui",EDATE($N398,AnciennePeriodiciteEP*12)&lt;DateVigueur),EDATE($N398,AnciennePeriodiciteEP*12),EDATE($N398,PeriodiciteEPP*12))))</f>
        <v/>
      </c>
      <c r="Q398" s="40"/>
      <c r="R398" s="45" t="str">
        <f aca="false">IF(OR($P398="",AND($I398&lt;&gt;"",$I398&lt;=DateRef)),"",$P398-DateRef)</f>
        <v/>
      </c>
      <c r="S398" s="42" t="str">
        <f aca="false">IF($B398="","",IF(AND($I398&lt;&gt;"",$I398&lt;=DateRef),"Sorti",IF($H398="","À compléter",IF(AND($Q398&lt;&gt;"",$Q398&gt;=DateRef,$Q398&lt;=$P398),"Planifié",IF($R398&lt;0,"En retard",IF($R398&lt;=SeuilAlerteEPP,"À planifier","À jour"))))))</f>
        <v/>
      </c>
      <c r="T398" s="46" t="str">
        <f aca="false">IF(OR($B398="",$S398="Sorti"),"",MID(IF($H398=""," | Date d'embauche manquante","")&amp;IF(AND($K398="Plus d'un an",$N398="")," | Précédent entretien à renseigner (ancienneté &gt; 1 an)","")&amp;IF($O398="Retard antérieur à la réforme"," | Ancien délai de 2 ans expiré avant la réforme","")&amp;IF(AND($N398&lt;&gt;"",$H398&lt;&gt;"",$N398&lt;$H398)," | Entretien antérieur à l'embauche ?","")&amp;IF(AND($N398&lt;&gt;"",$N398&gt;DateRef)," | Entretien daté dans le futur ?","")&amp;IF(AND($Q398&lt;&gt;"",$P398&lt;&gt;"",$Q398&gt;$P398)," | Date prévue après l'échéance","")&amp;IF(AND($Q398&lt;&gt;"",$Q398&lt;DateRef,OR($N398="",$N398&lt;$Q398))," | Entretien prévu passé : le consigner au Journal","")&amp;IF(AND($G398&lt;&gt;"",$X398="",YEAR(DateRef)-YEAR($G398)&gt;=AgeMiCarriere-1,YEAR(DateRef)-YEAR($G398)&lt;=AgeMiCarriere+1)," | Visite de mi-carrière à vérifier",""),4,1000))</f>
        <v/>
      </c>
      <c r="U398" s="39"/>
      <c r="V398" s="40"/>
      <c r="W398" s="42" t="str">
        <f aca="false">IF(OR($B398="",$V398=""),"",IF(AND($I398&lt;&gt;"",$I398&lt;=DateRef),"",IF(AND($N398&lt;&gt;"",$N398&gt;=$V398),"Réalisé",IF(AND($N398&lt;&gt;"",$N398&gt;=EDATE($V398,-FenetreRetour)),"Dispensé (EPP récent)",IF($V398&gt;DateRef,"À prévoir à la reprise","À proposer (reprise passée)")))))</f>
        <v/>
      </c>
      <c r="X398" s="40"/>
      <c r="Y398" s="43" t="str">
        <f aca="false">IF(OR($B398="",$X398=""),"",EDATE($X398,DelaiMiCarriere))</f>
        <v/>
      </c>
      <c r="Z398" s="42" t="str">
        <f aca="false">IF(OR($B398="",$X398=""),"",IF(AND($I398&lt;&gt;"",$I398&lt;=DateRef),"",IF(AND($N398&lt;&gt;"",$N398&gt;=$X398),"Réalisé",IF($Y398&lt;DateRef,"En retard","À planifier"))))</f>
        <v/>
      </c>
      <c r="AA398" s="47" t="str">
        <f aca="false">IF(OR($B398="",$G398=""),"",IF($G398&gt;DateRef,"",DATEDIF($G398,DateRef,"y")))</f>
        <v/>
      </c>
      <c r="AB398" s="43" t="str">
        <f aca="false">IF(OR($B398="",$G398=""),"",EDATE($G398,AgeFinCarriere*12))</f>
        <v/>
      </c>
      <c r="AC398" s="42" t="str">
        <f aca="false">IF(OR($B398="",$G398="",$H398=""),"",IF(AND($I398&lt;&gt;"",$I398&lt;=DateRef),"",IF($AB398&lt;DateVigueur,"Non concerné",IF(AND($N398&lt;&gt;"",$N398&gt;=MAX(EDATE($AB398,-FenetreFinCarriere*12),DateVigueur),$N398&lt;=$AB398),"Réalisé",IF(DateRef&gt;$AB398,"Non réalisé",IF(AND($Q398&lt;&gt;"",$Q398&gt;=EDATE($AB398,-FenetreFinCarriere*12),$Q398&lt;=$AB398),"Planifié dans la fenêtre",IF(AND(MAX($P398,DateRef)&gt;=EDATE($AB398,-FenetreFinCarriere*12),MAX($P398,DateRef)&lt;=$AB398),"Prochain EPP dans la fenêtre",IF(MAX($P398,DateRef)&gt;$AB398,"À programmer avant 60 ans",""))))))))</f>
        <v/>
      </c>
      <c r="AD398" s="40"/>
      <c r="AE398" s="43" t="str">
        <f aca="false">IF(OR($B398="",$H398="",AND($I398&lt;&gt;"",$I398&lt;=DateRef)),"",MAX($H398,$AD398,IF($A398="",0,SUMPRODUCT(MAX((Journal!$A$6:$A$1005=$A398)*((Journal!$D$6:$D$1005=TypeEDL)+(Journal!$D$6:$D$1005=TypeBilan6))*Journal!$C$6:$C$1005)))))</f>
        <v/>
      </c>
      <c r="AF398" s="43" t="str">
        <f aca="false">IF($AE398="","",IF(AND(ReglesTransitoires="Oui",EDATE($AE398,AnciennePeriodiciteEDL*12)&lt;DateVigueur),EDATE($AE398,AnciennePeriodiciteEDL*12),EDATE($AE398,PeriodiciteEDL*12)))</f>
        <v/>
      </c>
      <c r="AG398" s="42" t="str">
        <f aca="false">IF($AF398="","",IF(AND($I398&lt;&gt;"",$I398&lt;=DateRef),"",IF($AF398&lt;DateRef,"En retard",IF($AF398-DateRef&lt;=SeuilAlerteEDL,"À prévoir","À jour"))))</f>
        <v/>
      </c>
      <c r="AH398" s="39"/>
      <c r="AI398" s="39"/>
      <c r="AJ398" s="42" t="str">
        <f aca="false">IF(OR($B398="",$H398=""),"",IF(AND($I398&lt;&gt;"",$I398&lt;=DateRef),"",IF(Effectif&lt;SeuilEffectif,"Non concerné (&lt; "&amp;SeuilEffectif&amp;" salariés)",IF($AH398="Oui","Pas de risque",IF(AND(OR($AI398="Non",$S398="En retard"),$AH398="Non"),"Risque abondement",IF(OR($AI398="Non",$S398="En retard"),"À vérifier (formation ?)",IF($AI398="Oui","Pas de risque","À compléter")))))))</f>
        <v/>
      </c>
      <c r="AK398" s="39"/>
    </row>
    <row r="399" customFormat="false" ht="15" hidden="false" customHeight="false" outlineLevel="0" collapsed="false">
      <c r="A399" s="39"/>
      <c r="B399" s="39"/>
      <c r="C399" s="39"/>
      <c r="D399" s="39"/>
      <c r="E399" s="39"/>
      <c r="F399" s="39"/>
      <c r="G399" s="40"/>
      <c r="H399" s="40"/>
      <c r="I399" s="40"/>
      <c r="J399" s="41" t="str">
        <f aca="false">IF(OR($B399="",$H399=""),"",IF($H399&gt;DateRef,0,YEARFRAC($H399,DateRef,1)))</f>
        <v/>
      </c>
      <c r="K399" s="42" t="str">
        <f aca="false">IF(OR($B399="",$H399=""),"",IF(EDATE($H399,12)&lt;=DateRef,"Plus d'un an","Moins d'un an"))</f>
        <v/>
      </c>
      <c r="L399" s="40"/>
      <c r="M399" s="43" t="str">
        <f aca="false">IF(OR($B399="",$A399=""),"",IF(SUMPRODUCT(MAX((Journal!$A$6:$A$1005=$A399)*Journal!$C$6:$C$1005))=0,"",SUMPRODUCT(MAX((Journal!$A$6:$A$1005=$A399)*Journal!$C$6:$C$1005))))</f>
        <v/>
      </c>
      <c r="N399" s="43" t="str">
        <f aca="false">IF($B399="","",IF(MAX($L399,$M399)=0,"",MAX($L399,$M399)))</f>
        <v/>
      </c>
      <c r="O399" s="44" t="str">
        <f aca="false">IF(OR($B399="",$H399=""),"",IF($N399="",IF(EDATE($H399,DelaiPremierEPP)&gt;DateRef,"1er EPP (1re année)","Aucun entretien renseigné"),IF(AND(ReglesTransitoires="Oui",EDATE($N399,AnciennePeriodiciteEP*12)&lt;DateVigueur),"Retard antérieur à la réforme","Périodicité "&amp;PeriodiciteEPP&amp;" ans")))</f>
        <v/>
      </c>
      <c r="P399" s="43" t="str">
        <f aca="false">IF(OR($B399="",$H399=""),"",IF($N399="",EDATE($H399,DelaiPremierEPP),IF(AND(ReglesTransitoires="Oui",EDATE($N399,AnciennePeriodiciteEP*12)&lt;DateVigueur),EDATE($N399,AnciennePeriodiciteEP*12),EDATE($N399,PeriodiciteEPP*12))))</f>
        <v/>
      </c>
      <c r="Q399" s="40"/>
      <c r="R399" s="45" t="str">
        <f aca="false">IF(OR($P399="",AND($I399&lt;&gt;"",$I399&lt;=DateRef)),"",$P399-DateRef)</f>
        <v/>
      </c>
      <c r="S399" s="42" t="str">
        <f aca="false">IF($B399="","",IF(AND($I399&lt;&gt;"",$I399&lt;=DateRef),"Sorti",IF($H399="","À compléter",IF(AND($Q399&lt;&gt;"",$Q399&gt;=DateRef,$Q399&lt;=$P399),"Planifié",IF($R399&lt;0,"En retard",IF($R399&lt;=SeuilAlerteEPP,"À planifier","À jour"))))))</f>
        <v/>
      </c>
      <c r="T399" s="46" t="str">
        <f aca="false">IF(OR($B399="",$S399="Sorti"),"",MID(IF($H399=""," | Date d'embauche manquante","")&amp;IF(AND($K399="Plus d'un an",$N399="")," | Précédent entretien à renseigner (ancienneté &gt; 1 an)","")&amp;IF($O399="Retard antérieur à la réforme"," | Ancien délai de 2 ans expiré avant la réforme","")&amp;IF(AND($N399&lt;&gt;"",$H399&lt;&gt;"",$N399&lt;$H399)," | Entretien antérieur à l'embauche ?","")&amp;IF(AND($N399&lt;&gt;"",$N399&gt;DateRef)," | Entretien daté dans le futur ?","")&amp;IF(AND($Q399&lt;&gt;"",$P399&lt;&gt;"",$Q399&gt;$P399)," | Date prévue après l'échéance","")&amp;IF(AND($Q399&lt;&gt;"",$Q399&lt;DateRef,OR($N399="",$N399&lt;$Q399))," | Entretien prévu passé : le consigner au Journal","")&amp;IF(AND($G399&lt;&gt;"",$X399="",YEAR(DateRef)-YEAR($G399)&gt;=AgeMiCarriere-1,YEAR(DateRef)-YEAR($G399)&lt;=AgeMiCarriere+1)," | Visite de mi-carrière à vérifier",""),4,1000))</f>
        <v/>
      </c>
      <c r="U399" s="39"/>
      <c r="V399" s="40"/>
      <c r="W399" s="42" t="str">
        <f aca="false">IF(OR($B399="",$V399=""),"",IF(AND($I399&lt;&gt;"",$I399&lt;=DateRef),"",IF(AND($N399&lt;&gt;"",$N399&gt;=$V399),"Réalisé",IF(AND($N399&lt;&gt;"",$N399&gt;=EDATE($V399,-FenetreRetour)),"Dispensé (EPP récent)",IF($V399&gt;DateRef,"À prévoir à la reprise","À proposer (reprise passée)")))))</f>
        <v/>
      </c>
      <c r="X399" s="40"/>
      <c r="Y399" s="43" t="str">
        <f aca="false">IF(OR($B399="",$X399=""),"",EDATE($X399,DelaiMiCarriere))</f>
        <v/>
      </c>
      <c r="Z399" s="42" t="str">
        <f aca="false">IF(OR($B399="",$X399=""),"",IF(AND($I399&lt;&gt;"",$I399&lt;=DateRef),"",IF(AND($N399&lt;&gt;"",$N399&gt;=$X399),"Réalisé",IF($Y399&lt;DateRef,"En retard","À planifier"))))</f>
        <v/>
      </c>
      <c r="AA399" s="47" t="str">
        <f aca="false">IF(OR($B399="",$G399=""),"",IF($G399&gt;DateRef,"",DATEDIF($G399,DateRef,"y")))</f>
        <v/>
      </c>
      <c r="AB399" s="43" t="str">
        <f aca="false">IF(OR($B399="",$G399=""),"",EDATE($G399,AgeFinCarriere*12))</f>
        <v/>
      </c>
      <c r="AC399" s="42" t="str">
        <f aca="false">IF(OR($B399="",$G399="",$H399=""),"",IF(AND($I399&lt;&gt;"",$I399&lt;=DateRef),"",IF($AB399&lt;DateVigueur,"Non concerné",IF(AND($N399&lt;&gt;"",$N399&gt;=MAX(EDATE($AB399,-FenetreFinCarriere*12),DateVigueur),$N399&lt;=$AB399),"Réalisé",IF(DateRef&gt;$AB399,"Non réalisé",IF(AND($Q399&lt;&gt;"",$Q399&gt;=EDATE($AB399,-FenetreFinCarriere*12),$Q399&lt;=$AB399),"Planifié dans la fenêtre",IF(AND(MAX($P399,DateRef)&gt;=EDATE($AB399,-FenetreFinCarriere*12),MAX($P399,DateRef)&lt;=$AB399),"Prochain EPP dans la fenêtre",IF(MAX($P399,DateRef)&gt;$AB399,"À programmer avant 60 ans",""))))))))</f>
        <v/>
      </c>
      <c r="AD399" s="40"/>
      <c r="AE399" s="43" t="str">
        <f aca="false">IF(OR($B399="",$H399="",AND($I399&lt;&gt;"",$I399&lt;=DateRef)),"",MAX($H399,$AD399,IF($A399="",0,SUMPRODUCT(MAX((Journal!$A$6:$A$1005=$A399)*((Journal!$D$6:$D$1005=TypeEDL)+(Journal!$D$6:$D$1005=TypeBilan6))*Journal!$C$6:$C$1005)))))</f>
        <v/>
      </c>
      <c r="AF399" s="43" t="str">
        <f aca="false">IF($AE399="","",IF(AND(ReglesTransitoires="Oui",EDATE($AE399,AnciennePeriodiciteEDL*12)&lt;DateVigueur),EDATE($AE399,AnciennePeriodiciteEDL*12),EDATE($AE399,PeriodiciteEDL*12)))</f>
        <v/>
      </c>
      <c r="AG399" s="42" t="str">
        <f aca="false">IF($AF399="","",IF(AND($I399&lt;&gt;"",$I399&lt;=DateRef),"",IF($AF399&lt;DateRef,"En retard",IF($AF399-DateRef&lt;=SeuilAlerteEDL,"À prévoir","À jour"))))</f>
        <v/>
      </c>
      <c r="AH399" s="39"/>
      <c r="AI399" s="39"/>
      <c r="AJ399" s="42" t="str">
        <f aca="false">IF(OR($B399="",$H399=""),"",IF(AND($I399&lt;&gt;"",$I399&lt;=DateRef),"",IF(Effectif&lt;SeuilEffectif,"Non concerné (&lt; "&amp;SeuilEffectif&amp;" salariés)",IF($AH399="Oui","Pas de risque",IF(AND(OR($AI399="Non",$S399="En retard"),$AH399="Non"),"Risque abondement",IF(OR($AI399="Non",$S399="En retard"),"À vérifier (formation ?)",IF($AI399="Oui","Pas de risque","À compléter")))))))</f>
        <v/>
      </c>
      <c r="AK399" s="39"/>
    </row>
    <row r="400" customFormat="false" ht="15" hidden="false" customHeight="false" outlineLevel="0" collapsed="false">
      <c r="A400" s="39"/>
      <c r="B400" s="39"/>
      <c r="C400" s="39"/>
      <c r="D400" s="39"/>
      <c r="E400" s="39"/>
      <c r="F400" s="39"/>
      <c r="G400" s="40"/>
      <c r="H400" s="40"/>
      <c r="I400" s="40"/>
      <c r="J400" s="41" t="str">
        <f aca="false">IF(OR($B400="",$H400=""),"",IF($H400&gt;DateRef,0,YEARFRAC($H400,DateRef,1)))</f>
        <v/>
      </c>
      <c r="K400" s="42" t="str">
        <f aca="false">IF(OR($B400="",$H400=""),"",IF(EDATE($H400,12)&lt;=DateRef,"Plus d'un an","Moins d'un an"))</f>
        <v/>
      </c>
      <c r="L400" s="40"/>
      <c r="M400" s="43" t="str">
        <f aca="false">IF(OR($B400="",$A400=""),"",IF(SUMPRODUCT(MAX((Journal!$A$6:$A$1005=$A400)*Journal!$C$6:$C$1005))=0,"",SUMPRODUCT(MAX((Journal!$A$6:$A$1005=$A400)*Journal!$C$6:$C$1005))))</f>
        <v/>
      </c>
      <c r="N400" s="43" t="str">
        <f aca="false">IF($B400="","",IF(MAX($L400,$M400)=0,"",MAX($L400,$M400)))</f>
        <v/>
      </c>
      <c r="O400" s="44" t="str">
        <f aca="false">IF(OR($B400="",$H400=""),"",IF($N400="",IF(EDATE($H400,DelaiPremierEPP)&gt;DateRef,"1er EPP (1re année)","Aucun entretien renseigné"),IF(AND(ReglesTransitoires="Oui",EDATE($N400,AnciennePeriodiciteEP*12)&lt;DateVigueur),"Retard antérieur à la réforme","Périodicité "&amp;PeriodiciteEPP&amp;" ans")))</f>
        <v/>
      </c>
      <c r="P400" s="43" t="str">
        <f aca="false">IF(OR($B400="",$H400=""),"",IF($N400="",EDATE($H400,DelaiPremierEPP),IF(AND(ReglesTransitoires="Oui",EDATE($N400,AnciennePeriodiciteEP*12)&lt;DateVigueur),EDATE($N400,AnciennePeriodiciteEP*12),EDATE($N400,PeriodiciteEPP*12))))</f>
        <v/>
      </c>
      <c r="Q400" s="40"/>
      <c r="R400" s="45" t="str">
        <f aca="false">IF(OR($P400="",AND($I400&lt;&gt;"",$I400&lt;=DateRef)),"",$P400-DateRef)</f>
        <v/>
      </c>
      <c r="S400" s="42" t="str">
        <f aca="false">IF($B400="","",IF(AND($I400&lt;&gt;"",$I400&lt;=DateRef),"Sorti",IF($H400="","À compléter",IF(AND($Q400&lt;&gt;"",$Q400&gt;=DateRef,$Q400&lt;=$P400),"Planifié",IF($R400&lt;0,"En retard",IF($R400&lt;=SeuilAlerteEPP,"À planifier","À jour"))))))</f>
        <v/>
      </c>
      <c r="T400" s="46" t="str">
        <f aca="false">IF(OR($B400="",$S400="Sorti"),"",MID(IF($H400=""," | Date d'embauche manquante","")&amp;IF(AND($K400="Plus d'un an",$N400="")," | Précédent entretien à renseigner (ancienneté &gt; 1 an)","")&amp;IF($O400="Retard antérieur à la réforme"," | Ancien délai de 2 ans expiré avant la réforme","")&amp;IF(AND($N400&lt;&gt;"",$H400&lt;&gt;"",$N400&lt;$H400)," | Entretien antérieur à l'embauche ?","")&amp;IF(AND($N400&lt;&gt;"",$N400&gt;DateRef)," | Entretien daté dans le futur ?","")&amp;IF(AND($Q400&lt;&gt;"",$P400&lt;&gt;"",$Q400&gt;$P400)," | Date prévue après l'échéance","")&amp;IF(AND($Q400&lt;&gt;"",$Q400&lt;DateRef,OR($N400="",$N400&lt;$Q400))," | Entretien prévu passé : le consigner au Journal","")&amp;IF(AND($G400&lt;&gt;"",$X400="",YEAR(DateRef)-YEAR($G400)&gt;=AgeMiCarriere-1,YEAR(DateRef)-YEAR($G400)&lt;=AgeMiCarriere+1)," | Visite de mi-carrière à vérifier",""),4,1000))</f>
        <v/>
      </c>
      <c r="U400" s="39"/>
      <c r="V400" s="40"/>
      <c r="W400" s="42" t="str">
        <f aca="false">IF(OR($B400="",$V400=""),"",IF(AND($I400&lt;&gt;"",$I400&lt;=DateRef),"",IF(AND($N400&lt;&gt;"",$N400&gt;=$V400),"Réalisé",IF(AND($N400&lt;&gt;"",$N400&gt;=EDATE($V400,-FenetreRetour)),"Dispensé (EPP récent)",IF($V400&gt;DateRef,"À prévoir à la reprise","À proposer (reprise passée)")))))</f>
        <v/>
      </c>
      <c r="X400" s="40"/>
      <c r="Y400" s="43" t="str">
        <f aca="false">IF(OR($B400="",$X400=""),"",EDATE($X400,DelaiMiCarriere))</f>
        <v/>
      </c>
      <c r="Z400" s="42" t="str">
        <f aca="false">IF(OR($B400="",$X400=""),"",IF(AND($I400&lt;&gt;"",$I400&lt;=DateRef),"",IF(AND($N400&lt;&gt;"",$N400&gt;=$X400),"Réalisé",IF($Y400&lt;DateRef,"En retard","À planifier"))))</f>
        <v/>
      </c>
      <c r="AA400" s="47" t="str">
        <f aca="false">IF(OR($B400="",$G400=""),"",IF($G400&gt;DateRef,"",DATEDIF($G400,DateRef,"y")))</f>
        <v/>
      </c>
      <c r="AB400" s="43" t="str">
        <f aca="false">IF(OR($B400="",$G400=""),"",EDATE($G400,AgeFinCarriere*12))</f>
        <v/>
      </c>
      <c r="AC400" s="42" t="str">
        <f aca="false">IF(OR($B400="",$G400="",$H400=""),"",IF(AND($I400&lt;&gt;"",$I400&lt;=DateRef),"",IF($AB400&lt;DateVigueur,"Non concerné",IF(AND($N400&lt;&gt;"",$N400&gt;=MAX(EDATE($AB400,-FenetreFinCarriere*12),DateVigueur),$N400&lt;=$AB400),"Réalisé",IF(DateRef&gt;$AB400,"Non réalisé",IF(AND($Q400&lt;&gt;"",$Q400&gt;=EDATE($AB400,-FenetreFinCarriere*12),$Q400&lt;=$AB400),"Planifié dans la fenêtre",IF(AND(MAX($P400,DateRef)&gt;=EDATE($AB400,-FenetreFinCarriere*12),MAX($P400,DateRef)&lt;=$AB400),"Prochain EPP dans la fenêtre",IF(MAX($P400,DateRef)&gt;$AB400,"À programmer avant 60 ans",""))))))))</f>
        <v/>
      </c>
      <c r="AD400" s="40"/>
      <c r="AE400" s="43" t="str">
        <f aca="false">IF(OR($B400="",$H400="",AND($I400&lt;&gt;"",$I400&lt;=DateRef)),"",MAX($H400,$AD400,IF($A400="",0,SUMPRODUCT(MAX((Journal!$A$6:$A$1005=$A400)*((Journal!$D$6:$D$1005=TypeEDL)+(Journal!$D$6:$D$1005=TypeBilan6))*Journal!$C$6:$C$1005)))))</f>
        <v/>
      </c>
      <c r="AF400" s="43" t="str">
        <f aca="false">IF($AE400="","",IF(AND(ReglesTransitoires="Oui",EDATE($AE400,AnciennePeriodiciteEDL*12)&lt;DateVigueur),EDATE($AE400,AnciennePeriodiciteEDL*12),EDATE($AE400,PeriodiciteEDL*12)))</f>
        <v/>
      </c>
      <c r="AG400" s="42" t="str">
        <f aca="false">IF($AF400="","",IF(AND($I400&lt;&gt;"",$I400&lt;=DateRef),"",IF($AF400&lt;DateRef,"En retard",IF($AF400-DateRef&lt;=SeuilAlerteEDL,"À prévoir","À jour"))))</f>
        <v/>
      </c>
      <c r="AH400" s="39"/>
      <c r="AI400" s="39"/>
      <c r="AJ400" s="42" t="str">
        <f aca="false">IF(OR($B400="",$H400=""),"",IF(AND($I400&lt;&gt;"",$I400&lt;=DateRef),"",IF(Effectif&lt;SeuilEffectif,"Non concerné (&lt; "&amp;SeuilEffectif&amp;" salariés)",IF($AH400="Oui","Pas de risque",IF(AND(OR($AI400="Non",$S400="En retard"),$AH400="Non"),"Risque abondement",IF(OR($AI400="Non",$S400="En retard"),"À vérifier (formation ?)",IF($AI400="Oui","Pas de risque","À compléter")))))))</f>
        <v/>
      </c>
      <c r="AK400" s="39"/>
    </row>
    <row r="401" customFormat="false" ht="15" hidden="false" customHeight="false" outlineLevel="0" collapsed="false">
      <c r="A401" s="39"/>
      <c r="B401" s="39"/>
      <c r="C401" s="39"/>
      <c r="D401" s="39"/>
      <c r="E401" s="39"/>
      <c r="F401" s="39"/>
      <c r="G401" s="40"/>
      <c r="H401" s="40"/>
      <c r="I401" s="40"/>
      <c r="J401" s="41" t="str">
        <f aca="false">IF(OR($B401="",$H401=""),"",IF($H401&gt;DateRef,0,YEARFRAC($H401,DateRef,1)))</f>
        <v/>
      </c>
      <c r="K401" s="42" t="str">
        <f aca="false">IF(OR($B401="",$H401=""),"",IF(EDATE($H401,12)&lt;=DateRef,"Plus d'un an","Moins d'un an"))</f>
        <v/>
      </c>
      <c r="L401" s="40"/>
      <c r="M401" s="43" t="str">
        <f aca="false">IF(OR($B401="",$A401=""),"",IF(SUMPRODUCT(MAX((Journal!$A$6:$A$1005=$A401)*Journal!$C$6:$C$1005))=0,"",SUMPRODUCT(MAX((Journal!$A$6:$A$1005=$A401)*Journal!$C$6:$C$1005))))</f>
        <v/>
      </c>
      <c r="N401" s="43" t="str">
        <f aca="false">IF($B401="","",IF(MAX($L401,$M401)=0,"",MAX($L401,$M401)))</f>
        <v/>
      </c>
      <c r="O401" s="44" t="str">
        <f aca="false">IF(OR($B401="",$H401=""),"",IF($N401="",IF(EDATE($H401,DelaiPremierEPP)&gt;DateRef,"1er EPP (1re année)","Aucun entretien renseigné"),IF(AND(ReglesTransitoires="Oui",EDATE($N401,AnciennePeriodiciteEP*12)&lt;DateVigueur),"Retard antérieur à la réforme","Périodicité "&amp;PeriodiciteEPP&amp;" ans")))</f>
        <v/>
      </c>
      <c r="P401" s="43" t="str">
        <f aca="false">IF(OR($B401="",$H401=""),"",IF($N401="",EDATE($H401,DelaiPremierEPP),IF(AND(ReglesTransitoires="Oui",EDATE($N401,AnciennePeriodiciteEP*12)&lt;DateVigueur),EDATE($N401,AnciennePeriodiciteEP*12),EDATE($N401,PeriodiciteEPP*12))))</f>
        <v/>
      </c>
      <c r="Q401" s="40"/>
      <c r="R401" s="45" t="str">
        <f aca="false">IF(OR($P401="",AND($I401&lt;&gt;"",$I401&lt;=DateRef)),"",$P401-DateRef)</f>
        <v/>
      </c>
      <c r="S401" s="42" t="str">
        <f aca="false">IF($B401="","",IF(AND($I401&lt;&gt;"",$I401&lt;=DateRef),"Sorti",IF($H401="","À compléter",IF(AND($Q401&lt;&gt;"",$Q401&gt;=DateRef,$Q401&lt;=$P401),"Planifié",IF($R401&lt;0,"En retard",IF($R401&lt;=SeuilAlerteEPP,"À planifier","À jour"))))))</f>
        <v/>
      </c>
      <c r="T401" s="46" t="str">
        <f aca="false">IF(OR($B401="",$S401="Sorti"),"",MID(IF($H401=""," | Date d'embauche manquante","")&amp;IF(AND($K401="Plus d'un an",$N401="")," | Précédent entretien à renseigner (ancienneté &gt; 1 an)","")&amp;IF($O401="Retard antérieur à la réforme"," | Ancien délai de 2 ans expiré avant la réforme","")&amp;IF(AND($N401&lt;&gt;"",$H401&lt;&gt;"",$N401&lt;$H401)," | Entretien antérieur à l'embauche ?","")&amp;IF(AND($N401&lt;&gt;"",$N401&gt;DateRef)," | Entretien daté dans le futur ?","")&amp;IF(AND($Q401&lt;&gt;"",$P401&lt;&gt;"",$Q401&gt;$P401)," | Date prévue après l'échéance","")&amp;IF(AND($Q401&lt;&gt;"",$Q401&lt;DateRef,OR($N401="",$N401&lt;$Q401))," | Entretien prévu passé : le consigner au Journal","")&amp;IF(AND($G401&lt;&gt;"",$X401="",YEAR(DateRef)-YEAR($G401)&gt;=AgeMiCarriere-1,YEAR(DateRef)-YEAR($G401)&lt;=AgeMiCarriere+1)," | Visite de mi-carrière à vérifier",""),4,1000))</f>
        <v/>
      </c>
      <c r="U401" s="39"/>
      <c r="V401" s="40"/>
      <c r="W401" s="42" t="str">
        <f aca="false">IF(OR($B401="",$V401=""),"",IF(AND($I401&lt;&gt;"",$I401&lt;=DateRef),"",IF(AND($N401&lt;&gt;"",$N401&gt;=$V401),"Réalisé",IF(AND($N401&lt;&gt;"",$N401&gt;=EDATE($V401,-FenetreRetour)),"Dispensé (EPP récent)",IF($V401&gt;DateRef,"À prévoir à la reprise","À proposer (reprise passée)")))))</f>
        <v/>
      </c>
      <c r="X401" s="40"/>
      <c r="Y401" s="43" t="str">
        <f aca="false">IF(OR($B401="",$X401=""),"",EDATE($X401,DelaiMiCarriere))</f>
        <v/>
      </c>
      <c r="Z401" s="42" t="str">
        <f aca="false">IF(OR($B401="",$X401=""),"",IF(AND($I401&lt;&gt;"",$I401&lt;=DateRef),"",IF(AND($N401&lt;&gt;"",$N401&gt;=$X401),"Réalisé",IF($Y401&lt;DateRef,"En retard","À planifier"))))</f>
        <v/>
      </c>
      <c r="AA401" s="47" t="str">
        <f aca="false">IF(OR($B401="",$G401=""),"",IF($G401&gt;DateRef,"",DATEDIF($G401,DateRef,"y")))</f>
        <v/>
      </c>
      <c r="AB401" s="43" t="str">
        <f aca="false">IF(OR($B401="",$G401=""),"",EDATE($G401,AgeFinCarriere*12))</f>
        <v/>
      </c>
      <c r="AC401" s="42" t="str">
        <f aca="false">IF(OR($B401="",$G401="",$H401=""),"",IF(AND($I401&lt;&gt;"",$I401&lt;=DateRef),"",IF($AB401&lt;DateVigueur,"Non concerné",IF(AND($N401&lt;&gt;"",$N401&gt;=MAX(EDATE($AB401,-FenetreFinCarriere*12),DateVigueur),$N401&lt;=$AB401),"Réalisé",IF(DateRef&gt;$AB401,"Non réalisé",IF(AND($Q401&lt;&gt;"",$Q401&gt;=EDATE($AB401,-FenetreFinCarriere*12),$Q401&lt;=$AB401),"Planifié dans la fenêtre",IF(AND(MAX($P401,DateRef)&gt;=EDATE($AB401,-FenetreFinCarriere*12),MAX($P401,DateRef)&lt;=$AB401),"Prochain EPP dans la fenêtre",IF(MAX($P401,DateRef)&gt;$AB401,"À programmer avant 60 ans",""))))))))</f>
        <v/>
      </c>
      <c r="AD401" s="40"/>
      <c r="AE401" s="43" t="str">
        <f aca="false">IF(OR($B401="",$H401="",AND($I401&lt;&gt;"",$I401&lt;=DateRef)),"",MAX($H401,$AD401,IF($A401="",0,SUMPRODUCT(MAX((Journal!$A$6:$A$1005=$A401)*((Journal!$D$6:$D$1005=TypeEDL)+(Journal!$D$6:$D$1005=TypeBilan6))*Journal!$C$6:$C$1005)))))</f>
        <v/>
      </c>
      <c r="AF401" s="43" t="str">
        <f aca="false">IF($AE401="","",IF(AND(ReglesTransitoires="Oui",EDATE($AE401,AnciennePeriodiciteEDL*12)&lt;DateVigueur),EDATE($AE401,AnciennePeriodiciteEDL*12),EDATE($AE401,PeriodiciteEDL*12)))</f>
        <v/>
      </c>
      <c r="AG401" s="42" t="str">
        <f aca="false">IF($AF401="","",IF(AND($I401&lt;&gt;"",$I401&lt;=DateRef),"",IF($AF401&lt;DateRef,"En retard",IF($AF401-DateRef&lt;=SeuilAlerteEDL,"À prévoir","À jour"))))</f>
        <v/>
      </c>
      <c r="AH401" s="39"/>
      <c r="AI401" s="39"/>
      <c r="AJ401" s="42" t="str">
        <f aca="false">IF(OR($B401="",$H401=""),"",IF(AND($I401&lt;&gt;"",$I401&lt;=DateRef),"",IF(Effectif&lt;SeuilEffectif,"Non concerné (&lt; "&amp;SeuilEffectif&amp;" salariés)",IF($AH401="Oui","Pas de risque",IF(AND(OR($AI401="Non",$S401="En retard"),$AH401="Non"),"Risque abondement",IF(OR($AI401="Non",$S401="En retard"),"À vérifier (formation ?)",IF($AI401="Oui","Pas de risque","À compléter")))))))</f>
        <v/>
      </c>
      <c r="AK401" s="39"/>
    </row>
    <row r="402" customFormat="false" ht="15" hidden="false" customHeight="false" outlineLevel="0" collapsed="false">
      <c r="A402" s="39"/>
      <c r="B402" s="39"/>
      <c r="C402" s="39"/>
      <c r="D402" s="39"/>
      <c r="E402" s="39"/>
      <c r="F402" s="39"/>
      <c r="G402" s="40"/>
      <c r="H402" s="40"/>
      <c r="I402" s="40"/>
      <c r="J402" s="41" t="str">
        <f aca="false">IF(OR($B402="",$H402=""),"",IF($H402&gt;DateRef,0,YEARFRAC($H402,DateRef,1)))</f>
        <v/>
      </c>
      <c r="K402" s="42" t="str">
        <f aca="false">IF(OR($B402="",$H402=""),"",IF(EDATE($H402,12)&lt;=DateRef,"Plus d'un an","Moins d'un an"))</f>
        <v/>
      </c>
      <c r="L402" s="40"/>
      <c r="M402" s="43" t="str">
        <f aca="false">IF(OR($B402="",$A402=""),"",IF(SUMPRODUCT(MAX((Journal!$A$6:$A$1005=$A402)*Journal!$C$6:$C$1005))=0,"",SUMPRODUCT(MAX((Journal!$A$6:$A$1005=$A402)*Journal!$C$6:$C$1005))))</f>
        <v/>
      </c>
      <c r="N402" s="43" t="str">
        <f aca="false">IF($B402="","",IF(MAX($L402,$M402)=0,"",MAX($L402,$M402)))</f>
        <v/>
      </c>
      <c r="O402" s="44" t="str">
        <f aca="false">IF(OR($B402="",$H402=""),"",IF($N402="",IF(EDATE($H402,DelaiPremierEPP)&gt;DateRef,"1er EPP (1re année)","Aucun entretien renseigné"),IF(AND(ReglesTransitoires="Oui",EDATE($N402,AnciennePeriodiciteEP*12)&lt;DateVigueur),"Retard antérieur à la réforme","Périodicité "&amp;PeriodiciteEPP&amp;" ans")))</f>
        <v/>
      </c>
      <c r="P402" s="43" t="str">
        <f aca="false">IF(OR($B402="",$H402=""),"",IF($N402="",EDATE($H402,DelaiPremierEPP),IF(AND(ReglesTransitoires="Oui",EDATE($N402,AnciennePeriodiciteEP*12)&lt;DateVigueur),EDATE($N402,AnciennePeriodiciteEP*12),EDATE($N402,PeriodiciteEPP*12))))</f>
        <v/>
      </c>
      <c r="Q402" s="40"/>
      <c r="R402" s="45" t="str">
        <f aca="false">IF(OR($P402="",AND($I402&lt;&gt;"",$I402&lt;=DateRef)),"",$P402-DateRef)</f>
        <v/>
      </c>
      <c r="S402" s="42" t="str">
        <f aca="false">IF($B402="","",IF(AND($I402&lt;&gt;"",$I402&lt;=DateRef),"Sorti",IF($H402="","À compléter",IF(AND($Q402&lt;&gt;"",$Q402&gt;=DateRef,$Q402&lt;=$P402),"Planifié",IF($R402&lt;0,"En retard",IF($R402&lt;=SeuilAlerteEPP,"À planifier","À jour"))))))</f>
        <v/>
      </c>
      <c r="T402" s="46" t="str">
        <f aca="false">IF(OR($B402="",$S402="Sorti"),"",MID(IF($H402=""," | Date d'embauche manquante","")&amp;IF(AND($K402="Plus d'un an",$N402="")," | Précédent entretien à renseigner (ancienneté &gt; 1 an)","")&amp;IF($O402="Retard antérieur à la réforme"," | Ancien délai de 2 ans expiré avant la réforme","")&amp;IF(AND($N402&lt;&gt;"",$H402&lt;&gt;"",$N402&lt;$H402)," | Entretien antérieur à l'embauche ?","")&amp;IF(AND($N402&lt;&gt;"",$N402&gt;DateRef)," | Entretien daté dans le futur ?","")&amp;IF(AND($Q402&lt;&gt;"",$P402&lt;&gt;"",$Q402&gt;$P402)," | Date prévue après l'échéance","")&amp;IF(AND($Q402&lt;&gt;"",$Q402&lt;DateRef,OR($N402="",$N402&lt;$Q402))," | Entretien prévu passé : le consigner au Journal","")&amp;IF(AND($G402&lt;&gt;"",$X402="",YEAR(DateRef)-YEAR($G402)&gt;=AgeMiCarriere-1,YEAR(DateRef)-YEAR($G402)&lt;=AgeMiCarriere+1)," | Visite de mi-carrière à vérifier",""),4,1000))</f>
        <v/>
      </c>
      <c r="U402" s="39"/>
      <c r="V402" s="40"/>
      <c r="W402" s="42" t="str">
        <f aca="false">IF(OR($B402="",$V402=""),"",IF(AND($I402&lt;&gt;"",$I402&lt;=DateRef),"",IF(AND($N402&lt;&gt;"",$N402&gt;=$V402),"Réalisé",IF(AND($N402&lt;&gt;"",$N402&gt;=EDATE($V402,-FenetreRetour)),"Dispensé (EPP récent)",IF($V402&gt;DateRef,"À prévoir à la reprise","À proposer (reprise passée)")))))</f>
        <v/>
      </c>
      <c r="X402" s="40"/>
      <c r="Y402" s="43" t="str">
        <f aca="false">IF(OR($B402="",$X402=""),"",EDATE($X402,DelaiMiCarriere))</f>
        <v/>
      </c>
      <c r="Z402" s="42" t="str">
        <f aca="false">IF(OR($B402="",$X402=""),"",IF(AND($I402&lt;&gt;"",$I402&lt;=DateRef),"",IF(AND($N402&lt;&gt;"",$N402&gt;=$X402),"Réalisé",IF($Y402&lt;DateRef,"En retard","À planifier"))))</f>
        <v/>
      </c>
      <c r="AA402" s="47" t="str">
        <f aca="false">IF(OR($B402="",$G402=""),"",IF($G402&gt;DateRef,"",DATEDIF($G402,DateRef,"y")))</f>
        <v/>
      </c>
      <c r="AB402" s="43" t="str">
        <f aca="false">IF(OR($B402="",$G402=""),"",EDATE($G402,AgeFinCarriere*12))</f>
        <v/>
      </c>
      <c r="AC402" s="42" t="str">
        <f aca="false">IF(OR($B402="",$G402="",$H402=""),"",IF(AND($I402&lt;&gt;"",$I402&lt;=DateRef),"",IF($AB402&lt;DateVigueur,"Non concerné",IF(AND($N402&lt;&gt;"",$N402&gt;=MAX(EDATE($AB402,-FenetreFinCarriere*12),DateVigueur),$N402&lt;=$AB402),"Réalisé",IF(DateRef&gt;$AB402,"Non réalisé",IF(AND($Q402&lt;&gt;"",$Q402&gt;=EDATE($AB402,-FenetreFinCarriere*12),$Q402&lt;=$AB402),"Planifié dans la fenêtre",IF(AND(MAX($P402,DateRef)&gt;=EDATE($AB402,-FenetreFinCarriere*12),MAX($P402,DateRef)&lt;=$AB402),"Prochain EPP dans la fenêtre",IF(MAX($P402,DateRef)&gt;$AB402,"À programmer avant 60 ans",""))))))))</f>
        <v/>
      </c>
      <c r="AD402" s="40"/>
      <c r="AE402" s="43" t="str">
        <f aca="false">IF(OR($B402="",$H402="",AND($I402&lt;&gt;"",$I402&lt;=DateRef)),"",MAX($H402,$AD402,IF($A402="",0,SUMPRODUCT(MAX((Journal!$A$6:$A$1005=$A402)*((Journal!$D$6:$D$1005=TypeEDL)+(Journal!$D$6:$D$1005=TypeBilan6))*Journal!$C$6:$C$1005)))))</f>
        <v/>
      </c>
      <c r="AF402" s="43" t="str">
        <f aca="false">IF($AE402="","",IF(AND(ReglesTransitoires="Oui",EDATE($AE402,AnciennePeriodiciteEDL*12)&lt;DateVigueur),EDATE($AE402,AnciennePeriodiciteEDL*12),EDATE($AE402,PeriodiciteEDL*12)))</f>
        <v/>
      </c>
      <c r="AG402" s="42" t="str">
        <f aca="false">IF($AF402="","",IF(AND($I402&lt;&gt;"",$I402&lt;=DateRef),"",IF($AF402&lt;DateRef,"En retard",IF($AF402-DateRef&lt;=SeuilAlerteEDL,"À prévoir","À jour"))))</f>
        <v/>
      </c>
      <c r="AH402" s="39"/>
      <c r="AI402" s="39"/>
      <c r="AJ402" s="42" t="str">
        <f aca="false">IF(OR($B402="",$H402=""),"",IF(AND($I402&lt;&gt;"",$I402&lt;=DateRef),"",IF(Effectif&lt;SeuilEffectif,"Non concerné (&lt; "&amp;SeuilEffectif&amp;" salariés)",IF($AH402="Oui","Pas de risque",IF(AND(OR($AI402="Non",$S402="En retard"),$AH402="Non"),"Risque abondement",IF(OR($AI402="Non",$S402="En retard"),"À vérifier (formation ?)",IF($AI402="Oui","Pas de risque","À compléter")))))))</f>
        <v/>
      </c>
      <c r="AK402" s="39"/>
    </row>
    <row r="403" customFormat="false" ht="15" hidden="false" customHeight="false" outlineLevel="0" collapsed="false">
      <c r="A403" s="39"/>
      <c r="B403" s="39"/>
      <c r="C403" s="39"/>
      <c r="D403" s="39"/>
      <c r="E403" s="39"/>
      <c r="F403" s="39"/>
      <c r="G403" s="40"/>
      <c r="H403" s="40"/>
      <c r="I403" s="40"/>
      <c r="J403" s="41" t="str">
        <f aca="false">IF(OR($B403="",$H403=""),"",IF($H403&gt;DateRef,0,YEARFRAC($H403,DateRef,1)))</f>
        <v/>
      </c>
      <c r="K403" s="42" t="str">
        <f aca="false">IF(OR($B403="",$H403=""),"",IF(EDATE($H403,12)&lt;=DateRef,"Plus d'un an","Moins d'un an"))</f>
        <v/>
      </c>
      <c r="L403" s="40"/>
      <c r="M403" s="43" t="str">
        <f aca="false">IF(OR($B403="",$A403=""),"",IF(SUMPRODUCT(MAX((Journal!$A$6:$A$1005=$A403)*Journal!$C$6:$C$1005))=0,"",SUMPRODUCT(MAX((Journal!$A$6:$A$1005=$A403)*Journal!$C$6:$C$1005))))</f>
        <v/>
      </c>
      <c r="N403" s="43" t="str">
        <f aca="false">IF($B403="","",IF(MAX($L403,$M403)=0,"",MAX($L403,$M403)))</f>
        <v/>
      </c>
      <c r="O403" s="44" t="str">
        <f aca="false">IF(OR($B403="",$H403=""),"",IF($N403="",IF(EDATE($H403,DelaiPremierEPP)&gt;DateRef,"1er EPP (1re année)","Aucun entretien renseigné"),IF(AND(ReglesTransitoires="Oui",EDATE($N403,AnciennePeriodiciteEP*12)&lt;DateVigueur),"Retard antérieur à la réforme","Périodicité "&amp;PeriodiciteEPP&amp;" ans")))</f>
        <v/>
      </c>
      <c r="P403" s="43" t="str">
        <f aca="false">IF(OR($B403="",$H403=""),"",IF($N403="",EDATE($H403,DelaiPremierEPP),IF(AND(ReglesTransitoires="Oui",EDATE($N403,AnciennePeriodiciteEP*12)&lt;DateVigueur),EDATE($N403,AnciennePeriodiciteEP*12),EDATE($N403,PeriodiciteEPP*12))))</f>
        <v/>
      </c>
      <c r="Q403" s="40"/>
      <c r="R403" s="45" t="str">
        <f aca="false">IF(OR($P403="",AND($I403&lt;&gt;"",$I403&lt;=DateRef)),"",$P403-DateRef)</f>
        <v/>
      </c>
      <c r="S403" s="42" t="str">
        <f aca="false">IF($B403="","",IF(AND($I403&lt;&gt;"",$I403&lt;=DateRef),"Sorti",IF($H403="","À compléter",IF(AND($Q403&lt;&gt;"",$Q403&gt;=DateRef,$Q403&lt;=$P403),"Planifié",IF($R403&lt;0,"En retard",IF($R403&lt;=SeuilAlerteEPP,"À planifier","À jour"))))))</f>
        <v/>
      </c>
      <c r="T403" s="46" t="str">
        <f aca="false">IF(OR($B403="",$S403="Sorti"),"",MID(IF($H403=""," | Date d'embauche manquante","")&amp;IF(AND($K403="Plus d'un an",$N403="")," | Précédent entretien à renseigner (ancienneté &gt; 1 an)","")&amp;IF($O403="Retard antérieur à la réforme"," | Ancien délai de 2 ans expiré avant la réforme","")&amp;IF(AND($N403&lt;&gt;"",$H403&lt;&gt;"",$N403&lt;$H403)," | Entretien antérieur à l'embauche ?","")&amp;IF(AND($N403&lt;&gt;"",$N403&gt;DateRef)," | Entretien daté dans le futur ?","")&amp;IF(AND($Q403&lt;&gt;"",$P403&lt;&gt;"",$Q403&gt;$P403)," | Date prévue après l'échéance","")&amp;IF(AND($Q403&lt;&gt;"",$Q403&lt;DateRef,OR($N403="",$N403&lt;$Q403))," | Entretien prévu passé : le consigner au Journal","")&amp;IF(AND($G403&lt;&gt;"",$X403="",YEAR(DateRef)-YEAR($G403)&gt;=AgeMiCarriere-1,YEAR(DateRef)-YEAR($G403)&lt;=AgeMiCarriere+1)," | Visite de mi-carrière à vérifier",""),4,1000))</f>
        <v/>
      </c>
      <c r="U403" s="39"/>
      <c r="V403" s="40"/>
      <c r="W403" s="42" t="str">
        <f aca="false">IF(OR($B403="",$V403=""),"",IF(AND($I403&lt;&gt;"",$I403&lt;=DateRef),"",IF(AND($N403&lt;&gt;"",$N403&gt;=$V403),"Réalisé",IF(AND($N403&lt;&gt;"",$N403&gt;=EDATE($V403,-FenetreRetour)),"Dispensé (EPP récent)",IF($V403&gt;DateRef,"À prévoir à la reprise","À proposer (reprise passée)")))))</f>
        <v/>
      </c>
      <c r="X403" s="40"/>
      <c r="Y403" s="43" t="str">
        <f aca="false">IF(OR($B403="",$X403=""),"",EDATE($X403,DelaiMiCarriere))</f>
        <v/>
      </c>
      <c r="Z403" s="42" t="str">
        <f aca="false">IF(OR($B403="",$X403=""),"",IF(AND($I403&lt;&gt;"",$I403&lt;=DateRef),"",IF(AND($N403&lt;&gt;"",$N403&gt;=$X403),"Réalisé",IF($Y403&lt;DateRef,"En retard","À planifier"))))</f>
        <v/>
      </c>
      <c r="AA403" s="47" t="str">
        <f aca="false">IF(OR($B403="",$G403=""),"",IF($G403&gt;DateRef,"",DATEDIF($G403,DateRef,"y")))</f>
        <v/>
      </c>
      <c r="AB403" s="43" t="str">
        <f aca="false">IF(OR($B403="",$G403=""),"",EDATE($G403,AgeFinCarriere*12))</f>
        <v/>
      </c>
      <c r="AC403" s="42" t="str">
        <f aca="false">IF(OR($B403="",$G403="",$H403=""),"",IF(AND($I403&lt;&gt;"",$I403&lt;=DateRef),"",IF($AB403&lt;DateVigueur,"Non concerné",IF(AND($N403&lt;&gt;"",$N403&gt;=MAX(EDATE($AB403,-FenetreFinCarriere*12),DateVigueur),$N403&lt;=$AB403),"Réalisé",IF(DateRef&gt;$AB403,"Non réalisé",IF(AND($Q403&lt;&gt;"",$Q403&gt;=EDATE($AB403,-FenetreFinCarriere*12),$Q403&lt;=$AB403),"Planifié dans la fenêtre",IF(AND(MAX($P403,DateRef)&gt;=EDATE($AB403,-FenetreFinCarriere*12),MAX($P403,DateRef)&lt;=$AB403),"Prochain EPP dans la fenêtre",IF(MAX($P403,DateRef)&gt;$AB403,"À programmer avant 60 ans",""))))))))</f>
        <v/>
      </c>
      <c r="AD403" s="40"/>
      <c r="AE403" s="43" t="str">
        <f aca="false">IF(OR($B403="",$H403="",AND($I403&lt;&gt;"",$I403&lt;=DateRef)),"",MAX($H403,$AD403,IF($A403="",0,SUMPRODUCT(MAX((Journal!$A$6:$A$1005=$A403)*((Journal!$D$6:$D$1005=TypeEDL)+(Journal!$D$6:$D$1005=TypeBilan6))*Journal!$C$6:$C$1005)))))</f>
        <v/>
      </c>
      <c r="AF403" s="43" t="str">
        <f aca="false">IF($AE403="","",IF(AND(ReglesTransitoires="Oui",EDATE($AE403,AnciennePeriodiciteEDL*12)&lt;DateVigueur),EDATE($AE403,AnciennePeriodiciteEDL*12),EDATE($AE403,PeriodiciteEDL*12)))</f>
        <v/>
      </c>
      <c r="AG403" s="42" t="str">
        <f aca="false">IF($AF403="","",IF(AND($I403&lt;&gt;"",$I403&lt;=DateRef),"",IF($AF403&lt;DateRef,"En retard",IF($AF403-DateRef&lt;=SeuilAlerteEDL,"À prévoir","À jour"))))</f>
        <v/>
      </c>
      <c r="AH403" s="39"/>
      <c r="AI403" s="39"/>
      <c r="AJ403" s="42" t="str">
        <f aca="false">IF(OR($B403="",$H403=""),"",IF(AND($I403&lt;&gt;"",$I403&lt;=DateRef),"",IF(Effectif&lt;SeuilEffectif,"Non concerné (&lt; "&amp;SeuilEffectif&amp;" salariés)",IF($AH403="Oui","Pas de risque",IF(AND(OR($AI403="Non",$S403="En retard"),$AH403="Non"),"Risque abondement",IF(OR($AI403="Non",$S403="En retard"),"À vérifier (formation ?)",IF($AI403="Oui","Pas de risque","À compléter")))))))</f>
        <v/>
      </c>
      <c r="AK403" s="39"/>
    </row>
    <row r="404" customFormat="false" ht="15" hidden="false" customHeight="false" outlineLevel="0" collapsed="false">
      <c r="A404" s="39"/>
      <c r="B404" s="39"/>
      <c r="C404" s="39"/>
      <c r="D404" s="39"/>
      <c r="E404" s="39"/>
      <c r="F404" s="39"/>
      <c r="G404" s="40"/>
      <c r="H404" s="40"/>
      <c r="I404" s="40"/>
      <c r="J404" s="41" t="str">
        <f aca="false">IF(OR($B404="",$H404=""),"",IF($H404&gt;DateRef,0,YEARFRAC($H404,DateRef,1)))</f>
        <v/>
      </c>
      <c r="K404" s="42" t="str">
        <f aca="false">IF(OR($B404="",$H404=""),"",IF(EDATE($H404,12)&lt;=DateRef,"Plus d'un an","Moins d'un an"))</f>
        <v/>
      </c>
      <c r="L404" s="40"/>
      <c r="M404" s="43" t="str">
        <f aca="false">IF(OR($B404="",$A404=""),"",IF(SUMPRODUCT(MAX((Journal!$A$6:$A$1005=$A404)*Journal!$C$6:$C$1005))=0,"",SUMPRODUCT(MAX((Journal!$A$6:$A$1005=$A404)*Journal!$C$6:$C$1005))))</f>
        <v/>
      </c>
      <c r="N404" s="43" t="str">
        <f aca="false">IF($B404="","",IF(MAX($L404,$M404)=0,"",MAX($L404,$M404)))</f>
        <v/>
      </c>
      <c r="O404" s="44" t="str">
        <f aca="false">IF(OR($B404="",$H404=""),"",IF($N404="",IF(EDATE($H404,DelaiPremierEPP)&gt;DateRef,"1er EPP (1re année)","Aucun entretien renseigné"),IF(AND(ReglesTransitoires="Oui",EDATE($N404,AnciennePeriodiciteEP*12)&lt;DateVigueur),"Retard antérieur à la réforme","Périodicité "&amp;PeriodiciteEPP&amp;" ans")))</f>
        <v/>
      </c>
      <c r="P404" s="43" t="str">
        <f aca="false">IF(OR($B404="",$H404=""),"",IF($N404="",EDATE($H404,DelaiPremierEPP),IF(AND(ReglesTransitoires="Oui",EDATE($N404,AnciennePeriodiciteEP*12)&lt;DateVigueur),EDATE($N404,AnciennePeriodiciteEP*12),EDATE($N404,PeriodiciteEPP*12))))</f>
        <v/>
      </c>
      <c r="Q404" s="40"/>
      <c r="R404" s="45" t="str">
        <f aca="false">IF(OR($P404="",AND($I404&lt;&gt;"",$I404&lt;=DateRef)),"",$P404-DateRef)</f>
        <v/>
      </c>
      <c r="S404" s="42" t="str">
        <f aca="false">IF($B404="","",IF(AND($I404&lt;&gt;"",$I404&lt;=DateRef),"Sorti",IF($H404="","À compléter",IF(AND($Q404&lt;&gt;"",$Q404&gt;=DateRef,$Q404&lt;=$P404),"Planifié",IF($R404&lt;0,"En retard",IF($R404&lt;=SeuilAlerteEPP,"À planifier","À jour"))))))</f>
        <v/>
      </c>
      <c r="T404" s="46" t="str">
        <f aca="false">IF(OR($B404="",$S404="Sorti"),"",MID(IF($H404=""," | Date d'embauche manquante","")&amp;IF(AND($K404="Plus d'un an",$N404="")," | Précédent entretien à renseigner (ancienneté &gt; 1 an)","")&amp;IF($O404="Retard antérieur à la réforme"," | Ancien délai de 2 ans expiré avant la réforme","")&amp;IF(AND($N404&lt;&gt;"",$H404&lt;&gt;"",$N404&lt;$H404)," | Entretien antérieur à l'embauche ?","")&amp;IF(AND($N404&lt;&gt;"",$N404&gt;DateRef)," | Entretien daté dans le futur ?","")&amp;IF(AND($Q404&lt;&gt;"",$P404&lt;&gt;"",$Q404&gt;$P404)," | Date prévue après l'échéance","")&amp;IF(AND($Q404&lt;&gt;"",$Q404&lt;DateRef,OR($N404="",$N404&lt;$Q404))," | Entretien prévu passé : le consigner au Journal","")&amp;IF(AND($G404&lt;&gt;"",$X404="",YEAR(DateRef)-YEAR($G404)&gt;=AgeMiCarriere-1,YEAR(DateRef)-YEAR($G404)&lt;=AgeMiCarriere+1)," | Visite de mi-carrière à vérifier",""),4,1000))</f>
        <v/>
      </c>
      <c r="U404" s="39"/>
      <c r="V404" s="40"/>
      <c r="W404" s="42" t="str">
        <f aca="false">IF(OR($B404="",$V404=""),"",IF(AND($I404&lt;&gt;"",$I404&lt;=DateRef),"",IF(AND($N404&lt;&gt;"",$N404&gt;=$V404),"Réalisé",IF(AND($N404&lt;&gt;"",$N404&gt;=EDATE($V404,-FenetreRetour)),"Dispensé (EPP récent)",IF($V404&gt;DateRef,"À prévoir à la reprise","À proposer (reprise passée)")))))</f>
        <v/>
      </c>
      <c r="X404" s="40"/>
      <c r="Y404" s="43" t="str">
        <f aca="false">IF(OR($B404="",$X404=""),"",EDATE($X404,DelaiMiCarriere))</f>
        <v/>
      </c>
      <c r="Z404" s="42" t="str">
        <f aca="false">IF(OR($B404="",$X404=""),"",IF(AND($I404&lt;&gt;"",$I404&lt;=DateRef),"",IF(AND($N404&lt;&gt;"",$N404&gt;=$X404),"Réalisé",IF($Y404&lt;DateRef,"En retard","À planifier"))))</f>
        <v/>
      </c>
      <c r="AA404" s="47" t="str">
        <f aca="false">IF(OR($B404="",$G404=""),"",IF($G404&gt;DateRef,"",DATEDIF($G404,DateRef,"y")))</f>
        <v/>
      </c>
      <c r="AB404" s="43" t="str">
        <f aca="false">IF(OR($B404="",$G404=""),"",EDATE($G404,AgeFinCarriere*12))</f>
        <v/>
      </c>
      <c r="AC404" s="42" t="str">
        <f aca="false">IF(OR($B404="",$G404="",$H404=""),"",IF(AND($I404&lt;&gt;"",$I404&lt;=DateRef),"",IF($AB404&lt;DateVigueur,"Non concerné",IF(AND($N404&lt;&gt;"",$N404&gt;=MAX(EDATE($AB404,-FenetreFinCarriere*12),DateVigueur),$N404&lt;=$AB404),"Réalisé",IF(DateRef&gt;$AB404,"Non réalisé",IF(AND($Q404&lt;&gt;"",$Q404&gt;=EDATE($AB404,-FenetreFinCarriere*12),$Q404&lt;=$AB404),"Planifié dans la fenêtre",IF(AND(MAX($P404,DateRef)&gt;=EDATE($AB404,-FenetreFinCarriere*12),MAX($P404,DateRef)&lt;=$AB404),"Prochain EPP dans la fenêtre",IF(MAX($P404,DateRef)&gt;$AB404,"À programmer avant 60 ans",""))))))))</f>
        <v/>
      </c>
      <c r="AD404" s="40"/>
      <c r="AE404" s="43" t="str">
        <f aca="false">IF(OR($B404="",$H404="",AND($I404&lt;&gt;"",$I404&lt;=DateRef)),"",MAX($H404,$AD404,IF($A404="",0,SUMPRODUCT(MAX((Journal!$A$6:$A$1005=$A404)*((Journal!$D$6:$D$1005=TypeEDL)+(Journal!$D$6:$D$1005=TypeBilan6))*Journal!$C$6:$C$1005)))))</f>
        <v/>
      </c>
      <c r="AF404" s="43" t="str">
        <f aca="false">IF($AE404="","",IF(AND(ReglesTransitoires="Oui",EDATE($AE404,AnciennePeriodiciteEDL*12)&lt;DateVigueur),EDATE($AE404,AnciennePeriodiciteEDL*12),EDATE($AE404,PeriodiciteEDL*12)))</f>
        <v/>
      </c>
      <c r="AG404" s="42" t="str">
        <f aca="false">IF($AF404="","",IF(AND($I404&lt;&gt;"",$I404&lt;=DateRef),"",IF($AF404&lt;DateRef,"En retard",IF($AF404-DateRef&lt;=SeuilAlerteEDL,"À prévoir","À jour"))))</f>
        <v/>
      </c>
      <c r="AH404" s="39"/>
      <c r="AI404" s="39"/>
      <c r="AJ404" s="42" t="str">
        <f aca="false">IF(OR($B404="",$H404=""),"",IF(AND($I404&lt;&gt;"",$I404&lt;=DateRef),"",IF(Effectif&lt;SeuilEffectif,"Non concerné (&lt; "&amp;SeuilEffectif&amp;" salariés)",IF($AH404="Oui","Pas de risque",IF(AND(OR($AI404="Non",$S404="En retard"),$AH404="Non"),"Risque abondement",IF(OR($AI404="Non",$S404="En retard"),"À vérifier (formation ?)",IF($AI404="Oui","Pas de risque","À compléter")))))))</f>
        <v/>
      </c>
      <c r="AK404" s="39"/>
    </row>
    <row r="405" customFormat="false" ht="15" hidden="false" customHeight="false" outlineLevel="0" collapsed="false">
      <c r="A405" s="39"/>
      <c r="B405" s="39"/>
      <c r="C405" s="39"/>
      <c r="D405" s="39"/>
      <c r="E405" s="39"/>
      <c r="F405" s="39"/>
      <c r="G405" s="40"/>
      <c r="H405" s="40"/>
      <c r="I405" s="40"/>
      <c r="J405" s="41" t="str">
        <f aca="false">IF(OR($B405="",$H405=""),"",IF($H405&gt;DateRef,0,YEARFRAC($H405,DateRef,1)))</f>
        <v/>
      </c>
      <c r="K405" s="42" t="str">
        <f aca="false">IF(OR($B405="",$H405=""),"",IF(EDATE($H405,12)&lt;=DateRef,"Plus d'un an","Moins d'un an"))</f>
        <v/>
      </c>
      <c r="L405" s="40"/>
      <c r="M405" s="43" t="str">
        <f aca="false">IF(OR($B405="",$A405=""),"",IF(SUMPRODUCT(MAX((Journal!$A$6:$A$1005=$A405)*Journal!$C$6:$C$1005))=0,"",SUMPRODUCT(MAX((Journal!$A$6:$A$1005=$A405)*Journal!$C$6:$C$1005))))</f>
        <v/>
      </c>
      <c r="N405" s="43" t="str">
        <f aca="false">IF($B405="","",IF(MAX($L405,$M405)=0,"",MAX($L405,$M405)))</f>
        <v/>
      </c>
      <c r="O405" s="44" t="str">
        <f aca="false">IF(OR($B405="",$H405=""),"",IF($N405="",IF(EDATE($H405,DelaiPremierEPP)&gt;DateRef,"1er EPP (1re année)","Aucun entretien renseigné"),IF(AND(ReglesTransitoires="Oui",EDATE($N405,AnciennePeriodiciteEP*12)&lt;DateVigueur),"Retard antérieur à la réforme","Périodicité "&amp;PeriodiciteEPP&amp;" ans")))</f>
        <v/>
      </c>
      <c r="P405" s="43" t="str">
        <f aca="false">IF(OR($B405="",$H405=""),"",IF($N405="",EDATE($H405,DelaiPremierEPP),IF(AND(ReglesTransitoires="Oui",EDATE($N405,AnciennePeriodiciteEP*12)&lt;DateVigueur),EDATE($N405,AnciennePeriodiciteEP*12),EDATE($N405,PeriodiciteEPP*12))))</f>
        <v/>
      </c>
      <c r="Q405" s="40"/>
      <c r="R405" s="45" t="str">
        <f aca="false">IF(OR($P405="",AND($I405&lt;&gt;"",$I405&lt;=DateRef)),"",$P405-DateRef)</f>
        <v/>
      </c>
      <c r="S405" s="42" t="str">
        <f aca="false">IF($B405="","",IF(AND($I405&lt;&gt;"",$I405&lt;=DateRef),"Sorti",IF($H405="","À compléter",IF(AND($Q405&lt;&gt;"",$Q405&gt;=DateRef,$Q405&lt;=$P405),"Planifié",IF($R405&lt;0,"En retard",IF($R405&lt;=SeuilAlerteEPP,"À planifier","À jour"))))))</f>
        <v/>
      </c>
      <c r="T405" s="46" t="str">
        <f aca="false">IF(OR($B405="",$S405="Sorti"),"",MID(IF($H405=""," | Date d'embauche manquante","")&amp;IF(AND($K405="Plus d'un an",$N405="")," | Précédent entretien à renseigner (ancienneté &gt; 1 an)","")&amp;IF($O405="Retard antérieur à la réforme"," | Ancien délai de 2 ans expiré avant la réforme","")&amp;IF(AND($N405&lt;&gt;"",$H405&lt;&gt;"",$N405&lt;$H405)," | Entretien antérieur à l'embauche ?","")&amp;IF(AND($N405&lt;&gt;"",$N405&gt;DateRef)," | Entretien daté dans le futur ?","")&amp;IF(AND($Q405&lt;&gt;"",$P405&lt;&gt;"",$Q405&gt;$P405)," | Date prévue après l'échéance","")&amp;IF(AND($Q405&lt;&gt;"",$Q405&lt;DateRef,OR($N405="",$N405&lt;$Q405))," | Entretien prévu passé : le consigner au Journal","")&amp;IF(AND($G405&lt;&gt;"",$X405="",YEAR(DateRef)-YEAR($G405)&gt;=AgeMiCarriere-1,YEAR(DateRef)-YEAR($G405)&lt;=AgeMiCarriere+1)," | Visite de mi-carrière à vérifier",""),4,1000))</f>
        <v/>
      </c>
      <c r="U405" s="39"/>
      <c r="V405" s="40"/>
      <c r="W405" s="42" t="str">
        <f aca="false">IF(OR($B405="",$V405=""),"",IF(AND($I405&lt;&gt;"",$I405&lt;=DateRef),"",IF(AND($N405&lt;&gt;"",$N405&gt;=$V405),"Réalisé",IF(AND($N405&lt;&gt;"",$N405&gt;=EDATE($V405,-FenetreRetour)),"Dispensé (EPP récent)",IF($V405&gt;DateRef,"À prévoir à la reprise","À proposer (reprise passée)")))))</f>
        <v/>
      </c>
      <c r="X405" s="40"/>
      <c r="Y405" s="43" t="str">
        <f aca="false">IF(OR($B405="",$X405=""),"",EDATE($X405,DelaiMiCarriere))</f>
        <v/>
      </c>
      <c r="Z405" s="42" t="str">
        <f aca="false">IF(OR($B405="",$X405=""),"",IF(AND($I405&lt;&gt;"",$I405&lt;=DateRef),"",IF(AND($N405&lt;&gt;"",$N405&gt;=$X405),"Réalisé",IF($Y405&lt;DateRef,"En retard","À planifier"))))</f>
        <v/>
      </c>
      <c r="AA405" s="47" t="str">
        <f aca="false">IF(OR($B405="",$G405=""),"",IF($G405&gt;DateRef,"",DATEDIF($G405,DateRef,"y")))</f>
        <v/>
      </c>
      <c r="AB405" s="43" t="str">
        <f aca="false">IF(OR($B405="",$G405=""),"",EDATE($G405,AgeFinCarriere*12))</f>
        <v/>
      </c>
      <c r="AC405" s="42" t="str">
        <f aca="false">IF(OR($B405="",$G405="",$H405=""),"",IF(AND($I405&lt;&gt;"",$I405&lt;=DateRef),"",IF($AB405&lt;DateVigueur,"Non concerné",IF(AND($N405&lt;&gt;"",$N405&gt;=MAX(EDATE($AB405,-FenetreFinCarriere*12),DateVigueur),$N405&lt;=$AB405),"Réalisé",IF(DateRef&gt;$AB405,"Non réalisé",IF(AND($Q405&lt;&gt;"",$Q405&gt;=EDATE($AB405,-FenetreFinCarriere*12),$Q405&lt;=$AB405),"Planifié dans la fenêtre",IF(AND(MAX($P405,DateRef)&gt;=EDATE($AB405,-FenetreFinCarriere*12),MAX($P405,DateRef)&lt;=$AB405),"Prochain EPP dans la fenêtre",IF(MAX($P405,DateRef)&gt;$AB405,"À programmer avant 60 ans",""))))))))</f>
        <v/>
      </c>
      <c r="AD405" s="40"/>
      <c r="AE405" s="43" t="str">
        <f aca="false">IF(OR($B405="",$H405="",AND($I405&lt;&gt;"",$I405&lt;=DateRef)),"",MAX($H405,$AD405,IF($A405="",0,SUMPRODUCT(MAX((Journal!$A$6:$A$1005=$A405)*((Journal!$D$6:$D$1005=TypeEDL)+(Journal!$D$6:$D$1005=TypeBilan6))*Journal!$C$6:$C$1005)))))</f>
        <v/>
      </c>
      <c r="AF405" s="43" t="str">
        <f aca="false">IF($AE405="","",IF(AND(ReglesTransitoires="Oui",EDATE($AE405,AnciennePeriodiciteEDL*12)&lt;DateVigueur),EDATE($AE405,AnciennePeriodiciteEDL*12),EDATE($AE405,PeriodiciteEDL*12)))</f>
        <v/>
      </c>
      <c r="AG405" s="42" t="str">
        <f aca="false">IF($AF405="","",IF(AND($I405&lt;&gt;"",$I405&lt;=DateRef),"",IF($AF405&lt;DateRef,"En retard",IF($AF405-DateRef&lt;=SeuilAlerteEDL,"À prévoir","À jour"))))</f>
        <v/>
      </c>
      <c r="AH405" s="39"/>
      <c r="AI405" s="39"/>
      <c r="AJ405" s="42" t="str">
        <f aca="false">IF(OR($B405="",$H405=""),"",IF(AND($I405&lt;&gt;"",$I405&lt;=DateRef),"",IF(Effectif&lt;SeuilEffectif,"Non concerné (&lt; "&amp;SeuilEffectif&amp;" salariés)",IF($AH405="Oui","Pas de risque",IF(AND(OR($AI405="Non",$S405="En retard"),$AH405="Non"),"Risque abondement",IF(OR($AI405="Non",$S405="En retard"),"À vérifier (formation ?)",IF($AI405="Oui","Pas de risque","À compléter")))))))</f>
        <v/>
      </c>
      <c r="AK405" s="39"/>
    </row>
    <row r="406" customFormat="false" ht="15" hidden="false" customHeight="false" outlineLevel="0" collapsed="false">
      <c r="A406" s="39"/>
      <c r="B406" s="39"/>
      <c r="C406" s="39"/>
      <c r="D406" s="39"/>
      <c r="E406" s="39"/>
      <c r="F406" s="39"/>
      <c r="G406" s="40"/>
      <c r="H406" s="40"/>
      <c r="I406" s="40"/>
      <c r="J406" s="41" t="str">
        <f aca="false">IF(OR($B406="",$H406=""),"",IF($H406&gt;DateRef,0,YEARFRAC($H406,DateRef,1)))</f>
        <v/>
      </c>
      <c r="K406" s="42" t="str">
        <f aca="false">IF(OR($B406="",$H406=""),"",IF(EDATE($H406,12)&lt;=DateRef,"Plus d'un an","Moins d'un an"))</f>
        <v/>
      </c>
      <c r="L406" s="40"/>
      <c r="M406" s="43" t="str">
        <f aca="false">IF(OR($B406="",$A406=""),"",IF(SUMPRODUCT(MAX((Journal!$A$6:$A$1005=$A406)*Journal!$C$6:$C$1005))=0,"",SUMPRODUCT(MAX((Journal!$A$6:$A$1005=$A406)*Journal!$C$6:$C$1005))))</f>
        <v/>
      </c>
      <c r="N406" s="43" t="str">
        <f aca="false">IF($B406="","",IF(MAX($L406,$M406)=0,"",MAX($L406,$M406)))</f>
        <v/>
      </c>
      <c r="O406" s="44" t="str">
        <f aca="false">IF(OR($B406="",$H406=""),"",IF($N406="",IF(EDATE($H406,DelaiPremierEPP)&gt;DateRef,"1er EPP (1re année)","Aucun entretien renseigné"),IF(AND(ReglesTransitoires="Oui",EDATE($N406,AnciennePeriodiciteEP*12)&lt;DateVigueur),"Retard antérieur à la réforme","Périodicité "&amp;PeriodiciteEPP&amp;" ans")))</f>
        <v/>
      </c>
      <c r="P406" s="43" t="str">
        <f aca="false">IF(OR($B406="",$H406=""),"",IF($N406="",EDATE($H406,DelaiPremierEPP),IF(AND(ReglesTransitoires="Oui",EDATE($N406,AnciennePeriodiciteEP*12)&lt;DateVigueur),EDATE($N406,AnciennePeriodiciteEP*12),EDATE($N406,PeriodiciteEPP*12))))</f>
        <v/>
      </c>
      <c r="Q406" s="40"/>
      <c r="R406" s="45" t="str">
        <f aca="false">IF(OR($P406="",AND($I406&lt;&gt;"",$I406&lt;=DateRef)),"",$P406-DateRef)</f>
        <v/>
      </c>
      <c r="S406" s="42" t="str">
        <f aca="false">IF($B406="","",IF(AND($I406&lt;&gt;"",$I406&lt;=DateRef),"Sorti",IF($H406="","À compléter",IF(AND($Q406&lt;&gt;"",$Q406&gt;=DateRef,$Q406&lt;=$P406),"Planifié",IF($R406&lt;0,"En retard",IF($R406&lt;=SeuilAlerteEPP,"À planifier","À jour"))))))</f>
        <v/>
      </c>
      <c r="T406" s="46" t="str">
        <f aca="false">IF(OR($B406="",$S406="Sorti"),"",MID(IF($H406=""," | Date d'embauche manquante","")&amp;IF(AND($K406="Plus d'un an",$N406="")," | Précédent entretien à renseigner (ancienneté &gt; 1 an)","")&amp;IF($O406="Retard antérieur à la réforme"," | Ancien délai de 2 ans expiré avant la réforme","")&amp;IF(AND($N406&lt;&gt;"",$H406&lt;&gt;"",$N406&lt;$H406)," | Entretien antérieur à l'embauche ?","")&amp;IF(AND($N406&lt;&gt;"",$N406&gt;DateRef)," | Entretien daté dans le futur ?","")&amp;IF(AND($Q406&lt;&gt;"",$P406&lt;&gt;"",$Q406&gt;$P406)," | Date prévue après l'échéance","")&amp;IF(AND($Q406&lt;&gt;"",$Q406&lt;DateRef,OR($N406="",$N406&lt;$Q406))," | Entretien prévu passé : le consigner au Journal","")&amp;IF(AND($G406&lt;&gt;"",$X406="",YEAR(DateRef)-YEAR($G406)&gt;=AgeMiCarriere-1,YEAR(DateRef)-YEAR($G406)&lt;=AgeMiCarriere+1)," | Visite de mi-carrière à vérifier",""),4,1000))</f>
        <v/>
      </c>
      <c r="U406" s="39"/>
      <c r="V406" s="40"/>
      <c r="W406" s="42" t="str">
        <f aca="false">IF(OR($B406="",$V406=""),"",IF(AND($I406&lt;&gt;"",$I406&lt;=DateRef),"",IF(AND($N406&lt;&gt;"",$N406&gt;=$V406),"Réalisé",IF(AND($N406&lt;&gt;"",$N406&gt;=EDATE($V406,-FenetreRetour)),"Dispensé (EPP récent)",IF($V406&gt;DateRef,"À prévoir à la reprise","À proposer (reprise passée)")))))</f>
        <v/>
      </c>
      <c r="X406" s="40"/>
      <c r="Y406" s="43" t="str">
        <f aca="false">IF(OR($B406="",$X406=""),"",EDATE($X406,DelaiMiCarriere))</f>
        <v/>
      </c>
      <c r="Z406" s="42" t="str">
        <f aca="false">IF(OR($B406="",$X406=""),"",IF(AND($I406&lt;&gt;"",$I406&lt;=DateRef),"",IF(AND($N406&lt;&gt;"",$N406&gt;=$X406),"Réalisé",IF($Y406&lt;DateRef,"En retard","À planifier"))))</f>
        <v/>
      </c>
      <c r="AA406" s="47" t="str">
        <f aca="false">IF(OR($B406="",$G406=""),"",IF($G406&gt;DateRef,"",DATEDIF($G406,DateRef,"y")))</f>
        <v/>
      </c>
      <c r="AB406" s="43" t="str">
        <f aca="false">IF(OR($B406="",$G406=""),"",EDATE($G406,AgeFinCarriere*12))</f>
        <v/>
      </c>
      <c r="AC406" s="42" t="str">
        <f aca="false">IF(OR($B406="",$G406="",$H406=""),"",IF(AND($I406&lt;&gt;"",$I406&lt;=DateRef),"",IF($AB406&lt;DateVigueur,"Non concerné",IF(AND($N406&lt;&gt;"",$N406&gt;=MAX(EDATE($AB406,-FenetreFinCarriere*12),DateVigueur),$N406&lt;=$AB406),"Réalisé",IF(DateRef&gt;$AB406,"Non réalisé",IF(AND($Q406&lt;&gt;"",$Q406&gt;=EDATE($AB406,-FenetreFinCarriere*12),$Q406&lt;=$AB406),"Planifié dans la fenêtre",IF(AND(MAX($P406,DateRef)&gt;=EDATE($AB406,-FenetreFinCarriere*12),MAX($P406,DateRef)&lt;=$AB406),"Prochain EPP dans la fenêtre",IF(MAX($P406,DateRef)&gt;$AB406,"À programmer avant 60 ans",""))))))))</f>
        <v/>
      </c>
      <c r="AD406" s="40"/>
      <c r="AE406" s="43" t="str">
        <f aca="false">IF(OR($B406="",$H406="",AND($I406&lt;&gt;"",$I406&lt;=DateRef)),"",MAX($H406,$AD406,IF($A406="",0,SUMPRODUCT(MAX((Journal!$A$6:$A$1005=$A406)*((Journal!$D$6:$D$1005=TypeEDL)+(Journal!$D$6:$D$1005=TypeBilan6))*Journal!$C$6:$C$1005)))))</f>
        <v/>
      </c>
      <c r="AF406" s="43" t="str">
        <f aca="false">IF($AE406="","",IF(AND(ReglesTransitoires="Oui",EDATE($AE406,AnciennePeriodiciteEDL*12)&lt;DateVigueur),EDATE($AE406,AnciennePeriodiciteEDL*12),EDATE($AE406,PeriodiciteEDL*12)))</f>
        <v/>
      </c>
      <c r="AG406" s="42" t="str">
        <f aca="false">IF($AF406="","",IF(AND($I406&lt;&gt;"",$I406&lt;=DateRef),"",IF($AF406&lt;DateRef,"En retard",IF($AF406-DateRef&lt;=SeuilAlerteEDL,"À prévoir","À jour"))))</f>
        <v/>
      </c>
      <c r="AH406" s="39"/>
      <c r="AI406" s="39"/>
      <c r="AJ406" s="42" t="str">
        <f aca="false">IF(OR($B406="",$H406=""),"",IF(AND($I406&lt;&gt;"",$I406&lt;=DateRef),"",IF(Effectif&lt;SeuilEffectif,"Non concerné (&lt; "&amp;SeuilEffectif&amp;" salariés)",IF($AH406="Oui","Pas de risque",IF(AND(OR($AI406="Non",$S406="En retard"),$AH406="Non"),"Risque abondement",IF(OR($AI406="Non",$S406="En retard"),"À vérifier (formation ?)",IF($AI406="Oui","Pas de risque","À compléter")))))))</f>
        <v/>
      </c>
      <c r="AK406" s="39"/>
    </row>
    <row r="407" customFormat="false" ht="15" hidden="false" customHeight="false" outlineLevel="0" collapsed="false">
      <c r="A407" s="39"/>
      <c r="B407" s="39"/>
      <c r="C407" s="39"/>
      <c r="D407" s="39"/>
      <c r="E407" s="39"/>
      <c r="F407" s="39"/>
      <c r="G407" s="40"/>
      <c r="H407" s="40"/>
      <c r="I407" s="40"/>
      <c r="J407" s="41" t="str">
        <f aca="false">IF(OR($B407="",$H407=""),"",IF($H407&gt;DateRef,0,YEARFRAC($H407,DateRef,1)))</f>
        <v/>
      </c>
      <c r="K407" s="42" t="str">
        <f aca="false">IF(OR($B407="",$H407=""),"",IF(EDATE($H407,12)&lt;=DateRef,"Plus d'un an","Moins d'un an"))</f>
        <v/>
      </c>
      <c r="L407" s="40"/>
      <c r="M407" s="43" t="str">
        <f aca="false">IF(OR($B407="",$A407=""),"",IF(SUMPRODUCT(MAX((Journal!$A$6:$A$1005=$A407)*Journal!$C$6:$C$1005))=0,"",SUMPRODUCT(MAX((Journal!$A$6:$A$1005=$A407)*Journal!$C$6:$C$1005))))</f>
        <v/>
      </c>
      <c r="N407" s="43" t="str">
        <f aca="false">IF($B407="","",IF(MAX($L407,$M407)=0,"",MAX($L407,$M407)))</f>
        <v/>
      </c>
      <c r="O407" s="44" t="str">
        <f aca="false">IF(OR($B407="",$H407=""),"",IF($N407="",IF(EDATE($H407,DelaiPremierEPP)&gt;DateRef,"1er EPP (1re année)","Aucun entretien renseigné"),IF(AND(ReglesTransitoires="Oui",EDATE($N407,AnciennePeriodiciteEP*12)&lt;DateVigueur),"Retard antérieur à la réforme","Périodicité "&amp;PeriodiciteEPP&amp;" ans")))</f>
        <v/>
      </c>
      <c r="P407" s="43" t="str">
        <f aca="false">IF(OR($B407="",$H407=""),"",IF($N407="",EDATE($H407,DelaiPremierEPP),IF(AND(ReglesTransitoires="Oui",EDATE($N407,AnciennePeriodiciteEP*12)&lt;DateVigueur),EDATE($N407,AnciennePeriodiciteEP*12),EDATE($N407,PeriodiciteEPP*12))))</f>
        <v/>
      </c>
      <c r="Q407" s="40"/>
      <c r="R407" s="45" t="str">
        <f aca="false">IF(OR($P407="",AND($I407&lt;&gt;"",$I407&lt;=DateRef)),"",$P407-DateRef)</f>
        <v/>
      </c>
      <c r="S407" s="42" t="str">
        <f aca="false">IF($B407="","",IF(AND($I407&lt;&gt;"",$I407&lt;=DateRef),"Sorti",IF($H407="","À compléter",IF(AND($Q407&lt;&gt;"",$Q407&gt;=DateRef,$Q407&lt;=$P407),"Planifié",IF($R407&lt;0,"En retard",IF($R407&lt;=SeuilAlerteEPP,"À planifier","À jour"))))))</f>
        <v/>
      </c>
      <c r="T407" s="46" t="str">
        <f aca="false">IF(OR($B407="",$S407="Sorti"),"",MID(IF($H407=""," | Date d'embauche manquante","")&amp;IF(AND($K407="Plus d'un an",$N407="")," | Précédent entretien à renseigner (ancienneté &gt; 1 an)","")&amp;IF($O407="Retard antérieur à la réforme"," | Ancien délai de 2 ans expiré avant la réforme","")&amp;IF(AND($N407&lt;&gt;"",$H407&lt;&gt;"",$N407&lt;$H407)," | Entretien antérieur à l'embauche ?","")&amp;IF(AND($N407&lt;&gt;"",$N407&gt;DateRef)," | Entretien daté dans le futur ?","")&amp;IF(AND($Q407&lt;&gt;"",$P407&lt;&gt;"",$Q407&gt;$P407)," | Date prévue après l'échéance","")&amp;IF(AND($Q407&lt;&gt;"",$Q407&lt;DateRef,OR($N407="",$N407&lt;$Q407))," | Entretien prévu passé : le consigner au Journal","")&amp;IF(AND($G407&lt;&gt;"",$X407="",YEAR(DateRef)-YEAR($G407)&gt;=AgeMiCarriere-1,YEAR(DateRef)-YEAR($G407)&lt;=AgeMiCarriere+1)," | Visite de mi-carrière à vérifier",""),4,1000))</f>
        <v/>
      </c>
      <c r="U407" s="39"/>
      <c r="V407" s="40"/>
      <c r="W407" s="42" t="str">
        <f aca="false">IF(OR($B407="",$V407=""),"",IF(AND($I407&lt;&gt;"",$I407&lt;=DateRef),"",IF(AND($N407&lt;&gt;"",$N407&gt;=$V407),"Réalisé",IF(AND($N407&lt;&gt;"",$N407&gt;=EDATE($V407,-FenetreRetour)),"Dispensé (EPP récent)",IF($V407&gt;DateRef,"À prévoir à la reprise","À proposer (reprise passée)")))))</f>
        <v/>
      </c>
      <c r="X407" s="40"/>
      <c r="Y407" s="43" t="str">
        <f aca="false">IF(OR($B407="",$X407=""),"",EDATE($X407,DelaiMiCarriere))</f>
        <v/>
      </c>
      <c r="Z407" s="42" t="str">
        <f aca="false">IF(OR($B407="",$X407=""),"",IF(AND($I407&lt;&gt;"",$I407&lt;=DateRef),"",IF(AND($N407&lt;&gt;"",$N407&gt;=$X407),"Réalisé",IF($Y407&lt;DateRef,"En retard","À planifier"))))</f>
        <v/>
      </c>
      <c r="AA407" s="47" t="str">
        <f aca="false">IF(OR($B407="",$G407=""),"",IF($G407&gt;DateRef,"",DATEDIF($G407,DateRef,"y")))</f>
        <v/>
      </c>
      <c r="AB407" s="43" t="str">
        <f aca="false">IF(OR($B407="",$G407=""),"",EDATE($G407,AgeFinCarriere*12))</f>
        <v/>
      </c>
      <c r="AC407" s="42" t="str">
        <f aca="false">IF(OR($B407="",$G407="",$H407=""),"",IF(AND($I407&lt;&gt;"",$I407&lt;=DateRef),"",IF($AB407&lt;DateVigueur,"Non concerné",IF(AND($N407&lt;&gt;"",$N407&gt;=MAX(EDATE($AB407,-FenetreFinCarriere*12),DateVigueur),$N407&lt;=$AB407),"Réalisé",IF(DateRef&gt;$AB407,"Non réalisé",IF(AND($Q407&lt;&gt;"",$Q407&gt;=EDATE($AB407,-FenetreFinCarriere*12),$Q407&lt;=$AB407),"Planifié dans la fenêtre",IF(AND(MAX($P407,DateRef)&gt;=EDATE($AB407,-FenetreFinCarriere*12),MAX($P407,DateRef)&lt;=$AB407),"Prochain EPP dans la fenêtre",IF(MAX($P407,DateRef)&gt;$AB407,"À programmer avant 60 ans",""))))))))</f>
        <v/>
      </c>
      <c r="AD407" s="40"/>
      <c r="AE407" s="43" t="str">
        <f aca="false">IF(OR($B407="",$H407="",AND($I407&lt;&gt;"",$I407&lt;=DateRef)),"",MAX($H407,$AD407,IF($A407="",0,SUMPRODUCT(MAX((Journal!$A$6:$A$1005=$A407)*((Journal!$D$6:$D$1005=TypeEDL)+(Journal!$D$6:$D$1005=TypeBilan6))*Journal!$C$6:$C$1005)))))</f>
        <v/>
      </c>
      <c r="AF407" s="43" t="str">
        <f aca="false">IF($AE407="","",IF(AND(ReglesTransitoires="Oui",EDATE($AE407,AnciennePeriodiciteEDL*12)&lt;DateVigueur),EDATE($AE407,AnciennePeriodiciteEDL*12),EDATE($AE407,PeriodiciteEDL*12)))</f>
        <v/>
      </c>
      <c r="AG407" s="42" t="str">
        <f aca="false">IF($AF407="","",IF(AND($I407&lt;&gt;"",$I407&lt;=DateRef),"",IF($AF407&lt;DateRef,"En retard",IF($AF407-DateRef&lt;=SeuilAlerteEDL,"À prévoir","À jour"))))</f>
        <v/>
      </c>
      <c r="AH407" s="39"/>
      <c r="AI407" s="39"/>
      <c r="AJ407" s="42" t="str">
        <f aca="false">IF(OR($B407="",$H407=""),"",IF(AND($I407&lt;&gt;"",$I407&lt;=DateRef),"",IF(Effectif&lt;SeuilEffectif,"Non concerné (&lt; "&amp;SeuilEffectif&amp;" salariés)",IF($AH407="Oui","Pas de risque",IF(AND(OR($AI407="Non",$S407="En retard"),$AH407="Non"),"Risque abondement",IF(OR($AI407="Non",$S407="En retard"),"À vérifier (formation ?)",IF($AI407="Oui","Pas de risque","À compléter")))))))</f>
        <v/>
      </c>
      <c r="AK407" s="39"/>
    </row>
    <row r="408" customFormat="false" ht="15" hidden="false" customHeight="false" outlineLevel="0" collapsed="false">
      <c r="A408" s="39"/>
      <c r="B408" s="39"/>
      <c r="C408" s="39"/>
      <c r="D408" s="39"/>
      <c r="E408" s="39"/>
      <c r="F408" s="39"/>
      <c r="G408" s="40"/>
      <c r="H408" s="40"/>
      <c r="I408" s="40"/>
      <c r="J408" s="41" t="str">
        <f aca="false">IF(OR($B408="",$H408=""),"",IF($H408&gt;DateRef,0,YEARFRAC($H408,DateRef,1)))</f>
        <v/>
      </c>
      <c r="K408" s="42" t="str">
        <f aca="false">IF(OR($B408="",$H408=""),"",IF(EDATE($H408,12)&lt;=DateRef,"Plus d'un an","Moins d'un an"))</f>
        <v/>
      </c>
      <c r="L408" s="40"/>
      <c r="M408" s="43" t="str">
        <f aca="false">IF(OR($B408="",$A408=""),"",IF(SUMPRODUCT(MAX((Journal!$A$6:$A$1005=$A408)*Journal!$C$6:$C$1005))=0,"",SUMPRODUCT(MAX((Journal!$A$6:$A$1005=$A408)*Journal!$C$6:$C$1005))))</f>
        <v/>
      </c>
      <c r="N408" s="43" t="str">
        <f aca="false">IF($B408="","",IF(MAX($L408,$M408)=0,"",MAX($L408,$M408)))</f>
        <v/>
      </c>
      <c r="O408" s="44" t="str">
        <f aca="false">IF(OR($B408="",$H408=""),"",IF($N408="",IF(EDATE($H408,DelaiPremierEPP)&gt;DateRef,"1er EPP (1re année)","Aucun entretien renseigné"),IF(AND(ReglesTransitoires="Oui",EDATE($N408,AnciennePeriodiciteEP*12)&lt;DateVigueur),"Retard antérieur à la réforme","Périodicité "&amp;PeriodiciteEPP&amp;" ans")))</f>
        <v/>
      </c>
      <c r="P408" s="43" t="str">
        <f aca="false">IF(OR($B408="",$H408=""),"",IF($N408="",EDATE($H408,DelaiPremierEPP),IF(AND(ReglesTransitoires="Oui",EDATE($N408,AnciennePeriodiciteEP*12)&lt;DateVigueur),EDATE($N408,AnciennePeriodiciteEP*12),EDATE($N408,PeriodiciteEPP*12))))</f>
        <v/>
      </c>
      <c r="Q408" s="40"/>
      <c r="R408" s="45" t="str">
        <f aca="false">IF(OR($P408="",AND($I408&lt;&gt;"",$I408&lt;=DateRef)),"",$P408-DateRef)</f>
        <v/>
      </c>
      <c r="S408" s="42" t="str">
        <f aca="false">IF($B408="","",IF(AND($I408&lt;&gt;"",$I408&lt;=DateRef),"Sorti",IF($H408="","À compléter",IF(AND($Q408&lt;&gt;"",$Q408&gt;=DateRef,$Q408&lt;=$P408),"Planifié",IF($R408&lt;0,"En retard",IF($R408&lt;=SeuilAlerteEPP,"À planifier","À jour"))))))</f>
        <v/>
      </c>
      <c r="T408" s="46" t="str">
        <f aca="false">IF(OR($B408="",$S408="Sorti"),"",MID(IF($H408=""," | Date d'embauche manquante","")&amp;IF(AND($K408="Plus d'un an",$N408="")," | Précédent entretien à renseigner (ancienneté &gt; 1 an)","")&amp;IF($O408="Retard antérieur à la réforme"," | Ancien délai de 2 ans expiré avant la réforme","")&amp;IF(AND($N408&lt;&gt;"",$H408&lt;&gt;"",$N408&lt;$H408)," | Entretien antérieur à l'embauche ?","")&amp;IF(AND($N408&lt;&gt;"",$N408&gt;DateRef)," | Entretien daté dans le futur ?","")&amp;IF(AND($Q408&lt;&gt;"",$P408&lt;&gt;"",$Q408&gt;$P408)," | Date prévue après l'échéance","")&amp;IF(AND($Q408&lt;&gt;"",$Q408&lt;DateRef,OR($N408="",$N408&lt;$Q408))," | Entretien prévu passé : le consigner au Journal","")&amp;IF(AND($G408&lt;&gt;"",$X408="",YEAR(DateRef)-YEAR($G408)&gt;=AgeMiCarriere-1,YEAR(DateRef)-YEAR($G408)&lt;=AgeMiCarriere+1)," | Visite de mi-carrière à vérifier",""),4,1000))</f>
        <v/>
      </c>
      <c r="U408" s="39"/>
      <c r="V408" s="40"/>
      <c r="W408" s="42" t="str">
        <f aca="false">IF(OR($B408="",$V408=""),"",IF(AND($I408&lt;&gt;"",$I408&lt;=DateRef),"",IF(AND($N408&lt;&gt;"",$N408&gt;=$V408),"Réalisé",IF(AND($N408&lt;&gt;"",$N408&gt;=EDATE($V408,-FenetreRetour)),"Dispensé (EPP récent)",IF($V408&gt;DateRef,"À prévoir à la reprise","À proposer (reprise passée)")))))</f>
        <v/>
      </c>
      <c r="X408" s="40"/>
      <c r="Y408" s="43" t="str">
        <f aca="false">IF(OR($B408="",$X408=""),"",EDATE($X408,DelaiMiCarriere))</f>
        <v/>
      </c>
      <c r="Z408" s="42" t="str">
        <f aca="false">IF(OR($B408="",$X408=""),"",IF(AND($I408&lt;&gt;"",$I408&lt;=DateRef),"",IF(AND($N408&lt;&gt;"",$N408&gt;=$X408),"Réalisé",IF($Y408&lt;DateRef,"En retard","À planifier"))))</f>
        <v/>
      </c>
      <c r="AA408" s="47" t="str">
        <f aca="false">IF(OR($B408="",$G408=""),"",IF($G408&gt;DateRef,"",DATEDIF($G408,DateRef,"y")))</f>
        <v/>
      </c>
      <c r="AB408" s="43" t="str">
        <f aca="false">IF(OR($B408="",$G408=""),"",EDATE($G408,AgeFinCarriere*12))</f>
        <v/>
      </c>
      <c r="AC408" s="42" t="str">
        <f aca="false">IF(OR($B408="",$G408="",$H408=""),"",IF(AND($I408&lt;&gt;"",$I408&lt;=DateRef),"",IF($AB408&lt;DateVigueur,"Non concerné",IF(AND($N408&lt;&gt;"",$N408&gt;=MAX(EDATE($AB408,-FenetreFinCarriere*12),DateVigueur),$N408&lt;=$AB408),"Réalisé",IF(DateRef&gt;$AB408,"Non réalisé",IF(AND($Q408&lt;&gt;"",$Q408&gt;=EDATE($AB408,-FenetreFinCarriere*12),$Q408&lt;=$AB408),"Planifié dans la fenêtre",IF(AND(MAX($P408,DateRef)&gt;=EDATE($AB408,-FenetreFinCarriere*12),MAX($P408,DateRef)&lt;=$AB408),"Prochain EPP dans la fenêtre",IF(MAX($P408,DateRef)&gt;$AB408,"À programmer avant 60 ans",""))))))))</f>
        <v/>
      </c>
      <c r="AD408" s="40"/>
      <c r="AE408" s="43" t="str">
        <f aca="false">IF(OR($B408="",$H408="",AND($I408&lt;&gt;"",$I408&lt;=DateRef)),"",MAX($H408,$AD408,IF($A408="",0,SUMPRODUCT(MAX((Journal!$A$6:$A$1005=$A408)*((Journal!$D$6:$D$1005=TypeEDL)+(Journal!$D$6:$D$1005=TypeBilan6))*Journal!$C$6:$C$1005)))))</f>
        <v/>
      </c>
      <c r="AF408" s="43" t="str">
        <f aca="false">IF($AE408="","",IF(AND(ReglesTransitoires="Oui",EDATE($AE408,AnciennePeriodiciteEDL*12)&lt;DateVigueur),EDATE($AE408,AnciennePeriodiciteEDL*12),EDATE($AE408,PeriodiciteEDL*12)))</f>
        <v/>
      </c>
      <c r="AG408" s="42" t="str">
        <f aca="false">IF($AF408="","",IF(AND($I408&lt;&gt;"",$I408&lt;=DateRef),"",IF($AF408&lt;DateRef,"En retard",IF($AF408-DateRef&lt;=SeuilAlerteEDL,"À prévoir","À jour"))))</f>
        <v/>
      </c>
      <c r="AH408" s="39"/>
      <c r="AI408" s="39"/>
      <c r="AJ408" s="42" t="str">
        <f aca="false">IF(OR($B408="",$H408=""),"",IF(AND($I408&lt;&gt;"",$I408&lt;=DateRef),"",IF(Effectif&lt;SeuilEffectif,"Non concerné (&lt; "&amp;SeuilEffectif&amp;" salariés)",IF($AH408="Oui","Pas de risque",IF(AND(OR($AI408="Non",$S408="En retard"),$AH408="Non"),"Risque abondement",IF(OR($AI408="Non",$S408="En retard"),"À vérifier (formation ?)",IF($AI408="Oui","Pas de risque","À compléter")))))))</f>
        <v/>
      </c>
      <c r="AK408" s="39"/>
    </row>
    <row r="409" customFormat="false" ht="15" hidden="false" customHeight="false" outlineLevel="0" collapsed="false">
      <c r="A409" s="39"/>
      <c r="B409" s="39"/>
      <c r="C409" s="39"/>
      <c r="D409" s="39"/>
      <c r="E409" s="39"/>
      <c r="F409" s="39"/>
      <c r="G409" s="40"/>
      <c r="H409" s="40"/>
      <c r="I409" s="40"/>
      <c r="J409" s="41" t="str">
        <f aca="false">IF(OR($B409="",$H409=""),"",IF($H409&gt;DateRef,0,YEARFRAC($H409,DateRef,1)))</f>
        <v/>
      </c>
      <c r="K409" s="42" t="str">
        <f aca="false">IF(OR($B409="",$H409=""),"",IF(EDATE($H409,12)&lt;=DateRef,"Plus d'un an","Moins d'un an"))</f>
        <v/>
      </c>
      <c r="L409" s="40"/>
      <c r="M409" s="43" t="str">
        <f aca="false">IF(OR($B409="",$A409=""),"",IF(SUMPRODUCT(MAX((Journal!$A$6:$A$1005=$A409)*Journal!$C$6:$C$1005))=0,"",SUMPRODUCT(MAX((Journal!$A$6:$A$1005=$A409)*Journal!$C$6:$C$1005))))</f>
        <v/>
      </c>
      <c r="N409" s="43" t="str">
        <f aca="false">IF($B409="","",IF(MAX($L409,$M409)=0,"",MAX($L409,$M409)))</f>
        <v/>
      </c>
      <c r="O409" s="44" t="str">
        <f aca="false">IF(OR($B409="",$H409=""),"",IF($N409="",IF(EDATE($H409,DelaiPremierEPP)&gt;DateRef,"1er EPP (1re année)","Aucun entretien renseigné"),IF(AND(ReglesTransitoires="Oui",EDATE($N409,AnciennePeriodiciteEP*12)&lt;DateVigueur),"Retard antérieur à la réforme","Périodicité "&amp;PeriodiciteEPP&amp;" ans")))</f>
        <v/>
      </c>
      <c r="P409" s="43" t="str">
        <f aca="false">IF(OR($B409="",$H409=""),"",IF($N409="",EDATE($H409,DelaiPremierEPP),IF(AND(ReglesTransitoires="Oui",EDATE($N409,AnciennePeriodiciteEP*12)&lt;DateVigueur),EDATE($N409,AnciennePeriodiciteEP*12),EDATE($N409,PeriodiciteEPP*12))))</f>
        <v/>
      </c>
      <c r="Q409" s="40"/>
      <c r="R409" s="45" t="str">
        <f aca="false">IF(OR($P409="",AND($I409&lt;&gt;"",$I409&lt;=DateRef)),"",$P409-DateRef)</f>
        <v/>
      </c>
      <c r="S409" s="42" t="str">
        <f aca="false">IF($B409="","",IF(AND($I409&lt;&gt;"",$I409&lt;=DateRef),"Sorti",IF($H409="","À compléter",IF(AND($Q409&lt;&gt;"",$Q409&gt;=DateRef,$Q409&lt;=$P409),"Planifié",IF($R409&lt;0,"En retard",IF($R409&lt;=SeuilAlerteEPP,"À planifier","À jour"))))))</f>
        <v/>
      </c>
      <c r="T409" s="46" t="str">
        <f aca="false">IF(OR($B409="",$S409="Sorti"),"",MID(IF($H409=""," | Date d'embauche manquante","")&amp;IF(AND($K409="Plus d'un an",$N409="")," | Précédent entretien à renseigner (ancienneté &gt; 1 an)","")&amp;IF($O409="Retard antérieur à la réforme"," | Ancien délai de 2 ans expiré avant la réforme","")&amp;IF(AND($N409&lt;&gt;"",$H409&lt;&gt;"",$N409&lt;$H409)," | Entretien antérieur à l'embauche ?","")&amp;IF(AND($N409&lt;&gt;"",$N409&gt;DateRef)," | Entretien daté dans le futur ?","")&amp;IF(AND($Q409&lt;&gt;"",$P409&lt;&gt;"",$Q409&gt;$P409)," | Date prévue après l'échéance","")&amp;IF(AND($Q409&lt;&gt;"",$Q409&lt;DateRef,OR($N409="",$N409&lt;$Q409))," | Entretien prévu passé : le consigner au Journal","")&amp;IF(AND($G409&lt;&gt;"",$X409="",YEAR(DateRef)-YEAR($G409)&gt;=AgeMiCarriere-1,YEAR(DateRef)-YEAR($G409)&lt;=AgeMiCarriere+1)," | Visite de mi-carrière à vérifier",""),4,1000))</f>
        <v/>
      </c>
      <c r="U409" s="39"/>
      <c r="V409" s="40"/>
      <c r="W409" s="42" t="str">
        <f aca="false">IF(OR($B409="",$V409=""),"",IF(AND($I409&lt;&gt;"",$I409&lt;=DateRef),"",IF(AND($N409&lt;&gt;"",$N409&gt;=$V409),"Réalisé",IF(AND($N409&lt;&gt;"",$N409&gt;=EDATE($V409,-FenetreRetour)),"Dispensé (EPP récent)",IF($V409&gt;DateRef,"À prévoir à la reprise","À proposer (reprise passée)")))))</f>
        <v/>
      </c>
      <c r="X409" s="40"/>
      <c r="Y409" s="43" t="str">
        <f aca="false">IF(OR($B409="",$X409=""),"",EDATE($X409,DelaiMiCarriere))</f>
        <v/>
      </c>
      <c r="Z409" s="42" t="str">
        <f aca="false">IF(OR($B409="",$X409=""),"",IF(AND($I409&lt;&gt;"",$I409&lt;=DateRef),"",IF(AND($N409&lt;&gt;"",$N409&gt;=$X409),"Réalisé",IF($Y409&lt;DateRef,"En retard","À planifier"))))</f>
        <v/>
      </c>
      <c r="AA409" s="47" t="str">
        <f aca="false">IF(OR($B409="",$G409=""),"",IF($G409&gt;DateRef,"",DATEDIF($G409,DateRef,"y")))</f>
        <v/>
      </c>
      <c r="AB409" s="43" t="str">
        <f aca="false">IF(OR($B409="",$G409=""),"",EDATE($G409,AgeFinCarriere*12))</f>
        <v/>
      </c>
      <c r="AC409" s="42" t="str">
        <f aca="false">IF(OR($B409="",$G409="",$H409=""),"",IF(AND($I409&lt;&gt;"",$I409&lt;=DateRef),"",IF($AB409&lt;DateVigueur,"Non concerné",IF(AND($N409&lt;&gt;"",$N409&gt;=MAX(EDATE($AB409,-FenetreFinCarriere*12),DateVigueur),$N409&lt;=$AB409),"Réalisé",IF(DateRef&gt;$AB409,"Non réalisé",IF(AND($Q409&lt;&gt;"",$Q409&gt;=EDATE($AB409,-FenetreFinCarriere*12),$Q409&lt;=$AB409),"Planifié dans la fenêtre",IF(AND(MAX($P409,DateRef)&gt;=EDATE($AB409,-FenetreFinCarriere*12),MAX($P409,DateRef)&lt;=$AB409),"Prochain EPP dans la fenêtre",IF(MAX($P409,DateRef)&gt;$AB409,"À programmer avant 60 ans",""))))))))</f>
        <v/>
      </c>
      <c r="AD409" s="40"/>
      <c r="AE409" s="43" t="str">
        <f aca="false">IF(OR($B409="",$H409="",AND($I409&lt;&gt;"",$I409&lt;=DateRef)),"",MAX($H409,$AD409,IF($A409="",0,SUMPRODUCT(MAX((Journal!$A$6:$A$1005=$A409)*((Journal!$D$6:$D$1005=TypeEDL)+(Journal!$D$6:$D$1005=TypeBilan6))*Journal!$C$6:$C$1005)))))</f>
        <v/>
      </c>
      <c r="AF409" s="43" t="str">
        <f aca="false">IF($AE409="","",IF(AND(ReglesTransitoires="Oui",EDATE($AE409,AnciennePeriodiciteEDL*12)&lt;DateVigueur),EDATE($AE409,AnciennePeriodiciteEDL*12),EDATE($AE409,PeriodiciteEDL*12)))</f>
        <v/>
      </c>
      <c r="AG409" s="42" t="str">
        <f aca="false">IF($AF409="","",IF(AND($I409&lt;&gt;"",$I409&lt;=DateRef),"",IF($AF409&lt;DateRef,"En retard",IF($AF409-DateRef&lt;=SeuilAlerteEDL,"À prévoir","À jour"))))</f>
        <v/>
      </c>
      <c r="AH409" s="39"/>
      <c r="AI409" s="39"/>
      <c r="AJ409" s="42" t="str">
        <f aca="false">IF(OR($B409="",$H409=""),"",IF(AND($I409&lt;&gt;"",$I409&lt;=DateRef),"",IF(Effectif&lt;SeuilEffectif,"Non concerné (&lt; "&amp;SeuilEffectif&amp;" salariés)",IF($AH409="Oui","Pas de risque",IF(AND(OR($AI409="Non",$S409="En retard"),$AH409="Non"),"Risque abondement",IF(OR($AI409="Non",$S409="En retard"),"À vérifier (formation ?)",IF($AI409="Oui","Pas de risque","À compléter")))))))</f>
        <v/>
      </c>
      <c r="AK409" s="39"/>
    </row>
    <row r="410" customFormat="false" ht="15" hidden="false" customHeight="false" outlineLevel="0" collapsed="false">
      <c r="A410" s="39"/>
      <c r="B410" s="39"/>
      <c r="C410" s="39"/>
      <c r="D410" s="39"/>
      <c r="E410" s="39"/>
      <c r="F410" s="39"/>
      <c r="G410" s="40"/>
      <c r="H410" s="40"/>
      <c r="I410" s="40"/>
      <c r="J410" s="41" t="str">
        <f aca="false">IF(OR($B410="",$H410=""),"",IF($H410&gt;DateRef,0,YEARFRAC($H410,DateRef,1)))</f>
        <v/>
      </c>
      <c r="K410" s="42" t="str">
        <f aca="false">IF(OR($B410="",$H410=""),"",IF(EDATE($H410,12)&lt;=DateRef,"Plus d'un an","Moins d'un an"))</f>
        <v/>
      </c>
      <c r="L410" s="40"/>
      <c r="M410" s="43" t="str">
        <f aca="false">IF(OR($B410="",$A410=""),"",IF(SUMPRODUCT(MAX((Journal!$A$6:$A$1005=$A410)*Journal!$C$6:$C$1005))=0,"",SUMPRODUCT(MAX((Journal!$A$6:$A$1005=$A410)*Journal!$C$6:$C$1005))))</f>
        <v/>
      </c>
      <c r="N410" s="43" t="str">
        <f aca="false">IF($B410="","",IF(MAX($L410,$M410)=0,"",MAX($L410,$M410)))</f>
        <v/>
      </c>
      <c r="O410" s="44" t="str">
        <f aca="false">IF(OR($B410="",$H410=""),"",IF($N410="",IF(EDATE($H410,DelaiPremierEPP)&gt;DateRef,"1er EPP (1re année)","Aucun entretien renseigné"),IF(AND(ReglesTransitoires="Oui",EDATE($N410,AnciennePeriodiciteEP*12)&lt;DateVigueur),"Retard antérieur à la réforme","Périodicité "&amp;PeriodiciteEPP&amp;" ans")))</f>
        <v/>
      </c>
      <c r="P410" s="43" t="str">
        <f aca="false">IF(OR($B410="",$H410=""),"",IF($N410="",EDATE($H410,DelaiPremierEPP),IF(AND(ReglesTransitoires="Oui",EDATE($N410,AnciennePeriodiciteEP*12)&lt;DateVigueur),EDATE($N410,AnciennePeriodiciteEP*12),EDATE($N410,PeriodiciteEPP*12))))</f>
        <v/>
      </c>
      <c r="Q410" s="40"/>
      <c r="R410" s="45" t="str">
        <f aca="false">IF(OR($P410="",AND($I410&lt;&gt;"",$I410&lt;=DateRef)),"",$P410-DateRef)</f>
        <v/>
      </c>
      <c r="S410" s="42" t="str">
        <f aca="false">IF($B410="","",IF(AND($I410&lt;&gt;"",$I410&lt;=DateRef),"Sorti",IF($H410="","À compléter",IF(AND($Q410&lt;&gt;"",$Q410&gt;=DateRef,$Q410&lt;=$P410),"Planifié",IF($R410&lt;0,"En retard",IF($R410&lt;=SeuilAlerteEPP,"À planifier","À jour"))))))</f>
        <v/>
      </c>
      <c r="T410" s="46" t="str">
        <f aca="false">IF(OR($B410="",$S410="Sorti"),"",MID(IF($H410=""," | Date d'embauche manquante","")&amp;IF(AND($K410="Plus d'un an",$N410="")," | Précédent entretien à renseigner (ancienneté &gt; 1 an)","")&amp;IF($O410="Retard antérieur à la réforme"," | Ancien délai de 2 ans expiré avant la réforme","")&amp;IF(AND($N410&lt;&gt;"",$H410&lt;&gt;"",$N410&lt;$H410)," | Entretien antérieur à l'embauche ?","")&amp;IF(AND($N410&lt;&gt;"",$N410&gt;DateRef)," | Entretien daté dans le futur ?","")&amp;IF(AND($Q410&lt;&gt;"",$P410&lt;&gt;"",$Q410&gt;$P410)," | Date prévue après l'échéance","")&amp;IF(AND($Q410&lt;&gt;"",$Q410&lt;DateRef,OR($N410="",$N410&lt;$Q410))," | Entretien prévu passé : le consigner au Journal","")&amp;IF(AND($G410&lt;&gt;"",$X410="",YEAR(DateRef)-YEAR($G410)&gt;=AgeMiCarriere-1,YEAR(DateRef)-YEAR($G410)&lt;=AgeMiCarriere+1)," | Visite de mi-carrière à vérifier",""),4,1000))</f>
        <v/>
      </c>
      <c r="U410" s="39"/>
      <c r="V410" s="40"/>
      <c r="W410" s="42" t="str">
        <f aca="false">IF(OR($B410="",$V410=""),"",IF(AND($I410&lt;&gt;"",$I410&lt;=DateRef),"",IF(AND($N410&lt;&gt;"",$N410&gt;=$V410),"Réalisé",IF(AND($N410&lt;&gt;"",$N410&gt;=EDATE($V410,-FenetreRetour)),"Dispensé (EPP récent)",IF($V410&gt;DateRef,"À prévoir à la reprise","À proposer (reprise passée)")))))</f>
        <v/>
      </c>
      <c r="X410" s="40"/>
      <c r="Y410" s="43" t="str">
        <f aca="false">IF(OR($B410="",$X410=""),"",EDATE($X410,DelaiMiCarriere))</f>
        <v/>
      </c>
      <c r="Z410" s="42" t="str">
        <f aca="false">IF(OR($B410="",$X410=""),"",IF(AND($I410&lt;&gt;"",$I410&lt;=DateRef),"",IF(AND($N410&lt;&gt;"",$N410&gt;=$X410),"Réalisé",IF($Y410&lt;DateRef,"En retard","À planifier"))))</f>
        <v/>
      </c>
      <c r="AA410" s="47" t="str">
        <f aca="false">IF(OR($B410="",$G410=""),"",IF($G410&gt;DateRef,"",DATEDIF($G410,DateRef,"y")))</f>
        <v/>
      </c>
      <c r="AB410" s="43" t="str">
        <f aca="false">IF(OR($B410="",$G410=""),"",EDATE($G410,AgeFinCarriere*12))</f>
        <v/>
      </c>
      <c r="AC410" s="42" t="str">
        <f aca="false">IF(OR($B410="",$G410="",$H410=""),"",IF(AND($I410&lt;&gt;"",$I410&lt;=DateRef),"",IF($AB410&lt;DateVigueur,"Non concerné",IF(AND($N410&lt;&gt;"",$N410&gt;=MAX(EDATE($AB410,-FenetreFinCarriere*12),DateVigueur),$N410&lt;=$AB410),"Réalisé",IF(DateRef&gt;$AB410,"Non réalisé",IF(AND($Q410&lt;&gt;"",$Q410&gt;=EDATE($AB410,-FenetreFinCarriere*12),$Q410&lt;=$AB410),"Planifié dans la fenêtre",IF(AND(MAX($P410,DateRef)&gt;=EDATE($AB410,-FenetreFinCarriere*12),MAX($P410,DateRef)&lt;=$AB410),"Prochain EPP dans la fenêtre",IF(MAX($P410,DateRef)&gt;$AB410,"À programmer avant 60 ans",""))))))))</f>
        <v/>
      </c>
      <c r="AD410" s="40"/>
      <c r="AE410" s="43" t="str">
        <f aca="false">IF(OR($B410="",$H410="",AND($I410&lt;&gt;"",$I410&lt;=DateRef)),"",MAX($H410,$AD410,IF($A410="",0,SUMPRODUCT(MAX((Journal!$A$6:$A$1005=$A410)*((Journal!$D$6:$D$1005=TypeEDL)+(Journal!$D$6:$D$1005=TypeBilan6))*Journal!$C$6:$C$1005)))))</f>
        <v/>
      </c>
      <c r="AF410" s="43" t="str">
        <f aca="false">IF($AE410="","",IF(AND(ReglesTransitoires="Oui",EDATE($AE410,AnciennePeriodiciteEDL*12)&lt;DateVigueur),EDATE($AE410,AnciennePeriodiciteEDL*12),EDATE($AE410,PeriodiciteEDL*12)))</f>
        <v/>
      </c>
      <c r="AG410" s="42" t="str">
        <f aca="false">IF($AF410="","",IF(AND($I410&lt;&gt;"",$I410&lt;=DateRef),"",IF($AF410&lt;DateRef,"En retard",IF($AF410-DateRef&lt;=SeuilAlerteEDL,"À prévoir","À jour"))))</f>
        <v/>
      </c>
      <c r="AH410" s="39"/>
      <c r="AI410" s="39"/>
      <c r="AJ410" s="42" t="str">
        <f aca="false">IF(OR($B410="",$H410=""),"",IF(AND($I410&lt;&gt;"",$I410&lt;=DateRef),"",IF(Effectif&lt;SeuilEffectif,"Non concerné (&lt; "&amp;SeuilEffectif&amp;" salariés)",IF($AH410="Oui","Pas de risque",IF(AND(OR($AI410="Non",$S410="En retard"),$AH410="Non"),"Risque abondement",IF(OR($AI410="Non",$S410="En retard"),"À vérifier (formation ?)",IF($AI410="Oui","Pas de risque","À compléter")))))))</f>
        <v/>
      </c>
      <c r="AK410" s="39"/>
    </row>
    <row r="411" customFormat="false" ht="15" hidden="false" customHeight="false" outlineLevel="0" collapsed="false">
      <c r="A411" s="39"/>
      <c r="B411" s="39"/>
      <c r="C411" s="39"/>
      <c r="D411" s="39"/>
      <c r="E411" s="39"/>
      <c r="F411" s="39"/>
      <c r="G411" s="40"/>
      <c r="H411" s="40"/>
      <c r="I411" s="40"/>
      <c r="J411" s="41" t="str">
        <f aca="false">IF(OR($B411="",$H411=""),"",IF($H411&gt;DateRef,0,YEARFRAC($H411,DateRef,1)))</f>
        <v/>
      </c>
      <c r="K411" s="42" t="str">
        <f aca="false">IF(OR($B411="",$H411=""),"",IF(EDATE($H411,12)&lt;=DateRef,"Plus d'un an","Moins d'un an"))</f>
        <v/>
      </c>
      <c r="L411" s="40"/>
      <c r="M411" s="43" t="str">
        <f aca="false">IF(OR($B411="",$A411=""),"",IF(SUMPRODUCT(MAX((Journal!$A$6:$A$1005=$A411)*Journal!$C$6:$C$1005))=0,"",SUMPRODUCT(MAX((Journal!$A$6:$A$1005=$A411)*Journal!$C$6:$C$1005))))</f>
        <v/>
      </c>
      <c r="N411" s="43" t="str">
        <f aca="false">IF($B411="","",IF(MAX($L411,$M411)=0,"",MAX($L411,$M411)))</f>
        <v/>
      </c>
      <c r="O411" s="44" t="str">
        <f aca="false">IF(OR($B411="",$H411=""),"",IF($N411="",IF(EDATE($H411,DelaiPremierEPP)&gt;DateRef,"1er EPP (1re année)","Aucun entretien renseigné"),IF(AND(ReglesTransitoires="Oui",EDATE($N411,AnciennePeriodiciteEP*12)&lt;DateVigueur),"Retard antérieur à la réforme","Périodicité "&amp;PeriodiciteEPP&amp;" ans")))</f>
        <v/>
      </c>
      <c r="P411" s="43" t="str">
        <f aca="false">IF(OR($B411="",$H411=""),"",IF($N411="",EDATE($H411,DelaiPremierEPP),IF(AND(ReglesTransitoires="Oui",EDATE($N411,AnciennePeriodiciteEP*12)&lt;DateVigueur),EDATE($N411,AnciennePeriodiciteEP*12),EDATE($N411,PeriodiciteEPP*12))))</f>
        <v/>
      </c>
      <c r="Q411" s="40"/>
      <c r="R411" s="45" t="str">
        <f aca="false">IF(OR($P411="",AND($I411&lt;&gt;"",$I411&lt;=DateRef)),"",$P411-DateRef)</f>
        <v/>
      </c>
      <c r="S411" s="42" t="str">
        <f aca="false">IF($B411="","",IF(AND($I411&lt;&gt;"",$I411&lt;=DateRef),"Sorti",IF($H411="","À compléter",IF(AND($Q411&lt;&gt;"",$Q411&gt;=DateRef,$Q411&lt;=$P411),"Planifié",IF($R411&lt;0,"En retard",IF($R411&lt;=SeuilAlerteEPP,"À planifier","À jour"))))))</f>
        <v/>
      </c>
      <c r="T411" s="46" t="str">
        <f aca="false">IF(OR($B411="",$S411="Sorti"),"",MID(IF($H411=""," | Date d'embauche manquante","")&amp;IF(AND($K411="Plus d'un an",$N411="")," | Précédent entretien à renseigner (ancienneté &gt; 1 an)","")&amp;IF($O411="Retard antérieur à la réforme"," | Ancien délai de 2 ans expiré avant la réforme","")&amp;IF(AND($N411&lt;&gt;"",$H411&lt;&gt;"",$N411&lt;$H411)," | Entretien antérieur à l'embauche ?","")&amp;IF(AND($N411&lt;&gt;"",$N411&gt;DateRef)," | Entretien daté dans le futur ?","")&amp;IF(AND($Q411&lt;&gt;"",$P411&lt;&gt;"",$Q411&gt;$P411)," | Date prévue après l'échéance","")&amp;IF(AND($Q411&lt;&gt;"",$Q411&lt;DateRef,OR($N411="",$N411&lt;$Q411))," | Entretien prévu passé : le consigner au Journal","")&amp;IF(AND($G411&lt;&gt;"",$X411="",YEAR(DateRef)-YEAR($G411)&gt;=AgeMiCarriere-1,YEAR(DateRef)-YEAR($G411)&lt;=AgeMiCarriere+1)," | Visite de mi-carrière à vérifier",""),4,1000))</f>
        <v/>
      </c>
      <c r="U411" s="39"/>
      <c r="V411" s="40"/>
      <c r="W411" s="42" t="str">
        <f aca="false">IF(OR($B411="",$V411=""),"",IF(AND($I411&lt;&gt;"",$I411&lt;=DateRef),"",IF(AND($N411&lt;&gt;"",$N411&gt;=$V411),"Réalisé",IF(AND($N411&lt;&gt;"",$N411&gt;=EDATE($V411,-FenetreRetour)),"Dispensé (EPP récent)",IF($V411&gt;DateRef,"À prévoir à la reprise","À proposer (reprise passée)")))))</f>
        <v/>
      </c>
      <c r="X411" s="40"/>
      <c r="Y411" s="43" t="str">
        <f aca="false">IF(OR($B411="",$X411=""),"",EDATE($X411,DelaiMiCarriere))</f>
        <v/>
      </c>
      <c r="Z411" s="42" t="str">
        <f aca="false">IF(OR($B411="",$X411=""),"",IF(AND($I411&lt;&gt;"",$I411&lt;=DateRef),"",IF(AND($N411&lt;&gt;"",$N411&gt;=$X411),"Réalisé",IF($Y411&lt;DateRef,"En retard","À planifier"))))</f>
        <v/>
      </c>
      <c r="AA411" s="47" t="str">
        <f aca="false">IF(OR($B411="",$G411=""),"",IF($G411&gt;DateRef,"",DATEDIF($G411,DateRef,"y")))</f>
        <v/>
      </c>
      <c r="AB411" s="43" t="str">
        <f aca="false">IF(OR($B411="",$G411=""),"",EDATE($G411,AgeFinCarriere*12))</f>
        <v/>
      </c>
      <c r="AC411" s="42" t="str">
        <f aca="false">IF(OR($B411="",$G411="",$H411=""),"",IF(AND($I411&lt;&gt;"",$I411&lt;=DateRef),"",IF($AB411&lt;DateVigueur,"Non concerné",IF(AND($N411&lt;&gt;"",$N411&gt;=MAX(EDATE($AB411,-FenetreFinCarriere*12),DateVigueur),$N411&lt;=$AB411),"Réalisé",IF(DateRef&gt;$AB411,"Non réalisé",IF(AND($Q411&lt;&gt;"",$Q411&gt;=EDATE($AB411,-FenetreFinCarriere*12),$Q411&lt;=$AB411),"Planifié dans la fenêtre",IF(AND(MAX($P411,DateRef)&gt;=EDATE($AB411,-FenetreFinCarriere*12),MAX($P411,DateRef)&lt;=$AB411),"Prochain EPP dans la fenêtre",IF(MAX($P411,DateRef)&gt;$AB411,"À programmer avant 60 ans",""))))))))</f>
        <v/>
      </c>
      <c r="AD411" s="40"/>
      <c r="AE411" s="43" t="str">
        <f aca="false">IF(OR($B411="",$H411="",AND($I411&lt;&gt;"",$I411&lt;=DateRef)),"",MAX($H411,$AD411,IF($A411="",0,SUMPRODUCT(MAX((Journal!$A$6:$A$1005=$A411)*((Journal!$D$6:$D$1005=TypeEDL)+(Journal!$D$6:$D$1005=TypeBilan6))*Journal!$C$6:$C$1005)))))</f>
        <v/>
      </c>
      <c r="AF411" s="43" t="str">
        <f aca="false">IF($AE411="","",IF(AND(ReglesTransitoires="Oui",EDATE($AE411,AnciennePeriodiciteEDL*12)&lt;DateVigueur),EDATE($AE411,AnciennePeriodiciteEDL*12),EDATE($AE411,PeriodiciteEDL*12)))</f>
        <v/>
      </c>
      <c r="AG411" s="42" t="str">
        <f aca="false">IF($AF411="","",IF(AND($I411&lt;&gt;"",$I411&lt;=DateRef),"",IF($AF411&lt;DateRef,"En retard",IF($AF411-DateRef&lt;=SeuilAlerteEDL,"À prévoir","À jour"))))</f>
        <v/>
      </c>
      <c r="AH411" s="39"/>
      <c r="AI411" s="39"/>
      <c r="AJ411" s="42" t="str">
        <f aca="false">IF(OR($B411="",$H411=""),"",IF(AND($I411&lt;&gt;"",$I411&lt;=DateRef),"",IF(Effectif&lt;SeuilEffectif,"Non concerné (&lt; "&amp;SeuilEffectif&amp;" salariés)",IF($AH411="Oui","Pas de risque",IF(AND(OR($AI411="Non",$S411="En retard"),$AH411="Non"),"Risque abondement",IF(OR($AI411="Non",$S411="En retard"),"À vérifier (formation ?)",IF($AI411="Oui","Pas de risque","À compléter")))))))</f>
        <v/>
      </c>
      <c r="AK411" s="39"/>
    </row>
    <row r="412" customFormat="false" ht="15" hidden="false" customHeight="false" outlineLevel="0" collapsed="false">
      <c r="A412" s="39"/>
      <c r="B412" s="39"/>
      <c r="C412" s="39"/>
      <c r="D412" s="39"/>
      <c r="E412" s="39"/>
      <c r="F412" s="39"/>
      <c r="G412" s="40"/>
      <c r="H412" s="40"/>
      <c r="I412" s="40"/>
      <c r="J412" s="41" t="str">
        <f aca="false">IF(OR($B412="",$H412=""),"",IF($H412&gt;DateRef,0,YEARFRAC($H412,DateRef,1)))</f>
        <v/>
      </c>
      <c r="K412" s="42" t="str">
        <f aca="false">IF(OR($B412="",$H412=""),"",IF(EDATE($H412,12)&lt;=DateRef,"Plus d'un an","Moins d'un an"))</f>
        <v/>
      </c>
      <c r="L412" s="40"/>
      <c r="M412" s="43" t="str">
        <f aca="false">IF(OR($B412="",$A412=""),"",IF(SUMPRODUCT(MAX((Journal!$A$6:$A$1005=$A412)*Journal!$C$6:$C$1005))=0,"",SUMPRODUCT(MAX((Journal!$A$6:$A$1005=$A412)*Journal!$C$6:$C$1005))))</f>
        <v/>
      </c>
      <c r="N412" s="43" t="str">
        <f aca="false">IF($B412="","",IF(MAX($L412,$M412)=0,"",MAX($L412,$M412)))</f>
        <v/>
      </c>
      <c r="O412" s="44" t="str">
        <f aca="false">IF(OR($B412="",$H412=""),"",IF($N412="",IF(EDATE($H412,DelaiPremierEPP)&gt;DateRef,"1er EPP (1re année)","Aucun entretien renseigné"),IF(AND(ReglesTransitoires="Oui",EDATE($N412,AnciennePeriodiciteEP*12)&lt;DateVigueur),"Retard antérieur à la réforme","Périodicité "&amp;PeriodiciteEPP&amp;" ans")))</f>
        <v/>
      </c>
      <c r="P412" s="43" t="str">
        <f aca="false">IF(OR($B412="",$H412=""),"",IF($N412="",EDATE($H412,DelaiPremierEPP),IF(AND(ReglesTransitoires="Oui",EDATE($N412,AnciennePeriodiciteEP*12)&lt;DateVigueur),EDATE($N412,AnciennePeriodiciteEP*12),EDATE($N412,PeriodiciteEPP*12))))</f>
        <v/>
      </c>
      <c r="Q412" s="40"/>
      <c r="R412" s="45" t="str">
        <f aca="false">IF(OR($P412="",AND($I412&lt;&gt;"",$I412&lt;=DateRef)),"",$P412-DateRef)</f>
        <v/>
      </c>
      <c r="S412" s="42" t="str">
        <f aca="false">IF($B412="","",IF(AND($I412&lt;&gt;"",$I412&lt;=DateRef),"Sorti",IF($H412="","À compléter",IF(AND($Q412&lt;&gt;"",$Q412&gt;=DateRef,$Q412&lt;=$P412),"Planifié",IF($R412&lt;0,"En retard",IF($R412&lt;=SeuilAlerteEPP,"À planifier","À jour"))))))</f>
        <v/>
      </c>
      <c r="T412" s="46" t="str">
        <f aca="false">IF(OR($B412="",$S412="Sorti"),"",MID(IF($H412=""," | Date d'embauche manquante","")&amp;IF(AND($K412="Plus d'un an",$N412="")," | Précédent entretien à renseigner (ancienneté &gt; 1 an)","")&amp;IF($O412="Retard antérieur à la réforme"," | Ancien délai de 2 ans expiré avant la réforme","")&amp;IF(AND($N412&lt;&gt;"",$H412&lt;&gt;"",$N412&lt;$H412)," | Entretien antérieur à l'embauche ?","")&amp;IF(AND($N412&lt;&gt;"",$N412&gt;DateRef)," | Entretien daté dans le futur ?","")&amp;IF(AND($Q412&lt;&gt;"",$P412&lt;&gt;"",$Q412&gt;$P412)," | Date prévue après l'échéance","")&amp;IF(AND($Q412&lt;&gt;"",$Q412&lt;DateRef,OR($N412="",$N412&lt;$Q412))," | Entretien prévu passé : le consigner au Journal","")&amp;IF(AND($G412&lt;&gt;"",$X412="",YEAR(DateRef)-YEAR($G412)&gt;=AgeMiCarriere-1,YEAR(DateRef)-YEAR($G412)&lt;=AgeMiCarriere+1)," | Visite de mi-carrière à vérifier",""),4,1000))</f>
        <v/>
      </c>
      <c r="U412" s="39"/>
      <c r="V412" s="40"/>
      <c r="W412" s="42" t="str">
        <f aca="false">IF(OR($B412="",$V412=""),"",IF(AND($I412&lt;&gt;"",$I412&lt;=DateRef),"",IF(AND($N412&lt;&gt;"",$N412&gt;=$V412),"Réalisé",IF(AND($N412&lt;&gt;"",$N412&gt;=EDATE($V412,-FenetreRetour)),"Dispensé (EPP récent)",IF($V412&gt;DateRef,"À prévoir à la reprise","À proposer (reprise passée)")))))</f>
        <v/>
      </c>
      <c r="X412" s="40"/>
      <c r="Y412" s="43" t="str">
        <f aca="false">IF(OR($B412="",$X412=""),"",EDATE($X412,DelaiMiCarriere))</f>
        <v/>
      </c>
      <c r="Z412" s="42" t="str">
        <f aca="false">IF(OR($B412="",$X412=""),"",IF(AND($I412&lt;&gt;"",$I412&lt;=DateRef),"",IF(AND($N412&lt;&gt;"",$N412&gt;=$X412),"Réalisé",IF($Y412&lt;DateRef,"En retard","À planifier"))))</f>
        <v/>
      </c>
      <c r="AA412" s="47" t="str">
        <f aca="false">IF(OR($B412="",$G412=""),"",IF($G412&gt;DateRef,"",DATEDIF($G412,DateRef,"y")))</f>
        <v/>
      </c>
      <c r="AB412" s="43" t="str">
        <f aca="false">IF(OR($B412="",$G412=""),"",EDATE($G412,AgeFinCarriere*12))</f>
        <v/>
      </c>
      <c r="AC412" s="42" t="str">
        <f aca="false">IF(OR($B412="",$G412="",$H412=""),"",IF(AND($I412&lt;&gt;"",$I412&lt;=DateRef),"",IF($AB412&lt;DateVigueur,"Non concerné",IF(AND($N412&lt;&gt;"",$N412&gt;=MAX(EDATE($AB412,-FenetreFinCarriere*12),DateVigueur),$N412&lt;=$AB412),"Réalisé",IF(DateRef&gt;$AB412,"Non réalisé",IF(AND($Q412&lt;&gt;"",$Q412&gt;=EDATE($AB412,-FenetreFinCarriere*12),$Q412&lt;=$AB412),"Planifié dans la fenêtre",IF(AND(MAX($P412,DateRef)&gt;=EDATE($AB412,-FenetreFinCarriere*12),MAX($P412,DateRef)&lt;=$AB412),"Prochain EPP dans la fenêtre",IF(MAX($P412,DateRef)&gt;$AB412,"À programmer avant 60 ans",""))))))))</f>
        <v/>
      </c>
      <c r="AD412" s="40"/>
      <c r="AE412" s="43" t="str">
        <f aca="false">IF(OR($B412="",$H412="",AND($I412&lt;&gt;"",$I412&lt;=DateRef)),"",MAX($H412,$AD412,IF($A412="",0,SUMPRODUCT(MAX((Journal!$A$6:$A$1005=$A412)*((Journal!$D$6:$D$1005=TypeEDL)+(Journal!$D$6:$D$1005=TypeBilan6))*Journal!$C$6:$C$1005)))))</f>
        <v/>
      </c>
      <c r="AF412" s="43" t="str">
        <f aca="false">IF($AE412="","",IF(AND(ReglesTransitoires="Oui",EDATE($AE412,AnciennePeriodiciteEDL*12)&lt;DateVigueur),EDATE($AE412,AnciennePeriodiciteEDL*12),EDATE($AE412,PeriodiciteEDL*12)))</f>
        <v/>
      </c>
      <c r="AG412" s="42" t="str">
        <f aca="false">IF($AF412="","",IF(AND($I412&lt;&gt;"",$I412&lt;=DateRef),"",IF($AF412&lt;DateRef,"En retard",IF($AF412-DateRef&lt;=SeuilAlerteEDL,"À prévoir","À jour"))))</f>
        <v/>
      </c>
      <c r="AH412" s="39"/>
      <c r="AI412" s="39"/>
      <c r="AJ412" s="42" t="str">
        <f aca="false">IF(OR($B412="",$H412=""),"",IF(AND($I412&lt;&gt;"",$I412&lt;=DateRef),"",IF(Effectif&lt;SeuilEffectif,"Non concerné (&lt; "&amp;SeuilEffectif&amp;" salariés)",IF($AH412="Oui","Pas de risque",IF(AND(OR($AI412="Non",$S412="En retard"),$AH412="Non"),"Risque abondement",IF(OR($AI412="Non",$S412="En retard"),"À vérifier (formation ?)",IF($AI412="Oui","Pas de risque","À compléter")))))))</f>
        <v/>
      </c>
      <c r="AK412" s="39"/>
    </row>
    <row r="413" customFormat="false" ht="15" hidden="false" customHeight="false" outlineLevel="0" collapsed="false">
      <c r="A413" s="39"/>
      <c r="B413" s="39"/>
      <c r="C413" s="39"/>
      <c r="D413" s="39"/>
      <c r="E413" s="39"/>
      <c r="F413" s="39"/>
      <c r="G413" s="40"/>
      <c r="H413" s="40"/>
      <c r="I413" s="40"/>
      <c r="J413" s="41" t="str">
        <f aca="false">IF(OR($B413="",$H413=""),"",IF($H413&gt;DateRef,0,YEARFRAC($H413,DateRef,1)))</f>
        <v/>
      </c>
      <c r="K413" s="42" t="str">
        <f aca="false">IF(OR($B413="",$H413=""),"",IF(EDATE($H413,12)&lt;=DateRef,"Plus d'un an","Moins d'un an"))</f>
        <v/>
      </c>
      <c r="L413" s="40"/>
      <c r="M413" s="43" t="str">
        <f aca="false">IF(OR($B413="",$A413=""),"",IF(SUMPRODUCT(MAX((Journal!$A$6:$A$1005=$A413)*Journal!$C$6:$C$1005))=0,"",SUMPRODUCT(MAX((Journal!$A$6:$A$1005=$A413)*Journal!$C$6:$C$1005))))</f>
        <v/>
      </c>
      <c r="N413" s="43" t="str">
        <f aca="false">IF($B413="","",IF(MAX($L413,$M413)=0,"",MAX($L413,$M413)))</f>
        <v/>
      </c>
      <c r="O413" s="44" t="str">
        <f aca="false">IF(OR($B413="",$H413=""),"",IF($N413="",IF(EDATE($H413,DelaiPremierEPP)&gt;DateRef,"1er EPP (1re année)","Aucun entretien renseigné"),IF(AND(ReglesTransitoires="Oui",EDATE($N413,AnciennePeriodiciteEP*12)&lt;DateVigueur),"Retard antérieur à la réforme","Périodicité "&amp;PeriodiciteEPP&amp;" ans")))</f>
        <v/>
      </c>
      <c r="P413" s="43" t="str">
        <f aca="false">IF(OR($B413="",$H413=""),"",IF($N413="",EDATE($H413,DelaiPremierEPP),IF(AND(ReglesTransitoires="Oui",EDATE($N413,AnciennePeriodiciteEP*12)&lt;DateVigueur),EDATE($N413,AnciennePeriodiciteEP*12),EDATE($N413,PeriodiciteEPP*12))))</f>
        <v/>
      </c>
      <c r="Q413" s="40"/>
      <c r="R413" s="45" t="str">
        <f aca="false">IF(OR($P413="",AND($I413&lt;&gt;"",$I413&lt;=DateRef)),"",$P413-DateRef)</f>
        <v/>
      </c>
      <c r="S413" s="42" t="str">
        <f aca="false">IF($B413="","",IF(AND($I413&lt;&gt;"",$I413&lt;=DateRef),"Sorti",IF($H413="","À compléter",IF(AND($Q413&lt;&gt;"",$Q413&gt;=DateRef,$Q413&lt;=$P413),"Planifié",IF($R413&lt;0,"En retard",IF($R413&lt;=SeuilAlerteEPP,"À planifier","À jour"))))))</f>
        <v/>
      </c>
      <c r="T413" s="46" t="str">
        <f aca="false">IF(OR($B413="",$S413="Sorti"),"",MID(IF($H413=""," | Date d'embauche manquante","")&amp;IF(AND($K413="Plus d'un an",$N413="")," | Précédent entretien à renseigner (ancienneté &gt; 1 an)","")&amp;IF($O413="Retard antérieur à la réforme"," | Ancien délai de 2 ans expiré avant la réforme","")&amp;IF(AND($N413&lt;&gt;"",$H413&lt;&gt;"",$N413&lt;$H413)," | Entretien antérieur à l'embauche ?","")&amp;IF(AND($N413&lt;&gt;"",$N413&gt;DateRef)," | Entretien daté dans le futur ?","")&amp;IF(AND($Q413&lt;&gt;"",$P413&lt;&gt;"",$Q413&gt;$P413)," | Date prévue après l'échéance","")&amp;IF(AND($Q413&lt;&gt;"",$Q413&lt;DateRef,OR($N413="",$N413&lt;$Q413))," | Entretien prévu passé : le consigner au Journal","")&amp;IF(AND($G413&lt;&gt;"",$X413="",YEAR(DateRef)-YEAR($G413)&gt;=AgeMiCarriere-1,YEAR(DateRef)-YEAR($G413)&lt;=AgeMiCarriere+1)," | Visite de mi-carrière à vérifier",""),4,1000))</f>
        <v/>
      </c>
      <c r="U413" s="39"/>
      <c r="V413" s="40"/>
      <c r="W413" s="42" t="str">
        <f aca="false">IF(OR($B413="",$V413=""),"",IF(AND($I413&lt;&gt;"",$I413&lt;=DateRef),"",IF(AND($N413&lt;&gt;"",$N413&gt;=$V413),"Réalisé",IF(AND($N413&lt;&gt;"",$N413&gt;=EDATE($V413,-FenetreRetour)),"Dispensé (EPP récent)",IF($V413&gt;DateRef,"À prévoir à la reprise","À proposer (reprise passée)")))))</f>
        <v/>
      </c>
      <c r="X413" s="40"/>
      <c r="Y413" s="43" t="str">
        <f aca="false">IF(OR($B413="",$X413=""),"",EDATE($X413,DelaiMiCarriere))</f>
        <v/>
      </c>
      <c r="Z413" s="42" t="str">
        <f aca="false">IF(OR($B413="",$X413=""),"",IF(AND($I413&lt;&gt;"",$I413&lt;=DateRef),"",IF(AND($N413&lt;&gt;"",$N413&gt;=$X413),"Réalisé",IF($Y413&lt;DateRef,"En retard","À planifier"))))</f>
        <v/>
      </c>
      <c r="AA413" s="47" t="str">
        <f aca="false">IF(OR($B413="",$G413=""),"",IF($G413&gt;DateRef,"",DATEDIF($G413,DateRef,"y")))</f>
        <v/>
      </c>
      <c r="AB413" s="43" t="str">
        <f aca="false">IF(OR($B413="",$G413=""),"",EDATE($G413,AgeFinCarriere*12))</f>
        <v/>
      </c>
      <c r="AC413" s="42" t="str">
        <f aca="false">IF(OR($B413="",$G413="",$H413=""),"",IF(AND($I413&lt;&gt;"",$I413&lt;=DateRef),"",IF($AB413&lt;DateVigueur,"Non concerné",IF(AND($N413&lt;&gt;"",$N413&gt;=MAX(EDATE($AB413,-FenetreFinCarriere*12),DateVigueur),$N413&lt;=$AB413),"Réalisé",IF(DateRef&gt;$AB413,"Non réalisé",IF(AND($Q413&lt;&gt;"",$Q413&gt;=EDATE($AB413,-FenetreFinCarriere*12),$Q413&lt;=$AB413),"Planifié dans la fenêtre",IF(AND(MAX($P413,DateRef)&gt;=EDATE($AB413,-FenetreFinCarriere*12),MAX($P413,DateRef)&lt;=$AB413),"Prochain EPP dans la fenêtre",IF(MAX($P413,DateRef)&gt;$AB413,"À programmer avant 60 ans",""))))))))</f>
        <v/>
      </c>
      <c r="AD413" s="40"/>
      <c r="AE413" s="43" t="str">
        <f aca="false">IF(OR($B413="",$H413="",AND($I413&lt;&gt;"",$I413&lt;=DateRef)),"",MAX($H413,$AD413,IF($A413="",0,SUMPRODUCT(MAX((Journal!$A$6:$A$1005=$A413)*((Journal!$D$6:$D$1005=TypeEDL)+(Journal!$D$6:$D$1005=TypeBilan6))*Journal!$C$6:$C$1005)))))</f>
        <v/>
      </c>
      <c r="AF413" s="43" t="str">
        <f aca="false">IF($AE413="","",IF(AND(ReglesTransitoires="Oui",EDATE($AE413,AnciennePeriodiciteEDL*12)&lt;DateVigueur),EDATE($AE413,AnciennePeriodiciteEDL*12),EDATE($AE413,PeriodiciteEDL*12)))</f>
        <v/>
      </c>
      <c r="AG413" s="42" t="str">
        <f aca="false">IF($AF413="","",IF(AND($I413&lt;&gt;"",$I413&lt;=DateRef),"",IF($AF413&lt;DateRef,"En retard",IF($AF413-DateRef&lt;=SeuilAlerteEDL,"À prévoir","À jour"))))</f>
        <v/>
      </c>
      <c r="AH413" s="39"/>
      <c r="AI413" s="39"/>
      <c r="AJ413" s="42" t="str">
        <f aca="false">IF(OR($B413="",$H413=""),"",IF(AND($I413&lt;&gt;"",$I413&lt;=DateRef),"",IF(Effectif&lt;SeuilEffectif,"Non concerné (&lt; "&amp;SeuilEffectif&amp;" salariés)",IF($AH413="Oui","Pas de risque",IF(AND(OR($AI413="Non",$S413="En retard"),$AH413="Non"),"Risque abondement",IF(OR($AI413="Non",$S413="En retard"),"À vérifier (formation ?)",IF($AI413="Oui","Pas de risque","À compléter")))))))</f>
        <v/>
      </c>
      <c r="AK413" s="39"/>
    </row>
    <row r="414" customFormat="false" ht="15" hidden="false" customHeight="false" outlineLevel="0" collapsed="false">
      <c r="A414" s="39"/>
      <c r="B414" s="39"/>
      <c r="C414" s="39"/>
      <c r="D414" s="39"/>
      <c r="E414" s="39"/>
      <c r="F414" s="39"/>
      <c r="G414" s="40"/>
      <c r="H414" s="40"/>
      <c r="I414" s="40"/>
      <c r="J414" s="41" t="str">
        <f aca="false">IF(OR($B414="",$H414=""),"",IF($H414&gt;DateRef,0,YEARFRAC($H414,DateRef,1)))</f>
        <v/>
      </c>
      <c r="K414" s="42" t="str">
        <f aca="false">IF(OR($B414="",$H414=""),"",IF(EDATE($H414,12)&lt;=DateRef,"Plus d'un an","Moins d'un an"))</f>
        <v/>
      </c>
      <c r="L414" s="40"/>
      <c r="M414" s="43" t="str">
        <f aca="false">IF(OR($B414="",$A414=""),"",IF(SUMPRODUCT(MAX((Journal!$A$6:$A$1005=$A414)*Journal!$C$6:$C$1005))=0,"",SUMPRODUCT(MAX((Journal!$A$6:$A$1005=$A414)*Journal!$C$6:$C$1005))))</f>
        <v/>
      </c>
      <c r="N414" s="43" t="str">
        <f aca="false">IF($B414="","",IF(MAX($L414,$M414)=0,"",MAX($L414,$M414)))</f>
        <v/>
      </c>
      <c r="O414" s="44" t="str">
        <f aca="false">IF(OR($B414="",$H414=""),"",IF($N414="",IF(EDATE($H414,DelaiPremierEPP)&gt;DateRef,"1er EPP (1re année)","Aucun entretien renseigné"),IF(AND(ReglesTransitoires="Oui",EDATE($N414,AnciennePeriodiciteEP*12)&lt;DateVigueur),"Retard antérieur à la réforme","Périodicité "&amp;PeriodiciteEPP&amp;" ans")))</f>
        <v/>
      </c>
      <c r="P414" s="43" t="str">
        <f aca="false">IF(OR($B414="",$H414=""),"",IF($N414="",EDATE($H414,DelaiPremierEPP),IF(AND(ReglesTransitoires="Oui",EDATE($N414,AnciennePeriodiciteEP*12)&lt;DateVigueur),EDATE($N414,AnciennePeriodiciteEP*12),EDATE($N414,PeriodiciteEPP*12))))</f>
        <v/>
      </c>
      <c r="Q414" s="40"/>
      <c r="R414" s="45" t="str">
        <f aca="false">IF(OR($P414="",AND($I414&lt;&gt;"",$I414&lt;=DateRef)),"",$P414-DateRef)</f>
        <v/>
      </c>
      <c r="S414" s="42" t="str">
        <f aca="false">IF($B414="","",IF(AND($I414&lt;&gt;"",$I414&lt;=DateRef),"Sorti",IF($H414="","À compléter",IF(AND($Q414&lt;&gt;"",$Q414&gt;=DateRef,$Q414&lt;=$P414),"Planifié",IF($R414&lt;0,"En retard",IF($R414&lt;=SeuilAlerteEPP,"À planifier","À jour"))))))</f>
        <v/>
      </c>
      <c r="T414" s="46" t="str">
        <f aca="false">IF(OR($B414="",$S414="Sorti"),"",MID(IF($H414=""," | Date d'embauche manquante","")&amp;IF(AND($K414="Plus d'un an",$N414="")," | Précédent entretien à renseigner (ancienneté &gt; 1 an)","")&amp;IF($O414="Retard antérieur à la réforme"," | Ancien délai de 2 ans expiré avant la réforme","")&amp;IF(AND($N414&lt;&gt;"",$H414&lt;&gt;"",$N414&lt;$H414)," | Entretien antérieur à l'embauche ?","")&amp;IF(AND($N414&lt;&gt;"",$N414&gt;DateRef)," | Entretien daté dans le futur ?","")&amp;IF(AND($Q414&lt;&gt;"",$P414&lt;&gt;"",$Q414&gt;$P414)," | Date prévue après l'échéance","")&amp;IF(AND($Q414&lt;&gt;"",$Q414&lt;DateRef,OR($N414="",$N414&lt;$Q414))," | Entretien prévu passé : le consigner au Journal","")&amp;IF(AND($G414&lt;&gt;"",$X414="",YEAR(DateRef)-YEAR($G414)&gt;=AgeMiCarriere-1,YEAR(DateRef)-YEAR($G414)&lt;=AgeMiCarriere+1)," | Visite de mi-carrière à vérifier",""),4,1000))</f>
        <v/>
      </c>
      <c r="U414" s="39"/>
      <c r="V414" s="40"/>
      <c r="W414" s="42" t="str">
        <f aca="false">IF(OR($B414="",$V414=""),"",IF(AND($I414&lt;&gt;"",$I414&lt;=DateRef),"",IF(AND($N414&lt;&gt;"",$N414&gt;=$V414),"Réalisé",IF(AND($N414&lt;&gt;"",$N414&gt;=EDATE($V414,-FenetreRetour)),"Dispensé (EPP récent)",IF($V414&gt;DateRef,"À prévoir à la reprise","À proposer (reprise passée)")))))</f>
        <v/>
      </c>
      <c r="X414" s="40"/>
      <c r="Y414" s="43" t="str">
        <f aca="false">IF(OR($B414="",$X414=""),"",EDATE($X414,DelaiMiCarriere))</f>
        <v/>
      </c>
      <c r="Z414" s="42" t="str">
        <f aca="false">IF(OR($B414="",$X414=""),"",IF(AND($I414&lt;&gt;"",$I414&lt;=DateRef),"",IF(AND($N414&lt;&gt;"",$N414&gt;=$X414),"Réalisé",IF($Y414&lt;DateRef,"En retard","À planifier"))))</f>
        <v/>
      </c>
      <c r="AA414" s="47" t="str">
        <f aca="false">IF(OR($B414="",$G414=""),"",IF($G414&gt;DateRef,"",DATEDIF($G414,DateRef,"y")))</f>
        <v/>
      </c>
      <c r="AB414" s="43" t="str">
        <f aca="false">IF(OR($B414="",$G414=""),"",EDATE($G414,AgeFinCarriere*12))</f>
        <v/>
      </c>
      <c r="AC414" s="42" t="str">
        <f aca="false">IF(OR($B414="",$G414="",$H414=""),"",IF(AND($I414&lt;&gt;"",$I414&lt;=DateRef),"",IF($AB414&lt;DateVigueur,"Non concerné",IF(AND($N414&lt;&gt;"",$N414&gt;=MAX(EDATE($AB414,-FenetreFinCarriere*12),DateVigueur),$N414&lt;=$AB414),"Réalisé",IF(DateRef&gt;$AB414,"Non réalisé",IF(AND($Q414&lt;&gt;"",$Q414&gt;=EDATE($AB414,-FenetreFinCarriere*12),$Q414&lt;=$AB414),"Planifié dans la fenêtre",IF(AND(MAX($P414,DateRef)&gt;=EDATE($AB414,-FenetreFinCarriere*12),MAX($P414,DateRef)&lt;=$AB414),"Prochain EPP dans la fenêtre",IF(MAX($P414,DateRef)&gt;$AB414,"À programmer avant 60 ans",""))))))))</f>
        <v/>
      </c>
      <c r="AD414" s="40"/>
      <c r="AE414" s="43" t="str">
        <f aca="false">IF(OR($B414="",$H414="",AND($I414&lt;&gt;"",$I414&lt;=DateRef)),"",MAX($H414,$AD414,IF($A414="",0,SUMPRODUCT(MAX((Journal!$A$6:$A$1005=$A414)*((Journal!$D$6:$D$1005=TypeEDL)+(Journal!$D$6:$D$1005=TypeBilan6))*Journal!$C$6:$C$1005)))))</f>
        <v/>
      </c>
      <c r="AF414" s="43" t="str">
        <f aca="false">IF($AE414="","",IF(AND(ReglesTransitoires="Oui",EDATE($AE414,AnciennePeriodiciteEDL*12)&lt;DateVigueur),EDATE($AE414,AnciennePeriodiciteEDL*12),EDATE($AE414,PeriodiciteEDL*12)))</f>
        <v/>
      </c>
      <c r="AG414" s="42" t="str">
        <f aca="false">IF($AF414="","",IF(AND($I414&lt;&gt;"",$I414&lt;=DateRef),"",IF($AF414&lt;DateRef,"En retard",IF($AF414-DateRef&lt;=SeuilAlerteEDL,"À prévoir","À jour"))))</f>
        <v/>
      </c>
      <c r="AH414" s="39"/>
      <c r="AI414" s="39"/>
      <c r="AJ414" s="42" t="str">
        <f aca="false">IF(OR($B414="",$H414=""),"",IF(AND($I414&lt;&gt;"",$I414&lt;=DateRef),"",IF(Effectif&lt;SeuilEffectif,"Non concerné (&lt; "&amp;SeuilEffectif&amp;" salariés)",IF($AH414="Oui","Pas de risque",IF(AND(OR($AI414="Non",$S414="En retard"),$AH414="Non"),"Risque abondement",IF(OR($AI414="Non",$S414="En retard"),"À vérifier (formation ?)",IF($AI414="Oui","Pas de risque","À compléter")))))))</f>
        <v/>
      </c>
      <c r="AK414" s="39"/>
    </row>
    <row r="415" customFormat="false" ht="15" hidden="false" customHeight="false" outlineLevel="0" collapsed="false">
      <c r="A415" s="39"/>
      <c r="B415" s="39"/>
      <c r="C415" s="39"/>
      <c r="D415" s="39"/>
      <c r="E415" s="39"/>
      <c r="F415" s="39"/>
      <c r="G415" s="40"/>
      <c r="H415" s="40"/>
      <c r="I415" s="40"/>
      <c r="J415" s="41" t="str">
        <f aca="false">IF(OR($B415="",$H415=""),"",IF($H415&gt;DateRef,0,YEARFRAC($H415,DateRef,1)))</f>
        <v/>
      </c>
      <c r="K415" s="42" t="str">
        <f aca="false">IF(OR($B415="",$H415=""),"",IF(EDATE($H415,12)&lt;=DateRef,"Plus d'un an","Moins d'un an"))</f>
        <v/>
      </c>
      <c r="L415" s="40"/>
      <c r="M415" s="43" t="str">
        <f aca="false">IF(OR($B415="",$A415=""),"",IF(SUMPRODUCT(MAX((Journal!$A$6:$A$1005=$A415)*Journal!$C$6:$C$1005))=0,"",SUMPRODUCT(MAX((Journal!$A$6:$A$1005=$A415)*Journal!$C$6:$C$1005))))</f>
        <v/>
      </c>
      <c r="N415" s="43" t="str">
        <f aca="false">IF($B415="","",IF(MAX($L415,$M415)=0,"",MAX($L415,$M415)))</f>
        <v/>
      </c>
      <c r="O415" s="44" t="str">
        <f aca="false">IF(OR($B415="",$H415=""),"",IF($N415="",IF(EDATE($H415,DelaiPremierEPP)&gt;DateRef,"1er EPP (1re année)","Aucun entretien renseigné"),IF(AND(ReglesTransitoires="Oui",EDATE($N415,AnciennePeriodiciteEP*12)&lt;DateVigueur),"Retard antérieur à la réforme","Périodicité "&amp;PeriodiciteEPP&amp;" ans")))</f>
        <v/>
      </c>
      <c r="P415" s="43" t="str">
        <f aca="false">IF(OR($B415="",$H415=""),"",IF($N415="",EDATE($H415,DelaiPremierEPP),IF(AND(ReglesTransitoires="Oui",EDATE($N415,AnciennePeriodiciteEP*12)&lt;DateVigueur),EDATE($N415,AnciennePeriodiciteEP*12),EDATE($N415,PeriodiciteEPP*12))))</f>
        <v/>
      </c>
      <c r="Q415" s="40"/>
      <c r="R415" s="45" t="str">
        <f aca="false">IF(OR($P415="",AND($I415&lt;&gt;"",$I415&lt;=DateRef)),"",$P415-DateRef)</f>
        <v/>
      </c>
      <c r="S415" s="42" t="str">
        <f aca="false">IF($B415="","",IF(AND($I415&lt;&gt;"",$I415&lt;=DateRef),"Sorti",IF($H415="","À compléter",IF(AND($Q415&lt;&gt;"",$Q415&gt;=DateRef,$Q415&lt;=$P415),"Planifié",IF($R415&lt;0,"En retard",IF($R415&lt;=SeuilAlerteEPP,"À planifier","À jour"))))))</f>
        <v/>
      </c>
      <c r="T415" s="46" t="str">
        <f aca="false">IF(OR($B415="",$S415="Sorti"),"",MID(IF($H415=""," | Date d'embauche manquante","")&amp;IF(AND($K415="Plus d'un an",$N415="")," | Précédent entretien à renseigner (ancienneté &gt; 1 an)","")&amp;IF($O415="Retard antérieur à la réforme"," | Ancien délai de 2 ans expiré avant la réforme","")&amp;IF(AND($N415&lt;&gt;"",$H415&lt;&gt;"",$N415&lt;$H415)," | Entretien antérieur à l'embauche ?","")&amp;IF(AND($N415&lt;&gt;"",$N415&gt;DateRef)," | Entretien daté dans le futur ?","")&amp;IF(AND($Q415&lt;&gt;"",$P415&lt;&gt;"",$Q415&gt;$P415)," | Date prévue après l'échéance","")&amp;IF(AND($Q415&lt;&gt;"",$Q415&lt;DateRef,OR($N415="",$N415&lt;$Q415))," | Entretien prévu passé : le consigner au Journal","")&amp;IF(AND($G415&lt;&gt;"",$X415="",YEAR(DateRef)-YEAR($G415)&gt;=AgeMiCarriere-1,YEAR(DateRef)-YEAR($G415)&lt;=AgeMiCarriere+1)," | Visite de mi-carrière à vérifier",""),4,1000))</f>
        <v/>
      </c>
      <c r="U415" s="39"/>
      <c r="V415" s="40"/>
      <c r="W415" s="42" t="str">
        <f aca="false">IF(OR($B415="",$V415=""),"",IF(AND($I415&lt;&gt;"",$I415&lt;=DateRef),"",IF(AND($N415&lt;&gt;"",$N415&gt;=$V415),"Réalisé",IF(AND($N415&lt;&gt;"",$N415&gt;=EDATE($V415,-FenetreRetour)),"Dispensé (EPP récent)",IF($V415&gt;DateRef,"À prévoir à la reprise","À proposer (reprise passée)")))))</f>
        <v/>
      </c>
      <c r="X415" s="40"/>
      <c r="Y415" s="43" t="str">
        <f aca="false">IF(OR($B415="",$X415=""),"",EDATE($X415,DelaiMiCarriere))</f>
        <v/>
      </c>
      <c r="Z415" s="42" t="str">
        <f aca="false">IF(OR($B415="",$X415=""),"",IF(AND($I415&lt;&gt;"",$I415&lt;=DateRef),"",IF(AND($N415&lt;&gt;"",$N415&gt;=$X415),"Réalisé",IF($Y415&lt;DateRef,"En retard","À planifier"))))</f>
        <v/>
      </c>
      <c r="AA415" s="47" t="str">
        <f aca="false">IF(OR($B415="",$G415=""),"",IF($G415&gt;DateRef,"",DATEDIF($G415,DateRef,"y")))</f>
        <v/>
      </c>
      <c r="AB415" s="43" t="str">
        <f aca="false">IF(OR($B415="",$G415=""),"",EDATE($G415,AgeFinCarriere*12))</f>
        <v/>
      </c>
      <c r="AC415" s="42" t="str">
        <f aca="false">IF(OR($B415="",$G415="",$H415=""),"",IF(AND($I415&lt;&gt;"",$I415&lt;=DateRef),"",IF($AB415&lt;DateVigueur,"Non concerné",IF(AND($N415&lt;&gt;"",$N415&gt;=MAX(EDATE($AB415,-FenetreFinCarriere*12),DateVigueur),$N415&lt;=$AB415),"Réalisé",IF(DateRef&gt;$AB415,"Non réalisé",IF(AND($Q415&lt;&gt;"",$Q415&gt;=EDATE($AB415,-FenetreFinCarriere*12),$Q415&lt;=$AB415),"Planifié dans la fenêtre",IF(AND(MAX($P415,DateRef)&gt;=EDATE($AB415,-FenetreFinCarriere*12),MAX($P415,DateRef)&lt;=$AB415),"Prochain EPP dans la fenêtre",IF(MAX($P415,DateRef)&gt;$AB415,"À programmer avant 60 ans",""))))))))</f>
        <v/>
      </c>
      <c r="AD415" s="40"/>
      <c r="AE415" s="43" t="str">
        <f aca="false">IF(OR($B415="",$H415="",AND($I415&lt;&gt;"",$I415&lt;=DateRef)),"",MAX($H415,$AD415,IF($A415="",0,SUMPRODUCT(MAX((Journal!$A$6:$A$1005=$A415)*((Journal!$D$6:$D$1005=TypeEDL)+(Journal!$D$6:$D$1005=TypeBilan6))*Journal!$C$6:$C$1005)))))</f>
        <v/>
      </c>
      <c r="AF415" s="43" t="str">
        <f aca="false">IF($AE415="","",IF(AND(ReglesTransitoires="Oui",EDATE($AE415,AnciennePeriodiciteEDL*12)&lt;DateVigueur),EDATE($AE415,AnciennePeriodiciteEDL*12),EDATE($AE415,PeriodiciteEDL*12)))</f>
        <v/>
      </c>
      <c r="AG415" s="42" t="str">
        <f aca="false">IF($AF415="","",IF(AND($I415&lt;&gt;"",$I415&lt;=DateRef),"",IF($AF415&lt;DateRef,"En retard",IF($AF415-DateRef&lt;=SeuilAlerteEDL,"À prévoir","À jour"))))</f>
        <v/>
      </c>
      <c r="AH415" s="39"/>
      <c r="AI415" s="39"/>
      <c r="AJ415" s="42" t="str">
        <f aca="false">IF(OR($B415="",$H415=""),"",IF(AND($I415&lt;&gt;"",$I415&lt;=DateRef),"",IF(Effectif&lt;SeuilEffectif,"Non concerné (&lt; "&amp;SeuilEffectif&amp;" salariés)",IF($AH415="Oui","Pas de risque",IF(AND(OR($AI415="Non",$S415="En retard"),$AH415="Non"),"Risque abondement",IF(OR($AI415="Non",$S415="En retard"),"À vérifier (formation ?)",IF($AI415="Oui","Pas de risque","À compléter")))))))</f>
        <v/>
      </c>
      <c r="AK415" s="39"/>
    </row>
    <row r="416" customFormat="false" ht="15" hidden="false" customHeight="false" outlineLevel="0" collapsed="false">
      <c r="A416" s="39"/>
      <c r="B416" s="39"/>
      <c r="C416" s="39"/>
      <c r="D416" s="39"/>
      <c r="E416" s="39"/>
      <c r="F416" s="39"/>
      <c r="G416" s="40"/>
      <c r="H416" s="40"/>
      <c r="I416" s="40"/>
      <c r="J416" s="41" t="str">
        <f aca="false">IF(OR($B416="",$H416=""),"",IF($H416&gt;DateRef,0,YEARFRAC($H416,DateRef,1)))</f>
        <v/>
      </c>
      <c r="K416" s="42" t="str">
        <f aca="false">IF(OR($B416="",$H416=""),"",IF(EDATE($H416,12)&lt;=DateRef,"Plus d'un an","Moins d'un an"))</f>
        <v/>
      </c>
      <c r="L416" s="40"/>
      <c r="M416" s="43" t="str">
        <f aca="false">IF(OR($B416="",$A416=""),"",IF(SUMPRODUCT(MAX((Journal!$A$6:$A$1005=$A416)*Journal!$C$6:$C$1005))=0,"",SUMPRODUCT(MAX((Journal!$A$6:$A$1005=$A416)*Journal!$C$6:$C$1005))))</f>
        <v/>
      </c>
      <c r="N416" s="43" t="str">
        <f aca="false">IF($B416="","",IF(MAX($L416,$M416)=0,"",MAX($L416,$M416)))</f>
        <v/>
      </c>
      <c r="O416" s="44" t="str">
        <f aca="false">IF(OR($B416="",$H416=""),"",IF($N416="",IF(EDATE($H416,DelaiPremierEPP)&gt;DateRef,"1er EPP (1re année)","Aucun entretien renseigné"),IF(AND(ReglesTransitoires="Oui",EDATE($N416,AnciennePeriodiciteEP*12)&lt;DateVigueur),"Retard antérieur à la réforme","Périodicité "&amp;PeriodiciteEPP&amp;" ans")))</f>
        <v/>
      </c>
      <c r="P416" s="43" t="str">
        <f aca="false">IF(OR($B416="",$H416=""),"",IF($N416="",EDATE($H416,DelaiPremierEPP),IF(AND(ReglesTransitoires="Oui",EDATE($N416,AnciennePeriodiciteEP*12)&lt;DateVigueur),EDATE($N416,AnciennePeriodiciteEP*12),EDATE($N416,PeriodiciteEPP*12))))</f>
        <v/>
      </c>
      <c r="Q416" s="40"/>
      <c r="R416" s="45" t="str">
        <f aca="false">IF(OR($P416="",AND($I416&lt;&gt;"",$I416&lt;=DateRef)),"",$P416-DateRef)</f>
        <v/>
      </c>
      <c r="S416" s="42" t="str">
        <f aca="false">IF($B416="","",IF(AND($I416&lt;&gt;"",$I416&lt;=DateRef),"Sorti",IF($H416="","À compléter",IF(AND($Q416&lt;&gt;"",$Q416&gt;=DateRef,$Q416&lt;=$P416),"Planifié",IF($R416&lt;0,"En retard",IF($R416&lt;=SeuilAlerteEPP,"À planifier","À jour"))))))</f>
        <v/>
      </c>
      <c r="T416" s="46" t="str">
        <f aca="false">IF(OR($B416="",$S416="Sorti"),"",MID(IF($H416=""," | Date d'embauche manquante","")&amp;IF(AND($K416="Plus d'un an",$N416="")," | Précédent entretien à renseigner (ancienneté &gt; 1 an)","")&amp;IF($O416="Retard antérieur à la réforme"," | Ancien délai de 2 ans expiré avant la réforme","")&amp;IF(AND($N416&lt;&gt;"",$H416&lt;&gt;"",$N416&lt;$H416)," | Entretien antérieur à l'embauche ?","")&amp;IF(AND($N416&lt;&gt;"",$N416&gt;DateRef)," | Entretien daté dans le futur ?","")&amp;IF(AND($Q416&lt;&gt;"",$P416&lt;&gt;"",$Q416&gt;$P416)," | Date prévue après l'échéance","")&amp;IF(AND($Q416&lt;&gt;"",$Q416&lt;DateRef,OR($N416="",$N416&lt;$Q416))," | Entretien prévu passé : le consigner au Journal","")&amp;IF(AND($G416&lt;&gt;"",$X416="",YEAR(DateRef)-YEAR($G416)&gt;=AgeMiCarriere-1,YEAR(DateRef)-YEAR($G416)&lt;=AgeMiCarriere+1)," | Visite de mi-carrière à vérifier",""),4,1000))</f>
        <v/>
      </c>
      <c r="U416" s="39"/>
      <c r="V416" s="40"/>
      <c r="W416" s="42" t="str">
        <f aca="false">IF(OR($B416="",$V416=""),"",IF(AND($I416&lt;&gt;"",$I416&lt;=DateRef),"",IF(AND($N416&lt;&gt;"",$N416&gt;=$V416),"Réalisé",IF(AND($N416&lt;&gt;"",$N416&gt;=EDATE($V416,-FenetreRetour)),"Dispensé (EPP récent)",IF($V416&gt;DateRef,"À prévoir à la reprise","À proposer (reprise passée)")))))</f>
        <v/>
      </c>
      <c r="X416" s="40"/>
      <c r="Y416" s="43" t="str">
        <f aca="false">IF(OR($B416="",$X416=""),"",EDATE($X416,DelaiMiCarriere))</f>
        <v/>
      </c>
      <c r="Z416" s="42" t="str">
        <f aca="false">IF(OR($B416="",$X416=""),"",IF(AND($I416&lt;&gt;"",$I416&lt;=DateRef),"",IF(AND($N416&lt;&gt;"",$N416&gt;=$X416),"Réalisé",IF($Y416&lt;DateRef,"En retard","À planifier"))))</f>
        <v/>
      </c>
      <c r="AA416" s="47" t="str">
        <f aca="false">IF(OR($B416="",$G416=""),"",IF($G416&gt;DateRef,"",DATEDIF($G416,DateRef,"y")))</f>
        <v/>
      </c>
      <c r="AB416" s="43" t="str">
        <f aca="false">IF(OR($B416="",$G416=""),"",EDATE($G416,AgeFinCarriere*12))</f>
        <v/>
      </c>
      <c r="AC416" s="42" t="str">
        <f aca="false">IF(OR($B416="",$G416="",$H416=""),"",IF(AND($I416&lt;&gt;"",$I416&lt;=DateRef),"",IF($AB416&lt;DateVigueur,"Non concerné",IF(AND($N416&lt;&gt;"",$N416&gt;=MAX(EDATE($AB416,-FenetreFinCarriere*12),DateVigueur),$N416&lt;=$AB416),"Réalisé",IF(DateRef&gt;$AB416,"Non réalisé",IF(AND($Q416&lt;&gt;"",$Q416&gt;=EDATE($AB416,-FenetreFinCarriere*12),$Q416&lt;=$AB416),"Planifié dans la fenêtre",IF(AND(MAX($P416,DateRef)&gt;=EDATE($AB416,-FenetreFinCarriere*12),MAX($P416,DateRef)&lt;=$AB416),"Prochain EPP dans la fenêtre",IF(MAX($P416,DateRef)&gt;$AB416,"À programmer avant 60 ans",""))))))))</f>
        <v/>
      </c>
      <c r="AD416" s="40"/>
      <c r="AE416" s="43" t="str">
        <f aca="false">IF(OR($B416="",$H416="",AND($I416&lt;&gt;"",$I416&lt;=DateRef)),"",MAX($H416,$AD416,IF($A416="",0,SUMPRODUCT(MAX((Journal!$A$6:$A$1005=$A416)*((Journal!$D$6:$D$1005=TypeEDL)+(Journal!$D$6:$D$1005=TypeBilan6))*Journal!$C$6:$C$1005)))))</f>
        <v/>
      </c>
      <c r="AF416" s="43" t="str">
        <f aca="false">IF($AE416="","",IF(AND(ReglesTransitoires="Oui",EDATE($AE416,AnciennePeriodiciteEDL*12)&lt;DateVigueur),EDATE($AE416,AnciennePeriodiciteEDL*12),EDATE($AE416,PeriodiciteEDL*12)))</f>
        <v/>
      </c>
      <c r="AG416" s="42" t="str">
        <f aca="false">IF($AF416="","",IF(AND($I416&lt;&gt;"",$I416&lt;=DateRef),"",IF($AF416&lt;DateRef,"En retard",IF($AF416-DateRef&lt;=SeuilAlerteEDL,"À prévoir","À jour"))))</f>
        <v/>
      </c>
      <c r="AH416" s="39"/>
      <c r="AI416" s="39"/>
      <c r="AJ416" s="42" t="str">
        <f aca="false">IF(OR($B416="",$H416=""),"",IF(AND($I416&lt;&gt;"",$I416&lt;=DateRef),"",IF(Effectif&lt;SeuilEffectif,"Non concerné (&lt; "&amp;SeuilEffectif&amp;" salariés)",IF($AH416="Oui","Pas de risque",IF(AND(OR($AI416="Non",$S416="En retard"),$AH416="Non"),"Risque abondement",IF(OR($AI416="Non",$S416="En retard"),"À vérifier (formation ?)",IF($AI416="Oui","Pas de risque","À compléter")))))))</f>
        <v/>
      </c>
      <c r="AK416" s="39"/>
    </row>
    <row r="417" customFormat="false" ht="15" hidden="false" customHeight="false" outlineLevel="0" collapsed="false">
      <c r="A417" s="39"/>
      <c r="B417" s="39"/>
      <c r="C417" s="39"/>
      <c r="D417" s="39"/>
      <c r="E417" s="39"/>
      <c r="F417" s="39"/>
      <c r="G417" s="40"/>
      <c r="H417" s="40"/>
      <c r="I417" s="40"/>
      <c r="J417" s="41" t="str">
        <f aca="false">IF(OR($B417="",$H417=""),"",IF($H417&gt;DateRef,0,YEARFRAC($H417,DateRef,1)))</f>
        <v/>
      </c>
      <c r="K417" s="42" t="str">
        <f aca="false">IF(OR($B417="",$H417=""),"",IF(EDATE($H417,12)&lt;=DateRef,"Plus d'un an","Moins d'un an"))</f>
        <v/>
      </c>
      <c r="L417" s="40"/>
      <c r="M417" s="43" t="str">
        <f aca="false">IF(OR($B417="",$A417=""),"",IF(SUMPRODUCT(MAX((Journal!$A$6:$A$1005=$A417)*Journal!$C$6:$C$1005))=0,"",SUMPRODUCT(MAX((Journal!$A$6:$A$1005=$A417)*Journal!$C$6:$C$1005))))</f>
        <v/>
      </c>
      <c r="N417" s="43" t="str">
        <f aca="false">IF($B417="","",IF(MAX($L417,$M417)=0,"",MAX($L417,$M417)))</f>
        <v/>
      </c>
      <c r="O417" s="44" t="str">
        <f aca="false">IF(OR($B417="",$H417=""),"",IF($N417="",IF(EDATE($H417,DelaiPremierEPP)&gt;DateRef,"1er EPP (1re année)","Aucun entretien renseigné"),IF(AND(ReglesTransitoires="Oui",EDATE($N417,AnciennePeriodiciteEP*12)&lt;DateVigueur),"Retard antérieur à la réforme","Périodicité "&amp;PeriodiciteEPP&amp;" ans")))</f>
        <v/>
      </c>
      <c r="P417" s="43" t="str">
        <f aca="false">IF(OR($B417="",$H417=""),"",IF($N417="",EDATE($H417,DelaiPremierEPP),IF(AND(ReglesTransitoires="Oui",EDATE($N417,AnciennePeriodiciteEP*12)&lt;DateVigueur),EDATE($N417,AnciennePeriodiciteEP*12),EDATE($N417,PeriodiciteEPP*12))))</f>
        <v/>
      </c>
      <c r="Q417" s="40"/>
      <c r="R417" s="45" t="str">
        <f aca="false">IF(OR($P417="",AND($I417&lt;&gt;"",$I417&lt;=DateRef)),"",$P417-DateRef)</f>
        <v/>
      </c>
      <c r="S417" s="42" t="str">
        <f aca="false">IF($B417="","",IF(AND($I417&lt;&gt;"",$I417&lt;=DateRef),"Sorti",IF($H417="","À compléter",IF(AND($Q417&lt;&gt;"",$Q417&gt;=DateRef,$Q417&lt;=$P417),"Planifié",IF($R417&lt;0,"En retard",IF($R417&lt;=SeuilAlerteEPP,"À planifier","À jour"))))))</f>
        <v/>
      </c>
      <c r="T417" s="46" t="str">
        <f aca="false">IF(OR($B417="",$S417="Sorti"),"",MID(IF($H417=""," | Date d'embauche manquante","")&amp;IF(AND($K417="Plus d'un an",$N417="")," | Précédent entretien à renseigner (ancienneté &gt; 1 an)","")&amp;IF($O417="Retard antérieur à la réforme"," | Ancien délai de 2 ans expiré avant la réforme","")&amp;IF(AND($N417&lt;&gt;"",$H417&lt;&gt;"",$N417&lt;$H417)," | Entretien antérieur à l'embauche ?","")&amp;IF(AND($N417&lt;&gt;"",$N417&gt;DateRef)," | Entretien daté dans le futur ?","")&amp;IF(AND($Q417&lt;&gt;"",$P417&lt;&gt;"",$Q417&gt;$P417)," | Date prévue après l'échéance","")&amp;IF(AND($Q417&lt;&gt;"",$Q417&lt;DateRef,OR($N417="",$N417&lt;$Q417))," | Entretien prévu passé : le consigner au Journal","")&amp;IF(AND($G417&lt;&gt;"",$X417="",YEAR(DateRef)-YEAR($G417)&gt;=AgeMiCarriere-1,YEAR(DateRef)-YEAR($G417)&lt;=AgeMiCarriere+1)," | Visite de mi-carrière à vérifier",""),4,1000))</f>
        <v/>
      </c>
      <c r="U417" s="39"/>
      <c r="V417" s="40"/>
      <c r="W417" s="42" t="str">
        <f aca="false">IF(OR($B417="",$V417=""),"",IF(AND($I417&lt;&gt;"",$I417&lt;=DateRef),"",IF(AND($N417&lt;&gt;"",$N417&gt;=$V417),"Réalisé",IF(AND($N417&lt;&gt;"",$N417&gt;=EDATE($V417,-FenetreRetour)),"Dispensé (EPP récent)",IF($V417&gt;DateRef,"À prévoir à la reprise","À proposer (reprise passée)")))))</f>
        <v/>
      </c>
      <c r="X417" s="40"/>
      <c r="Y417" s="43" t="str">
        <f aca="false">IF(OR($B417="",$X417=""),"",EDATE($X417,DelaiMiCarriere))</f>
        <v/>
      </c>
      <c r="Z417" s="42" t="str">
        <f aca="false">IF(OR($B417="",$X417=""),"",IF(AND($I417&lt;&gt;"",$I417&lt;=DateRef),"",IF(AND($N417&lt;&gt;"",$N417&gt;=$X417),"Réalisé",IF($Y417&lt;DateRef,"En retard","À planifier"))))</f>
        <v/>
      </c>
      <c r="AA417" s="47" t="str">
        <f aca="false">IF(OR($B417="",$G417=""),"",IF($G417&gt;DateRef,"",DATEDIF($G417,DateRef,"y")))</f>
        <v/>
      </c>
      <c r="AB417" s="43" t="str">
        <f aca="false">IF(OR($B417="",$G417=""),"",EDATE($G417,AgeFinCarriere*12))</f>
        <v/>
      </c>
      <c r="AC417" s="42" t="str">
        <f aca="false">IF(OR($B417="",$G417="",$H417=""),"",IF(AND($I417&lt;&gt;"",$I417&lt;=DateRef),"",IF($AB417&lt;DateVigueur,"Non concerné",IF(AND($N417&lt;&gt;"",$N417&gt;=MAX(EDATE($AB417,-FenetreFinCarriere*12),DateVigueur),$N417&lt;=$AB417),"Réalisé",IF(DateRef&gt;$AB417,"Non réalisé",IF(AND($Q417&lt;&gt;"",$Q417&gt;=EDATE($AB417,-FenetreFinCarriere*12),$Q417&lt;=$AB417),"Planifié dans la fenêtre",IF(AND(MAX($P417,DateRef)&gt;=EDATE($AB417,-FenetreFinCarriere*12),MAX($P417,DateRef)&lt;=$AB417),"Prochain EPP dans la fenêtre",IF(MAX($P417,DateRef)&gt;$AB417,"À programmer avant 60 ans",""))))))))</f>
        <v/>
      </c>
      <c r="AD417" s="40"/>
      <c r="AE417" s="43" t="str">
        <f aca="false">IF(OR($B417="",$H417="",AND($I417&lt;&gt;"",$I417&lt;=DateRef)),"",MAX($H417,$AD417,IF($A417="",0,SUMPRODUCT(MAX((Journal!$A$6:$A$1005=$A417)*((Journal!$D$6:$D$1005=TypeEDL)+(Journal!$D$6:$D$1005=TypeBilan6))*Journal!$C$6:$C$1005)))))</f>
        <v/>
      </c>
      <c r="AF417" s="43" t="str">
        <f aca="false">IF($AE417="","",IF(AND(ReglesTransitoires="Oui",EDATE($AE417,AnciennePeriodiciteEDL*12)&lt;DateVigueur),EDATE($AE417,AnciennePeriodiciteEDL*12),EDATE($AE417,PeriodiciteEDL*12)))</f>
        <v/>
      </c>
      <c r="AG417" s="42" t="str">
        <f aca="false">IF($AF417="","",IF(AND($I417&lt;&gt;"",$I417&lt;=DateRef),"",IF($AF417&lt;DateRef,"En retard",IF($AF417-DateRef&lt;=SeuilAlerteEDL,"À prévoir","À jour"))))</f>
        <v/>
      </c>
      <c r="AH417" s="39"/>
      <c r="AI417" s="39"/>
      <c r="AJ417" s="42" t="str">
        <f aca="false">IF(OR($B417="",$H417=""),"",IF(AND($I417&lt;&gt;"",$I417&lt;=DateRef),"",IF(Effectif&lt;SeuilEffectif,"Non concerné (&lt; "&amp;SeuilEffectif&amp;" salariés)",IF($AH417="Oui","Pas de risque",IF(AND(OR($AI417="Non",$S417="En retard"),$AH417="Non"),"Risque abondement",IF(OR($AI417="Non",$S417="En retard"),"À vérifier (formation ?)",IF($AI417="Oui","Pas de risque","À compléter")))))))</f>
        <v/>
      </c>
      <c r="AK417" s="39"/>
    </row>
    <row r="418" customFormat="false" ht="15" hidden="false" customHeight="false" outlineLevel="0" collapsed="false">
      <c r="A418" s="39"/>
      <c r="B418" s="39"/>
      <c r="C418" s="39"/>
      <c r="D418" s="39"/>
      <c r="E418" s="39"/>
      <c r="F418" s="39"/>
      <c r="G418" s="40"/>
      <c r="H418" s="40"/>
      <c r="I418" s="40"/>
      <c r="J418" s="41" t="str">
        <f aca="false">IF(OR($B418="",$H418=""),"",IF($H418&gt;DateRef,0,YEARFRAC($H418,DateRef,1)))</f>
        <v/>
      </c>
      <c r="K418" s="42" t="str">
        <f aca="false">IF(OR($B418="",$H418=""),"",IF(EDATE($H418,12)&lt;=DateRef,"Plus d'un an","Moins d'un an"))</f>
        <v/>
      </c>
      <c r="L418" s="40"/>
      <c r="M418" s="43" t="str">
        <f aca="false">IF(OR($B418="",$A418=""),"",IF(SUMPRODUCT(MAX((Journal!$A$6:$A$1005=$A418)*Journal!$C$6:$C$1005))=0,"",SUMPRODUCT(MAX((Journal!$A$6:$A$1005=$A418)*Journal!$C$6:$C$1005))))</f>
        <v/>
      </c>
      <c r="N418" s="43" t="str">
        <f aca="false">IF($B418="","",IF(MAX($L418,$M418)=0,"",MAX($L418,$M418)))</f>
        <v/>
      </c>
      <c r="O418" s="44" t="str">
        <f aca="false">IF(OR($B418="",$H418=""),"",IF($N418="",IF(EDATE($H418,DelaiPremierEPP)&gt;DateRef,"1er EPP (1re année)","Aucun entretien renseigné"),IF(AND(ReglesTransitoires="Oui",EDATE($N418,AnciennePeriodiciteEP*12)&lt;DateVigueur),"Retard antérieur à la réforme","Périodicité "&amp;PeriodiciteEPP&amp;" ans")))</f>
        <v/>
      </c>
      <c r="P418" s="43" t="str">
        <f aca="false">IF(OR($B418="",$H418=""),"",IF($N418="",EDATE($H418,DelaiPremierEPP),IF(AND(ReglesTransitoires="Oui",EDATE($N418,AnciennePeriodiciteEP*12)&lt;DateVigueur),EDATE($N418,AnciennePeriodiciteEP*12),EDATE($N418,PeriodiciteEPP*12))))</f>
        <v/>
      </c>
      <c r="Q418" s="40"/>
      <c r="R418" s="45" t="str">
        <f aca="false">IF(OR($P418="",AND($I418&lt;&gt;"",$I418&lt;=DateRef)),"",$P418-DateRef)</f>
        <v/>
      </c>
      <c r="S418" s="42" t="str">
        <f aca="false">IF($B418="","",IF(AND($I418&lt;&gt;"",$I418&lt;=DateRef),"Sorti",IF($H418="","À compléter",IF(AND($Q418&lt;&gt;"",$Q418&gt;=DateRef,$Q418&lt;=$P418),"Planifié",IF($R418&lt;0,"En retard",IF($R418&lt;=SeuilAlerteEPP,"À planifier","À jour"))))))</f>
        <v/>
      </c>
      <c r="T418" s="46" t="str">
        <f aca="false">IF(OR($B418="",$S418="Sorti"),"",MID(IF($H418=""," | Date d'embauche manquante","")&amp;IF(AND($K418="Plus d'un an",$N418="")," | Précédent entretien à renseigner (ancienneté &gt; 1 an)","")&amp;IF($O418="Retard antérieur à la réforme"," | Ancien délai de 2 ans expiré avant la réforme","")&amp;IF(AND($N418&lt;&gt;"",$H418&lt;&gt;"",$N418&lt;$H418)," | Entretien antérieur à l'embauche ?","")&amp;IF(AND($N418&lt;&gt;"",$N418&gt;DateRef)," | Entretien daté dans le futur ?","")&amp;IF(AND($Q418&lt;&gt;"",$P418&lt;&gt;"",$Q418&gt;$P418)," | Date prévue après l'échéance","")&amp;IF(AND($Q418&lt;&gt;"",$Q418&lt;DateRef,OR($N418="",$N418&lt;$Q418))," | Entretien prévu passé : le consigner au Journal","")&amp;IF(AND($G418&lt;&gt;"",$X418="",YEAR(DateRef)-YEAR($G418)&gt;=AgeMiCarriere-1,YEAR(DateRef)-YEAR($G418)&lt;=AgeMiCarriere+1)," | Visite de mi-carrière à vérifier",""),4,1000))</f>
        <v/>
      </c>
      <c r="U418" s="39"/>
      <c r="V418" s="40"/>
      <c r="W418" s="42" t="str">
        <f aca="false">IF(OR($B418="",$V418=""),"",IF(AND($I418&lt;&gt;"",$I418&lt;=DateRef),"",IF(AND($N418&lt;&gt;"",$N418&gt;=$V418),"Réalisé",IF(AND($N418&lt;&gt;"",$N418&gt;=EDATE($V418,-FenetreRetour)),"Dispensé (EPP récent)",IF($V418&gt;DateRef,"À prévoir à la reprise","À proposer (reprise passée)")))))</f>
        <v/>
      </c>
      <c r="X418" s="40"/>
      <c r="Y418" s="43" t="str">
        <f aca="false">IF(OR($B418="",$X418=""),"",EDATE($X418,DelaiMiCarriere))</f>
        <v/>
      </c>
      <c r="Z418" s="42" t="str">
        <f aca="false">IF(OR($B418="",$X418=""),"",IF(AND($I418&lt;&gt;"",$I418&lt;=DateRef),"",IF(AND($N418&lt;&gt;"",$N418&gt;=$X418),"Réalisé",IF($Y418&lt;DateRef,"En retard","À planifier"))))</f>
        <v/>
      </c>
      <c r="AA418" s="47" t="str">
        <f aca="false">IF(OR($B418="",$G418=""),"",IF($G418&gt;DateRef,"",DATEDIF($G418,DateRef,"y")))</f>
        <v/>
      </c>
      <c r="AB418" s="43" t="str">
        <f aca="false">IF(OR($B418="",$G418=""),"",EDATE($G418,AgeFinCarriere*12))</f>
        <v/>
      </c>
      <c r="AC418" s="42" t="str">
        <f aca="false">IF(OR($B418="",$G418="",$H418=""),"",IF(AND($I418&lt;&gt;"",$I418&lt;=DateRef),"",IF($AB418&lt;DateVigueur,"Non concerné",IF(AND($N418&lt;&gt;"",$N418&gt;=MAX(EDATE($AB418,-FenetreFinCarriere*12),DateVigueur),$N418&lt;=$AB418),"Réalisé",IF(DateRef&gt;$AB418,"Non réalisé",IF(AND($Q418&lt;&gt;"",$Q418&gt;=EDATE($AB418,-FenetreFinCarriere*12),$Q418&lt;=$AB418),"Planifié dans la fenêtre",IF(AND(MAX($P418,DateRef)&gt;=EDATE($AB418,-FenetreFinCarriere*12),MAX($P418,DateRef)&lt;=$AB418),"Prochain EPP dans la fenêtre",IF(MAX($P418,DateRef)&gt;$AB418,"À programmer avant 60 ans",""))))))))</f>
        <v/>
      </c>
      <c r="AD418" s="40"/>
      <c r="AE418" s="43" t="str">
        <f aca="false">IF(OR($B418="",$H418="",AND($I418&lt;&gt;"",$I418&lt;=DateRef)),"",MAX($H418,$AD418,IF($A418="",0,SUMPRODUCT(MAX((Journal!$A$6:$A$1005=$A418)*((Journal!$D$6:$D$1005=TypeEDL)+(Journal!$D$6:$D$1005=TypeBilan6))*Journal!$C$6:$C$1005)))))</f>
        <v/>
      </c>
      <c r="AF418" s="43" t="str">
        <f aca="false">IF($AE418="","",IF(AND(ReglesTransitoires="Oui",EDATE($AE418,AnciennePeriodiciteEDL*12)&lt;DateVigueur),EDATE($AE418,AnciennePeriodiciteEDL*12),EDATE($AE418,PeriodiciteEDL*12)))</f>
        <v/>
      </c>
      <c r="AG418" s="42" t="str">
        <f aca="false">IF($AF418="","",IF(AND($I418&lt;&gt;"",$I418&lt;=DateRef),"",IF($AF418&lt;DateRef,"En retard",IF($AF418-DateRef&lt;=SeuilAlerteEDL,"À prévoir","À jour"))))</f>
        <v/>
      </c>
      <c r="AH418" s="39"/>
      <c r="AI418" s="39"/>
      <c r="AJ418" s="42" t="str">
        <f aca="false">IF(OR($B418="",$H418=""),"",IF(AND($I418&lt;&gt;"",$I418&lt;=DateRef),"",IF(Effectif&lt;SeuilEffectif,"Non concerné (&lt; "&amp;SeuilEffectif&amp;" salariés)",IF($AH418="Oui","Pas de risque",IF(AND(OR($AI418="Non",$S418="En retard"),$AH418="Non"),"Risque abondement",IF(OR($AI418="Non",$S418="En retard"),"À vérifier (formation ?)",IF($AI418="Oui","Pas de risque","À compléter")))))))</f>
        <v/>
      </c>
      <c r="AK418" s="39"/>
    </row>
    <row r="419" customFormat="false" ht="15" hidden="false" customHeight="false" outlineLevel="0" collapsed="false">
      <c r="A419" s="39"/>
      <c r="B419" s="39"/>
      <c r="C419" s="39"/>
      <c r="D419" s="39"/>
      <c r="E419" s="39"/>
      <c r="F419" s="39"/>
      <c r="G419" s="40"/>
      <c r="H419" s="40"/>
      <c r="I419" s="40"/>
      <c r="J419" s="41" t="str">
        <f aca="false">IF(OR($B419="",$H419=""),"",IF($H419&gt;DateRef,0,YEARFRAC($H419,DateRef,1)))</f>
        <v/>
      </c>
      <c r="K419" s="42" t="str">
        <f aca="false">IF(OR($B419="",$H419=""),"",IF(EDATE($H419,12)&lt;=DateRef,"Plus d'un an","Moins d'un an"))</f>
        <v/>
      </c>
      <c r="L419" s="40"/>
      <c r="M419" s="43" t="str">
        <f aca="false">IF(OR($B419="",$A419=""),"",IF(SUMPRODUCT(MAX((Journal!$A$6:$A$1005=$A419)*Journal!$C$6:$C$1005))=0,"",SUMPRODUCT(MAX((Journal!$A$6:$A$1005=$A419)*Journal!$C$6:$C$1005))))</f>
        <v/>
      </c>
      <c r="N419" s="43" t="str">
        <f aca="false">IF($B419="","",IF(MAX($L419,$M419)=0,"",MAX($L419,$M419)))</f>
        <v/>
      </c>
      <c r="O419" s="44" t="str">
        <f aca="false">IF(OR($B419="",$H419=""),"",IF($N419="",IF(EDATE($H419,DelaiPremierEPP)&gt;DateRef,"1er EPP (1re année)","Aucun entretien renseigné"),IF(AND(ReglesTransitoires="Oui",EDATE($N419,AnciennePeriodiciteEP*12)&lt;DateVigueur),"Retard antérieur à la réforme","Périodicité "&amp;PeriodiciteEPP&amp;" ans")))</f>
        <v/>
      </c>
      <c r="P419" s="43" t="str">
        <f aca="false">IF(OR($B419="",$H419=""),"",IF($N419="",EDATE($H419,DelaiPremierEPP),IF(AND(ReglesTransitoires="Oui",EDATE($N419,AnciennePeriodiciteEP*12)&lt;DateVigueur),EDATE($N419,AnciennePeriodiciteEP*12),EDATE($N419,PeriodiciteEPP*12))))</f>
        <v/>
      </c>
      <c r="Q419" s="40"/>
      <c r="R419" s="45" t="str">
        <f aca="false">IF(OR($P419="",AND($I419&lt;&gt;"",$I419&lt;=DateRef)),"",$P419-DateRef)</f>
        <v/>
      </c>
      <c r="S419" s="42" t="str">
        <f aca="false">IF($B419="","",IF(AND($I419&lt;&gt;"",$I419&lt;=DateRef),"Sorti",IF($H419="","À compléter",IF(AND($Q419&lt;&gt;"",$Q419&gt;=DateRef,$Q419&lt;=$P419),"Planifié",IF($R419&lt;0,"En retard",IF($R419&lt;=SeuilAlerteEPP,"À planifier","À jour"))))))</f>
        <v/>
      </c>
      <c r="T419" s="46" t="str">
        <f aca="false">IF(OR($B419="",$S419="Sorti"),"",MID(IF($H419=""," | Date d'embauche manquante","")&amp;IF(AND($K419="Plus d'un an",$N419="")," | Précédent entretien à renseigner (ancienneté &gt; 1 an)","")&amp;IF($O419="Retard antérieur à la réforme"," | Ancien délai de 2 ans expiré avant la réforme","")&amp;IF(AND($N419&lt;&gt;"",$H419&lt;&gt;"",$N419&lt;$H419)," | Entretien antérieur à l'embauche ?","")&amp;IF(AND($N419&lt;&gt;"",$N419&gt;DateRef)," | Entretien daté dans le futur ?","")&amp;IF(AND($Q419&lt;&gt;"",$P419&lt;&gt;"",$Q419&gt;$P419)," | Date prévue après l'échéance","")&amp;IF(AND($Q419&lt;&gt;"",$Q419&lt;DateRef,OR($N419="",$N419&lt;$Q419))," | Entretien prévu passé : le consigner au Journal","")&amp;IF(AND($G419&lt;&gt;"",$X419="",YEAR(DateRef)-YEAR($G419)&gt;=AgeMiCarriere-1,YEAR(DateRef)-YEAR($G419)&lt;=AgeMiCarriere+1)," | Visite de mi-carrière à vérifier",""),4,1000))</f>
        <v/>
      </c>
      <c r="U419" s="39"/>
      <c r="V419" s="40"/>
      <c r="W419" s="42" t="str">
        <f aca="false">IF(OR($B419="",$V419=""),"",IF(AND($I419&lt;&gt;"",$I419&lt;=DateRef),"",IF(AND($N419&lt;&gt;"",$N419&gt;=$V419),"Réalisé",IF(AND($N419&lt;&gt;"",$N419&gt;=EDATE($V419,-FenetreRetour)),"Dispensé (EPP récent)",IF($V419&gt;DateRef,"À prévoir à la reprise","À proposer (reprise passée)")))))</f>
        <v/>
      </c>
      <c r="X419" s="40"/>
      <c r="Y419" s="43" t="str">
        <f aca="false">IF(OR($B419="",$X419=""),"",EDATE($X419,DelaiMiCarriere))</f>
        <v/>
      </c>
      <c r="Z419" s="42" t="str">
        <f aca="false">IF(OR($B419="",$X419=""),"",IF(AND($I419&lt;&gt;"",$I419&lt;=DateRef),"",IF(AND($N419&lt;&gt;"",$N419&gt;=$X419),"Réalisé",IF($Y419&lt;DateRef,"En retard","À planifier"))))</f>
        <v/>
      </c>
      <c r="AA419" s="47" t="str">
        <f aca="false">IF(OR($B419="",$G419=""),"",IF($G419&gt;DateRef,"",DATEDIF($G419,DateRef,"y")))</f>
        <v/>
      </c>
      <c r="AB419" s="43" t="str">
        <f aca="false">IF(OR($B419="",$G419=""),"",EDATE($G419,AgeFinCarriere*12))</f>
        <v/>
      </c>
      <c r="AC419" s="42" t="str">
        <f aca="false">IF(OR($B419="",$G419="",$H419=""),"",IF(AND($I419&lt;&gt;"",$I419&lt;=DateRef),"",IF($AB419&lt;DateVigueur,"Non concerné",IF(AND($N419&lt;&gt;"",$N419&gt;=MAX(EDATE($AB419,-FenetreFinCarriere*12),DateVigueur),$N419&lt;=$AB419),"Réalisé",IF(DateRef&gt;$AB419,"Non réalisé",IF(AND($Q419&lt;&gt;"",$Q419&gt;=EDATE($AB419,-FenetreFinCarriere*12),$Q419&lt;=$AB419),"Planifié dans la fenêtre",IF(AND(MAX($P419,DateRef)&gt;=EDATE($AB419,-FenetreFinCarriere*12),MAX($P419,DateRef)&lt;=$AB419),"Prochain EPP dans la fenêtre",IF(MAX($P419,DateRef)&gt;$AB419,"À programmer avant 60 ans",""))))))))</f>
        <v/>
      </c>
      <c r="AD419" s="40"/>
      <c r="AE419" s="43" t="str">
        <f aca="false">IF(OR($B419="",$H419="",AND($I419&lt;&gt;"",$I419&lt;=DateRef)),"",MAX($H419,$AD419,IF($A419="",0,SUMPRODUCT(MAX((Journal!$A$6:$A$1005=$A419)*((Journal!$D$6:$D$1005=TypeEDL)+(Journal!$D$6:$D$1005=TypeBilan6))*Journal!$C$6:$C$1005)))))</f>
        <v/>
      </c>
      <c r="AF419" s="43" t="str">
        <f aca="false">IF($AE419="","",IF(AND(ReglesTransitoires="Oui",EDATE($AE419,AnciennePeriodiciteEDL*12)&lt;DateVigueur),EDATE($AE419,AnciennePeriodiciteEDL*12),EDATE($AE419,PeriodiciteEDL*12)))</f>
        <v/>
      </c>
      <c r="AG419" s="42" t="str">
        <f aca="false">IF($AF419="","",IF(AND($I419&lt;&gt;"",$I419&lt;=DateRef),"",IF($AF419&lt;DateRef,"En retard",IF($AF419-DateRef&lt;=SeuilAlerteEDL,"À prévoir","À jour"))))</f>
        <v/>
      </c>
      <c r="AH419" s="39"/>
      <c r="AI419" s="39"/>
      <c r="AJ419" s="42" t="str">
        <f aca="false">IF(OR($B419="",$H419=""),"",IF(AND($I419&lt;&gt;"",$I419&lt;=DateRef),"",IF(Effectif&lt;SeuilEffectif,"Non concerné (&lt; "&amp;SeuilEffectif&amp;" salariés)",IF($AH419="Oui","Pas de risque",IF(AND(OR($AI419="Non",$S419="En retard"),$AH419="Non"),"Risque abondement",IF(OR($AI419="Non",$S419="En retard"),"À vérifier (formation ?)",IF($AI419="Oui","Pas de risque","À compléter")))))))</f>
        <v/>
      </c>
      <c r="AK419" s="39"/>
    </row>
    <row r="420" customFormat="false" ht="15" hidden="false" customHeight="false" outlineLevel="0" collapsed="false">
      <c r="A420" s="39"/>
      <c r="B420" s="39"/>
      <c r="C420" s="39"/>
      <c r="D420" s="39"/>
      <c r="E420" s="39"/>
      <c r="F420" s="39"/>
      <c r="G420" s="40"/>
      <c r="H420" s="40"/>
      <c r="I420" s="40"/>
      <c r="J420" s="41" t="str">
        <f aca="false">IF(OR($B420="",$H420=""),"",IF($H420&gt;DateRef,0,YEARFRAC($H420,DateRef,1)))</f>
        <v/>
      </c>
      <c r="K420" s="42" t="str">
        <f aca="false">IF(OR($B420="",$H420=""),"",IF(EDATE($H420,12)&lt;=DateRef,"Plus d'un an","Moins d'un an"))</f>
        <v/>
      </c>
      <c r="L420" s="40"/>
      <c r="M420" s="43" t="str">
        <f aca="false">IF(OR($B420="",$A420=""),"",IF(SUMPRODUCT(MAX((Journal!$A$6:$A$1005=$A420)*Journal!$C$6:$C$1005))=0,"",SUMPRODUCT(MAX((Journal!$A$6:$A$1005=$A420)*Journal!$C$6:$C$1005))))</f>
        <v/>
      </c>
      <c r="N420" s="43" t="str">
        <f aca="false">IF($B420="","",IF(MAX($L420,$M420)=0,"",MAX($L420,$M420)))</f>
        <v/>
      </c>
      <c r="O420" s="44" t="str">
        <f aca="false">IF(OR($B420="",$H420=""),"",IF($N420="",IF(EDATE($H420,DelaiPremierEPP)&gt;DateRef,"1er EPP (1re année)","Aucun entretien renseigné"),IF(AND(ReglesTransitoires="Oui",EDATE($N420,AnciennePeriodiciteEP*12)&lt;DateVigueur),"Retard antérieur à la réforme","Périodicité "&amp;PeriodiciteEPP&amp;" ans")))</f>
        <v/>
      </c>
      <c r="P420" s="43" t="str">
        <f aca="false">IF(OR($B420="",$H420=""),"",IF($N420="",EDATE($H420,DelaiPremierEPP),IF(AND(ReglesTransitoires="Oui",EDATE($N420,AnciennePeriodiciteEP*12)&lt;DateVigueur),EDATE($N420,AnciennePeriodiciteEP*12),EDATE($N420,PeriodiciteEPP*12))))</f>
        <v/>
      </c>
      <c r="Q420" s="40"/>
      <c r="R420" s="45" t="str">
        <f aca="false">IF(OR($P420="",AND($I420&lt;&gt;"",$I420&lt;=DateRef)),"",$P420-DateRef)</f>
        <v/>
      </c>
      <c r="S420" s="42" t="str">
        <f aca="false">IF($B420="","",IF(AND($I420&lt;&gt;"",$I420&lt;=DateRef),"Sorti",IF($H420="","À compléter",IF(AND($Q420&lt;&gt;"",$Q420&gt;=DateRef,$Q420&lt;=$P420),"Planifié",IF($R420&lt;0,"En retard",IF($R420&lt;=SeuilAlerteEPP,"À planifier","À jour"))))))</f>
        <v/>
      </c>
      <c r="T420" s="46" t="str">
        <f aca="false">IF(OR($B420="",$S420="Sorti"),"",MID(IF($H420=""," | Date d'embauche manquante","")&amp;IF(AND($K420="Plus d'un an",$N420="")," | Précédent entretien à renseigner (ancienneté &gt; 1 an)","")&amp;IF($O420="Retard antérieur à la réforme"," | Ancien délai de 2 ans expiré avant la réforme","")&amp;IF(AND($N420&lt;&gt;"",$H420&lt;&gt;"",$N420&lt;$H420)," | Entretien antérieur à l'embauche ?","")&amp;IF(AND($N420&lt;&gt;"",$N420&gt;DateRef)," | Entretien daté dans le futur ?","")&amp;IF(AND($Q420&lt;&gt;"",$P420&lt;&gt;"",$Q420&gt;$P420)," | Date prévue après l'échéance","")&amp;IF(AND($Q420&lt;&gt;"",$Q420&lt;DateRef,OR($N420="",$N420&lt;$Q420))," | Entretien prévu passé : le consigner au Journal","")&amp;IF(AND($G420&lt;&gt;"",$X420="",YEAR(DateRef)-YEAR($G420)&gt;=AgeMiCarriere-1,YEAR(DateRef)-YEAR($G420)&lt;=AgeMiCarriere+1)," | Visite de mi-carrière à vérifier",""),4,1000))</f>
        <v/>
      </c>
      <c r="U420" s="39"/>
      <c r="V420" s="40"/>
      <c r="W420" s="42" t="str">
        <f aca="false">IF(OR($B420="",$V420=""),"",IF(AND($I420&lt;&gt;"",$I420&lt;=DateRef),"",IF(AND($N420&lt;&gt;"",$N420&gt;=$V420),"Réalisé",IF(AND($N420&lt;&gt;"",$N420&gt;=EDATE($V420,-FenetreRetour)),"Dispensé (EPP récent)",IF($V420&gt;DateRef,"À prévoir à la reprise","À proposer (reprise passée)")))))</f>
        <v/>
      </c>
      <c r="X420" s="40"/>
      <c r="Y420" s="43" t="str">
        <f aca="false">IF(OR($B420="",$X420=""),"",EDATE($X420,DelaiMiCarriere))</f>
        <v/>
      </c>
      <c r="Z420" s="42" t="str">
        <f aca="false">IF(OR($B420="",$X420=""),"",IF(AND($I420&lt;&gt;"",$I420&lt;=DateRef),"",IF(AND($N420&lt;&gt;"",$N420&gt;=$X420),"Réalisé",IF($Y420&lt;DateRef,"En retard","À planifier"))))</f>
        <v/>
      </c>
      <c r="AA420" s="47" t="str">
        <f aca="false">IF(OR($B420="",$G420=""),"",IF($G420&gt;DateRef,"",DATEDIF($G420,DateRef,"y")))</f>
        <v/>
      </c>
      <c r="AB420" s="43" t="str">
        <f aca="false">IF(OR($B420="",$G420=""),"",EDATE($G420,AgeFinCarriere*12))</f>
        <v/>
      </c>
      <c r="AC420" s="42" t="str">
        <f aca="false">IF(OR($B420="",$G420="",$H420=""),"",IF(AND($I420&lt;&gt;"",$I420&lt;=DateRef),"",IF($AB420&lt;DateVigueur,"Non concerné",IF(AND($N420&lt;&gt;"",$N420&gt;=MAX(EDATE($AB420,-FenetreFinCarriere*12),DateVigueur),$N420&lt;=$AB420),"Réalisé",IF(DateRef&gt;$AB420,"Non réalisé",IF(AND($Q420&lt;&gt;"",$Q420&gt;=EDATE($AB420,-FenetreFinCarriere*12),$Q420&lt;=$AB420),"Planifié dans la fenêtre",IF(AND(MAX($P420,DateRef)&gt;=EDATE($AB420,-FenetreFinCarriere*12),MAX($P420,DateRef)&lt;=$AB420),"Prochain EPP dans la fenêtre",IF(MAX($P420,DateRef)&gt;$AB420,"À programmer avant 60 ans",""))))))))</f>
        <v/>
      </c>
      <c r="AD420" s="40"/>
      <c r="AE420" s="43" t="str">
        <f aca="false">IF(OR($B420="",$H420="",AND($I420&lt;&gt;"",$I420&lt;=DateRef)),"",MAX($H420,$AD420,IF($A420="",0,SUMPRODUCT(MAX((Journal!$A$6:$A$1005=$A420)*((Journal!$D$6:$D$1005=TypeEDL)+(Journal!$D$6:$D$1005=TypeBilan6))*Journal!$C$6:$C$1005)))))</f>
        <v/>
      </c>
      <c r="AF420" s="43" t="str">
        <f aca="false">IF($AE420="","",IF(AND(ReglesTransitoires="Oui",EDATE($AE420,AnciennePeriodiciteEDL*12)&lt;DateVigueur),EDATE($AE420,AnciennePeriodiciteEDL*12),EDATE($AE420,PeriodiciteEDL*12)))</f>
        <v/>
      </c>
      <c r="AG420" s="42" t="str">
        <f aca="false">IF($AF420="","",IF(AND($I420&lt;&gt;"",$I420&lt;=DateRef),"",IF($AF420&lt;DateRef,"En retard",IF($AF420-DateRef&lt;=SeuilAlerteEDL,"À prévoir","À jour"))))</f>
        <v/>
      </c>
      <c r="AH420" s="39"/>
      <c r="AI420" s="39"/>
      <c r="AJ420" s="42" t="str">
        <f aca="false">IF(OR($B420="",$H420=""),"",IF(AND($I420&lt;&gt;"",$I420&lt;=DateRef),"",IF(Effectif&lt;SeuilEffectif,"Non concerné (&lt; "&amp;SeuilEffectif&amp;" salariés)",IF($AH420="Oui","Pas de risque",IF(AND(OR($AI420="Non",$S420="En retard"),$AH420="Non"),"Risque abondement",IF(OR($AI420="Non",$S420="En retard"),"À vérifier (formation ?)",IF($AI420="Oui","Pas de risque","À compléter")))))))</f>
        <v/>
      </c>
      <c r="AK420" s="39"/>
    </row>
    <row r="421" customFormat="false" ht="15" hidden="false" customHeight="false" outlineLevel="0" collapsed="false">
      <c r="A421" s="39"/>
      <c r="B421" s="39"/>
      <c r="C421" s="39"/>
      <c r="D421" s="39"/>
      <c r="E421" s="39"/>
      <c r="F421" s="39"/>
      <c r="G421" s="40"/>
      <c r="H421" s="40"/>
      <c r="I421" s="40"/>
      <c r="J421" s="41" t="str">
        <f aca="false">IF(OR($B421="",$H421=""),"",IF($H421&gt;DateRef,0,YEARFRAC($H421,DateRef,1)))</f>
        <v/>
      </c>
      <c r="K421" s="42" t="str">
        <f aca="false">IF(OR($B421="",$H421=""),"",IF(EDATE($H421,12)&lt;=DateRef,"Plus d'un an","Moins d'un an"))</f>
        <v/>
      </c>
      <c r="L421" s="40"/>
      <c r="M421" s="43" t="str">
        <f aca="false">IF(OR($B421="",$A421=""),"",IF(SUMPRODUCT(MAX((Journal!$A$6:$A$1005=$A421)*Journal!$C$6:$C$1005))=0,"",SUMPRODUCT(MAX((Journal!$A$6:$A$1005=$A421)*Journal!$C$6:$C$1005))))</f>
        <v/>
      </c>
      <c r="N421" s="43" t="str">
        <f aca="false">IF($B421="","",IF(MAX($L421,$M421)=0,"",MAX($L421,$M421)))</f>
        <v/>
      </c>
      <c r="O421" s="44" t="str">
        <f aca="false">IF(OR($B421="",$H421=""),"",IF($N421="",IF(EDATE($H421,DelaiPremierEPP)&gt;DateRef,"1er EPP (1re année)","Aucun entretien renseigné"),IF(AND(ReglesTransitoires="Oui",EDATE($N421,AnciennePeriodiciteEP*12)&lt;DateVigueur),"Retard antérieur à la réforme","Périodicité "&amp;PeriodiciteEPP&amp;" ans")))</f>
        <v/>
      </c>
      <c r="P421" s="43" t="str">
        <f aca="false">IF(OR($B421="",$H421=""),"",IF($N421="",EDATE($H421,DelaiPremierEPP),IF(AND(ReglesTransitoires="Oui",EDATE($N421,AnciennePeriodiciteEP*12)&lt;DateVigueur),EDATE($N421,AnciennePeriodiciteEP*12),EDATE($N421,PeriodiciteEPP*12))))</f>
        <v/>
      </c>
      <c r="Q421" s="40"/>
      <c r="R421" s="45" t="str">
        <f aca="false">IF(OR($P421="",AND($I421&lt;&gt;"",$I421&lt;=DateRef)),"",$P421-DateRef)</f>
        <v/>
      </c>
      <c r="S421" s="42" t="str">
        <f aca="false">IF($B421="","",IF(AND($I421&lt;&gt;"",$I421&lt;=DateRef),"Sorti",IF($H421="","À compléter",IF(AND($Q421&lt;&gt;"",$Q421&gt;=DateRef,$Q421&lt;=$P421),"Planifié",IF($R421&lt;0,"En retard",IF($R421&lt;=SeuilAlerteEPP,"À planifier","À jour"))))))</f>
        <v/>
      </c>
      <c r="T421" s="46" t="str">
        <f aca="false">IF(OR($B421="",$S421="Sorti"),"",MID(IF($H421=""," | Date d'embauche manquante","")&amp;IF(AND($K421="Plus d'un an",$N421="")," | Précédent entretien à renseigner (ancienneté &gt; 1 an)","")&amp;IF($O421="Retard antérieur à la réforme"," | Ancien délai de 2 ans expiré avant la réforme","")&amp;IF(AND($N421&lt;&gt;"",$H421&lt;&gt;"",$N421&lt;$H421)," | Entretien antérieur à l'embauche ?","")&amp;IF(AND($N421&lt;&gt;"",$N421&gt;DateRef)," | Entretien daté dans le futur ?","")&amp;IF(AND($Q421&lt;&gt;"",$P421&lt;&gt;"",$Q421&gt;$P421)," | Date prévue après l'échéance","")&amp;IF(AND($Q421&lt;&gt;"",$Q421&lt;DateRef,OR($N421="",$N421&lt;$Q421))," | Entretien prévu passé : le consigner au Journal","")&amp;IF(AND($G421&lt;&gt;"",$X421="",YEAR(DateRef)-YEAR($G421)&gt;=AgeMiCarriere-1,YEAR(DateRef)-YEAR($G421)&lt;=AgeMiCarriere+1)," | Visite de mi-carrière à vérifier",""),4,1000))</f>
        <v/>
      </c>
      <c r="U421" s="39"/>
      <c r="V421" s="40"/>
      <c r="W421" s="42" t="str">
        <f aca="false">IF(OR($B421="",$V421=""),"",IF(AND($I421&lt;&gt;"",$I421&lt;=DateRef),"",IF(AND($N421&lt;&gt;"",$N421&gt;=$V421),"Réalisé",IF(AND($N421&lt;&gt;"",$N421&gt;=EDATE($V421,-FenetreRetour)),"Dispensé (EPP récent)",IF($V421&gt;DateRef,"À prévoir à la reprise","À proposer (reprise passée)")))))</f>
        <v/>
      </c>
      <c r="X421" s="40"/>
      <c r="Y421" s="43" t="str">
        <f aca="false">IF(OR($B421="",$X421=""),"",EDATE($X421,DelaiMiCarriere))</f>
        <v/>
      </c>
      <c r="Z421" s="42" t="str">
        <f aca="false">IF(OR($B421="",$X421=""),"",IF(AND($I421&lt;&gt;"",$I421&lt;=DateRef),"",IF(AND($N421&lt;&gt;"",$N421&gt;=$X421),"Réalisé",IF($Y421&lt;DateRef,"En retard","À planifier"))))</f>
        <v/>
      </c>
      <c r="AA421" s="47" t="str">
        <f aca="false">IF(OR($B421="",$G421=""),"",IF($G421&gt;DateRef,"",DATEDIF($G421,DateRef,"y")))</f>
        <v/>
      </c>
      <c r="AB421" s="43" t="str">
        <f aca="false">IF(OR($B421="",$G421=""),"",EDATE($G421,AgeFinCarriere*12))</f>
        <v/>
      </c>
      <c r="AC421" s="42" t="str">
        <f aca="false">IF(OR($B421="",$G421="",$H421=""),"",IF(AND($I421&lt;&gt;"",$I421&lt;=DateRef),"",IF($AB421&lt;DateVigueur,"Non concerné",IF(AND($N421&lt;&gt;"",$N421&gt;=MAX(EDATE($AB421,-FenetreFinCarriere*12),DateVigueur),$N421&lt;=$AB421),"Réalisé",IF(DateRef&gt;$AB421,"Non réalisé",IF(AND($Q421&lt;&gt;"",$Q421&gt;=EDATE($AB421,-FenetreFinCarriere*12),$Q421&lt;=$AB421),"Planifié dans la fenêtre",IF(AND(MAX($P421,DateRef)&gt;=EDATE($AB421,-FenetreFinCarriere*12),MAX($P421,DateRef)&lt;=$AB421),"Prochain EPP dans la fenêtre",IF(MAX($P421,DateRef)&gt;$AB421,"À programmer avant 60 ans",""))))))))</f>
        <v/>
      </c>
      <c r="AD421" s="40"/>
      <c r="AE421" s="43" t="str">
        <f aca="false">IF(OR($B421="",$H421="",AND($I421&lt;&gt;"",$I421&lt;=DateRef)),"",MAX($H421,$AD421,IF($A421="",0,SUMPRODUCT(MAX((Journal!$A$6:$A$1005=$A421)*((Journal!$D$6:$D$1005=TypeEDL)+(Journal!$D$6:$D$1005=TypeBilan6))*Journal!$C$6:$C$1005)))))</f>
        <v/>
      </c>
      <c r="AF421" s="43" t="str">
        <f aca="false">IF($AE421="","",IF(AND(ReglesTransitoires="Oui",EDATE($AE421,AnciennePeriodiciteEDL*12)&lt;DateVigueur),EDATE($AE421,AnciennePeriodiciteEDL*12),EDATE($AE421,PeriodiciteEDL*12)))</f>
        <v/>
      </c>
      <c r="AG421" s="42" t="str">
        <f aca="false">IF($AF421="","",IF(AND($I421&lt;&gt;"",$I421&lt;=DateRef),"",IF($AF421&lt;DateRef,"En retard",IF($AF421-DateRef&lt;=SeuilAlerteEDL,"À prévoir","À jour"))))</f>
        <v/>
      </c>
      <c r="AH421" s="39"/>
      <c r="AI421" s="39"/>
      <c r="AJ421" s="42" t="str">
        <f aca="false">IF(OR($B421="",$H421=""),"",IF(AND($I421&lt;&gt;"",$I421&lt;=DateRef),"",IF(Effectif&lt;SeuilEffectif,"Non concerné (&lt; "&amp;SeuilEffectif&amp;" salariés)",IF($AH421="Oui","Pas de risque",IF(AND(OR($AI421="Non",$S421="En retard"),$AH421="Non"),"Risque abondement",IF(OR($AI421="Non",$S421="En retard"),"À vérifier (formation ?)",IF($AI421="Oui","Pas de risque","À compléter")))))))</f>
        <v/>
      </c>
      <c r="AK421" s="39"/>
    </row>
    <row r="422" customFormat="false" ht="15" hidden="false" customHeight="false" outlineLevel="0" collapsed="false">
      <c r="A422" s="39"/>
      <c r="B422" s="39"/>
      <c r="C422" s="39"/>
      <c r="D422" s="39"/>
      <c r="E422" s="39"/>
      <c r="F422" s="39"/>
      <c r="G422" s="40"/>
      <c r="H422" s="40"/>
      <c r="I422" s="40"/>
      <c r="J422" s="41" t="str">
        <f aca="false">IF(OR($B422="",$H422=""),"",IF($H422&gt;DateRef,0,YEARFRAC($H422,DateRef,1)))</f>
        <v/>
      </c>
      <c r="K422" s="42" t="str">
        <f aca="false">IF(OR($B422="",$H422=""),"",IF(EDATE($H422,12)&lt;=DateRef,"Plus d'un an","Moins d'un an"))</f>
        <v/>
      </c>
      <c r="L422" s="40"/>
      <c r="M422" s="43" t="str">
        <f aca="false">IF(OR($B422="",$A422=""),"",IF(SUMPRODUCT(MAX((Journal!$A$6:$A$1005=$A422)*Journal!$C$6:$C$1005))=0,"",SUMPRODUCT(MAX((Journal!$A$6:$A$1005=$A422)*Journal!$C$6:$C$1005))))</f>
        <v/>
      </c>
      <c r="N422" s="43" t="str">
        <f aca="false">IF($B422="","",IF(MAX($L422,$M422)=0,"",MAX($L422,$M422)))</f>
        <v/>
      </c>
      <c r="O422" s="44" t="str">
        <f aca="false">IF(OR($B422="",$H422=""),"",IF($N422="",IF(EDATE($H422,DelaiPremierEPP)&gt;DateRef,"1er EPP (1re année)","Aucun entretien renseigné"),IF(AND(ReglesTransitoires="Oui",EDATE($N422,AnciennePeriodiciteEP*12)&lt;DateVigueur),"Retard antérieur à la réforme","Périodicité "&amp;PeriodiciteEPP&amp;" ans")))</f>
        <v/>
      </c>
      <c r="P422" s="43" t="str">
        <f aca="false">IF(OR($B422="",$H422=""),"",IF($N422="",EDATE($H422,DelaiPremierEPP),IF(AND(ReglesTransitoires="Oui",EDATE($N422,AnciennePeriodiciteEP*12)&lt;DateVigueur),EDATE($N422,AnciennePeriodiciteEP*12),EDATE($N422,PeriodiciteEPP*12))))</f>
        <v/>
      </c>
      <c r="Q422" s="40"/>
      <c r="R422" s="45" t="str">
        <f aca="false">IF(OR($P422="",AND($I422&lt;&gt;"",$I422&lt;=DateRef)),"",$P422-DateRef)</f>
        <v/>
      </c>
      <c r="S422" s="42" t="str">
        <f aca="false">IF($B422="","",IF(AND($I422&lt;&gt;"",$I422&lt;=DateRef),"Sorti",IF($H422="","À compléter",IF(AND($Q422&lt;&gt;"",$Q422&gt;=DateRef,$Q422&lt;=$P422),"Planifié",IF($R422&lt;0,"En retard",IF($R422&lt;=SeuilAlerteEPP,"À planifier","À jour"))))))</f>
        <v/>
      </c>
      <c r="T422" s="46" t="str">
        <f aca="false">IF(OR($B422="",$S422="Sorti"),"",MID(IF($H422=""," | Date d'embauche manquante","")&amp;IF(AND($K422="Plus d'un an",$N422="")," | Précédent entretien à renseigner (ancienneté &gt; 1 an)","")&amp;IF($O422="Retard antérieur à la réforme"," | Ancien délai de 2 ans expiré avant la réforme","")&amp;IF(AND($N422&lt;&gt;"",$H422&lt;&gt;"",$N422&lt;$H422)," | Entretien antérieur à l'embauche ?","")&amp;IF(AND($N422&lt;&gt;"",$N422&gt;DateRef)," | Entretien daté dans le futur ?","")&amp;IF(AND($Q422&lt;&gt;"",$P422&lt;&gt;"",$Q422&gt;$P422)," | Date prévue après l'échéance","")&amp;IF(AND($Q422&lt;&gt;"",$Q422&lt;DateRef,OR($N422="",$N422&lt;$Q422))," | Entretien prévu passé : le consigner au Journal","")&amp;IF(AND($G422&lt;&gt;"",$X422="",YEAR(DateRef)-YEAR($G422)&gt;=AgeMiCarriere-1,YEAR(DateRef)-YEAR($G422)&lt;=AgeMiCarriere+1)," | Visite de mi-carrière à vérifier",""),4,1000))</f>
        <v/>
      </c>
      <c r="U422" s="39"/>
      <c r="V422" s="40"/>
      <c r="W422" s="42" t="str">
        <f aca="false">IF(OR($B422="",$V422=""),"",IF(AND($I422&lt;&gt;"",$I422&lt;=DateRef),"",IF(AND($N422&lt;&gt;"",$N422&gt;=$V422),"Réalisé",IF(AND($N422&lt;&gt;"",$N422&gt;=EDATE($V422,-FenetreRetour)),"Dispensé (EPP récent)",IF($V422&gt;DateRef,"À prévoir à la reprise","À proposer (reprise passée)")))))</f>
        <v/>
      </c>
      <c r="X422" s="40"/>
      <c r="Y422" s="43" t="str">
        <f aca="false">IF(OR($B422="",$X422=""),"",EDATE($X422,DelaiMiCarriere))</f>
        <v/>
      </c>
      <c r="Z422" s="42" t="str">
        <f aca="false">IF(OR($B422="",$X422=""),"",IF(AND($I422&lt;&gt;"",$I422&lt;=DateRef),"",IF(AND($N422&lt;&gt;"",$N422&gt;=$X422),"Réalisé",IF($Y422&lt;DateRef,"En retard","À planifier"))))</f>
        <v/>
      </c>
      <c r="AA422" s="47" t="str">
        <f aca="false">IF(OR($B422="",$G422=""),"",IF($G422&gt;DateRef,"",DATEDIF($G422,DateRef,"y")))</f>
        <v/>
      </c>
      <c r="AB422" s="43" t="str">
        <f aca="false">IF(OR($B422="",$G422=""),"",EDATE($G422,AgeFinCarriere*12))</f>
        <v/>
      </c>
      <c r="AC422" s="42" t="str">
        <f aca="false">IF(OR($B422="",$G422="",$H422=""),"",IF(AND($I422&lt;&gt;"",$I422&lt;=DateRef),"",IF($AB422&lt;DateVigueur,"Non concerné",IF(AND($N422&lt;&gt;"",$N422&gt;=MAX(EDATE($AB422,-FenetreFinCarriere*12),DateVigueur),$N422&lt;=$AB422),"Réalisé",IF(DateRef&gt;$AB422,"Non réalisé",IF(AND($Q422&lt;&gt;"",$Q422&gt;=EDATE($AB422,-FenetreFinCarriere*12),$Q422&lt;=$AB422),"Planifié dans la fenêtre",IF(AND(MAX($P422,DateRef)&gt;=EDATE($AB422,-FenetreFinCarriere*12),MAX($P422,DateRef)&lt;=$AB422),"Prochain EPP dans la fenêtre",IF(MAX($P422,DateRef)&gt;$AB422,"À programmer avant 60 ans",""))))))))</f>
        <v/>
      </c>
      <c r="AD422" s="40"/>
      <c r="AE422" s="43" t="str">
        <f aca="false">IF(OR($B422="",$H422="",AND($I422&lt;&gt;"",$I422&lt;=DateRef)),"",MAX($H422,$AD422,IF($A422="",0,SUMPRODUCT(MAX((Journal!$A$6:$A$1005=$A422)*((Journal!$D$6:$D$1005=TypeEDL)+(Journal!$D$6:$D$1005=TypeBilan6))*Journal!$C$6:$C$1005)))))</f>
        <v/>
      </c>
      <c r="AF422" s="43" t="str">
        <f aca="false">IF($AE422="","",IF(AND(ReglesTransitoires="Oui",EDATE($AE422,AnciennePeriodiciteEDL*12)&lt;DateVigueur),EDATE($AE422,AnciennePeriodiciteEDL*12),EDATE($AE422,PeriodiciteEDL*12)))</f>
        <v/>
      </c>
      <c r="AG422" s="42" t="str">
        <f aca="false">IF($AF422="","",IF(AND($I422&lt;&gt;"",$I422&lt;=DateRef),"",IF($AF422&lt;DateRef,"En retard",IF($AF422-DateRef&lt;=SeuilAlerteEDL,"À prévoir","À jour"))))</f>
        <v/>
      </c>
      <c r="AH422" s="39"/>
      <c r="AI422" s="39"/>
      <c r="AJ422" s="42" t="str">
        <f aca="false">IF(OR($B422="",$H422=""),"",IF(AND($I422&lt;&gt;"",$I422&lt;=DateRef),"",IF(Effectif&lt;SeuilEffectif,"Non concerné (&lt; "&amp;SeuilEffectif&amp;" salariés)",IF($AH422="Oui","Pas de risque",IF(AND(OR($AI422="Non",$S422="En retard"),$AH422="Non"),"Risque abondement",IF(OR($AI422="Non",$S422="En retard"),"À vérifier (formation ?)",IF($AI422="Oui","Pas de risque","À compléter")))))))</f>
        <v/>
      </c>
      <c r="AK422" s="39"/>
    </row>
    <row r="423" customFormat="false" ht="15" hidden="false" customHeight="false" outlineLevel="0" collapsed="false">
      <c r="A423" s="39"/>
      <c r="B423" s="39"/>
      <c r="C423" s="39"/>
      <c r="D423" s="39"/>
      <c r="E423" s="39"/>
      <c r="F423" s="39"/>
      <c r="G423" s="40"/>
      <c r="H423" s="40"/>
      <c r="I423" s="40"/>
      <c r="J423" s="41" t="str">
        <f aca="false">IF(OR($B423="",$H423=""),"",IF($H423&gt;DateRef,0,YEARFRAC($H423,DateRef,1)))</f>
        <v/>
      </c>
      <c r="K423" s="42" t="str">
        <f aca="false">IF(OR($B423="",$H423=""),"",IF(EDATE($H423,12)&lt;=DateRef,"Plus d'un an","Moins d'un an"))</f>
        <v/>
      </c>
      <c r="L423" s="40"/>
      <c r="M423" s="43" t="str">
        <f aca="false">IF(OR($B423="",$A423=""),"",IF(SUMPRODUCT(MAX((Journal!$A$6:$A$1005=$A423)*Journal!$C$6:$C$1005))=0,"",SUMPRODUCT(MAX((Journal!$A$6:$A$1005=$A423)*Journal!$C$6:$C$1005))))</f>
        <v/>
      </c>
      <c r="N423" s="43" t="str">
        <f aca="false">IF($B423="","",IF(MAX($L423,$M423)=0,"",MAX($L423,$M423)))</f>
        <v/>
      </c>
      <c r="O423" s="44" t="str">
        <f aca="false">IF(OR($B423="",$H423=""),"",IF($N423="",IF(EDATE($H423,DelaiPremierEPP)&gt;DateRef,"1er EPP (1re année)","Aucun entretien renseigné"),IF(AND(ReglesTransitoires="Oui",EDATE($N423,AnciennePeriodiciteEP*12)&lt;DateVigueur),"Retard antérieur à la réforme","Périodicité "&amp;PeriodiciteEPP&amp;" ans")))</f>
        <v/>
      </c>
      <c r="P423" s="43" t="str">
        <f aca="false">IF(OR($B423="",$H423=""),"",IF($N423="",EDATE($H423,DelaiPremierEPP),IF(AND(ReglesTransitoires="Oui",EDATE($N423,AnciennePeriodiciteEP*12)&lt;DateVigueur),EDATE($N423,AnciennePeriodiciteEP*12),EDATE($N423,PeriodiciteEPP*12))))</f>
        <v/>
      </c>
      <c r="Q423" s="40"/>
      <c r="R423" s="45" t="str">
        <f aca="false">IF(OR($P423="",AND($I423&lt;&gt;"",$I423&lt;=DateRef)),"",$P423-DateRef)</f>
        <v/>
      </c>
      <c r="S423" s="42" t="str">
        <f aca="false">IF($B423="","",IF(AND($I423&lt;&gt;"",$I423&lt;=DateRef),"Sorti",IF($H423="","À compléter",IF(AND($Q423&lt;&gt;"",$Q423&gt;=DateRef,$Q423&lt;=$P423),"Planifié",IF($R423&lt;0,"En retard",IF($R423&lt;=SeuilAlerteEPP,"À planifier","À jour"))))))</f>
        <v/>
      </c>
      <c r="T423" s="46" t="str">
        <f aca="false">IF(OR($B423="",$S423="Sorti"),"",MID(IF($H423=""," | Date d'embauche manquante","")&amp;IF(AND($K423="Plus d'un an",$N423="")," | Précédent entretien à renseigner (ancienneté &gt; 1 an)","")&amp;IF($O423="Retard antérieur à la réforme"," | Ancien délai de 2 ans expiré avant la réforme","")&amp;IF(AND($N423&lt;&gt;"",$H423&lt;&gt;"",$N423&lt;$H423)," | Entretien antérieur à l'embauche ?","")&amp;IF(AND($N423&lt;&gt;"",$N423&gt;DateRef)," | Entretien daté dans le futur ?","")&amp;IF(AND($Q423&lt;&gt;"",$P423&lt;&gt;"",$Q423&gt;$P423)," | Date prévue après l'échéance","")&amp;IF(AND($Q423&lt;&gt;"",$Q423&lt;DateRef,OR($N423="",$N423&lt;$Q423))," | Entretien prévu passé : le consigner au Journal","")&amp;IF(AND($G423&lt;&gt;"",$X423="",YEAR(DateRef)-YEAR($G423)&gt;=AgeMiCarriere-1,YEAR(DateRef)-YEAR($G423)&lt;=AgeMiCarriere+1)," | Visite de mi-carrière à vérifier",""),4,1000))</f>
        <v/>
      </c>
      <c r="U423" s="39"/>
      <c r="V423" s="40"/>
      <c r="W423" s="42" t="str">
        <f aca="false">IF(OR($B423="",$V423=""),"",IF(AND($I423&lt;&gt;"",$I423&lt;=DateRef),"",IF(AND($N423&lt;&gt;"",$N423&gt;=$V423),"Réalisé",IF(AND($N423&lt;&gt;"",$N423&gt;=EDATE($V423,-FenetreRetour)),"Dispensé (EPP récent)",IF($V423&gt;DateRef,"À prévoir à la reprise","À proposer (reprise passée)")))))</f>
        <v/>
      </c>
      <c r="X423" s="40"/>
      <c r="Y423" s="43" t="str">
        <f aca="false">IF(OR($B423="",$X423=""),"",EDATE($X423,DelaiMiCarriere))</f>
        <v/>
      </c>
      <c r="Z423" s="42" t="str">
        <f aca="false">IF(OR($B423="",$X423=""),"",IF(AND($I423&lt;&gt;"",$I423&lt;=DateRef),"",IF(AND($N423&lt;&gt;"",$N423&gt;=$X423),"Réalisé",IF($Y423&lt;DateRef,"En retard","À planifier"))))</f>
        <v/>
      </c>
      <c r="AA423" s="47" t="str">
        <f aca="false">IF(OR($B423="",$G423=""),"",IF($G423&gt;DateRef,"",DATEDIF($G423,DateRef,"y")))</f>
        <v/>
      </c>
      <c r="AB423" s="43" t="str">
        <f aca="false">IF(OR($B423="",$G423=""),"",EDATE($G423,AgeFinCarriere*12))</f>
        <v/>
      </c>
      <c r="AC423" s="42" t="str">
        <f aca="false">IF(OR($B423="",$G423="",$H423=""),"",IF(AND($I423&lt;&gt;"",$I423&lt;=DateRef),"",IF($AB423&lt;DateVigueur,"Non concerné",IF(AND($N423&lt;&gt;"",$N423&gt;=MAX(EDATE($AB423,-FenetreFinCarriere*12),DateVigueur),$N423&lt;=$AB423),"Réalisé",IF(DateRef&gt;$AB423,"Non réalisé",IF(AND($Q423&lt;&gt;"",$Q423&gt;=EDATE($AB423,-FenetreFinCarriere*12),$Q423&lt;=$AB423),"Planifié dans la fenêtre",IF(AND(MAX($P423,DateRef)&gt;=EDATE($AB423,-FenetreFinCarriere*12),MAX($P423,DateRef)&lt;=$AB423),"Prochain EPP dans la fenêtre",IF(MAX($P423,DateRef)&gt;$AB423,"À programmer avant 60 ans",""))))))))</f>
        <v/>
      </c>
      <c r="AD423" s="40"/>
      <c r="AE423" s="43" t="str">
        <f aca="false">IF(OR($B423="",$H423="",AND($I423&lt;&gt;"",$I423&lt;=DateRef)),"",MAX($H423,$AD423,IF($A423="",0,SUMPRODUCT(MAX((Journal!$A$6:$A$1005=$A423)*((Journal!$D$6:$D$1005=TypeEDL)+(Journal!$D$6:$D$1005=TypeBilan6))*Journal!$C$6:$C$1005)))))</f>
        <v/>
      </c>
      <c r="AF423" s="43" t="str">
        <f aca="false">IF($AE423="","",IF(AND(ReglesTransitoires="Oui",EDATE($AE423,AnciennePeriodiciteEDL*12)&lt;DateVigueur),EDATE($AE423,AnciennePeriodiciteEDL*12),EDATE($AE423,PeriodiciteEDL*12)))</f>
        <v/>
      </c>
      <c r="AG423" s="42" t="str">
        <f aca="false">IF($AF423="","",IF(AND($I423&lt;&gt;"",$I423&lt;=DateRef),"",IF($AF423&lt;DateRef,"En retard",IF($AF423-DateRef&lt;=SeuilAlerteEDL,"À prévoir","À jour"))))</f>
        <v/>
      </c>
      <c r="AH423" s="39"/>
      <c r="AI423" s="39"/>
      <c r="AJ423" s="42" t="str">
        <f aca="false">IF(OR($B423="",$H423=""),"",IF(AND($I423&lt;&gt;"",$I423&lt;=DateRef),"",IF(Effectif&lt;SeuilEffectif,"Non concerné (&lt; "&amp;SeuilEffectif&amp;" salariés)",IF($AH423="Oui","Pas de risque",IF(AND(OR($AI423="Non",$S423="En retard"),$AH423="Non"),"Risque abondement",IF(OR($AI423="Non",$S423="En retard"),"À vérifier (formation ?)",IF($AI423="Oui","Pas de risque","À compléter")))))))</f>
        <v/>
      </c>
      <c r="AK423" s="39"/>
    </row>
    <row r="424" customFormat="false" ht="15" hidden="false" customHeight="false" outlineLevel="0" collapsed="false">
      <c r="A424" s="39"/>
      <c r="B424" s="39"/>
      <c r="C424" s="39"/>
      <c r="D424" s="39"/>
      <c r="E424" s="39"/>
      <c r="F424" s="39"/>
      <c r="G424" s="40"/>
      <c r="H424" s="40"/>
      <c r="I424" s="40"/>
      <c r="J424" s="41" t="str">
        <f aca="false">IF(OR($B424="",$H424=""),"",IF($H424&gt;DateRef,0,YEARFRAC($H424,DateRef,1)))</f>
        <v/>
      </c>
      <c r="K424" s="42" t="str">
        <f aca="false">IF(OR($B424="",$H424=""),"",IF(EDATE($H424,12)&lt;=DateRef,"Plus d'un an","Moins d'un an"))</f>
        <v/>
      </c>
      <c r="L424" s="40"/>
      <c r="M424" s="43" t="str">
        <f aca="false">IF(OR($B424="",$A424=""),"",IF(SUMPRODUCT(MAX((Journal!$A$6:$A$1005=$A424)*Journal!$C$6:$C$1005))=0,"",SUMPRODUCT(MAX((Journal!$A$6:$A$1005=$A424)*Journal!$C$6:$C$1005))))</f>
        <v/>
      </c>
      <c r="N424" s="43" t="str">
        <f aca="false">IF($B424="","",IF(MAX($L424,$M424)=0,"",MAX($L424,$M424)))</f>
        <v/>
      </c>
      <c r="O424" s="44" t="str">
        <f aca="false">IF(OR($B424="",$H424=""),"",IF($N424="",IF(EDATE($H424,DelaiPremierEPP)&gt;DateRef,"1er EPP (1re année)","Aucun entretien renseigné"),IF(AND(ReglesTransitoires="Oui",EDATE($N424,AnciennePeriodiciteEP*12)&lt;DateVigueur),"Retard antérieur à la réforme","Périodicité "&amp;PeriodiciteEPP&amp;" ans")))</f>
        <v/>
      </c>
      <c r="P424" s="43" t="str">
        <f aca="false">IF(OR($B424="",$H424=""),"",IF($N424="",EDATE($H424,DelaiPremierEPP),IF(AND(ReglesTransitoires="Oui",EDATE($N424,AnciennePeriodiciteEP*12)&lt;DateVigueur),EDATE($N424,AnciennePeriodiciteEP*12),EDATE($N424,PeriodiciteEPP*12))))</f>
        <v/>
      </c>
      <c r="Q424" s="40"/>
      <c r="R424" s="45" t="str">
        <f aca="false">IF(OR($P424="",AND($I424&lt;&gt;"",$I424&lt;=DateRef)),"",$P424-DateRef)</f>
        <v/>
      </c>
      <c r="S424" s="42" t="str">
        <f aca="false">IF($B424="","",IF(AND($I424&lt;&gt;"",$I424&lt;=DateRef),"Sorti",IF($H424="","À compléter",IF(AND($Q424&lt;&gt;"",$Q424&gt;=DateRef,$Q424&lt;=$P424),"Planifié",IF($R424&lt;0,"En retard",IF($R424&lt;=SeuilAlerteEPP,"À planifier","À jour"))))))</f>
        <v/>
      </c>
      <c r="T424" s="46" t="str">
        <f aca="false">IF(OR($B424="",$S424="Sorti"),"",MID(IF($H424=""," | Date d'embauche manquante","")&amp;IF(AND($K424="Plus d'un an",$N424="")," | Précédent entretien à renseigner (ancienneté &gt; 1 an)","")&amp;IF($O424="Retard antérieur à la réforme"," | Ancien délai de 2 ans expiré avant la réforme","")&amp;IF(AND($N424&lt;&gt;"",$H424&lt;&gt;"",$N424&lt;$H424)," | Entretien antérieur à l'embauche ?","")&amp;IF(AND($N424&lt;&gt;"",$N424&gt;DateRef)," | Entretien daté dans le futur ?","")&amp;IF(AND($Q424&lt;&gt;"",$P424&lt;&gt;"",$Q424&gt;$P424)," | Date prévue après l'échéance","")&amp;IF(AND($Q424&lt;&gt;"",$Q424&lt;DateRef,OR($N424="",$N424&lt;$Q424))," | Entretien prévu passé : le consigner au Journal","")&amp;IF(AND($G424&lt;&gt;"",$X424="",YEAR(DateRef)-YEAR($G424)&gt;=AgeMiCarriere-1,YEAR(DateRef)-YEAR($G424)&lt;=AgeMiCarriere+1)," | Visite de mi-carrière à vérifier",""),4,1000))</f>
        <v/>
      </c>
      <c r="U424" s="39"/>
      <c r="V424" s="40"/>
      <c r="W424" s="42" t="str">
        <f aca="false">IF(OR($B424="",$V424=""),"",IF(AND($I424&lt;&gt;"",$I424&lt;=DateRef),"",IF(AND($N424&lt;&gt;"",$N424&gt;=$V424),"Réalisé",IF(AND($N424&lt;&gt;"",$N424&gt;=EDATE($V424,-FenetreRetour)),"Dispensé (EPP récent)",IF($V424&gt;DateRef,"À prévoir à la reprise","À proposer (reprise passée)")))))</f>
        <v/>
      </c>
      <c r="X424" s="40"/>
      <c r="Y424" s="43" t="str">
        <f aca="false">IF(OR($B424="",$X424=""),"",EDATE($X424,DelaiMiCarriere))</f>
        <v/>
      </c>
      <c r="Z424" s="42" t="str">
        <f aca="false">IF(OR($B424="",$X424=""),"",IF(AND($I424&lt;&gt;"",$I424&lt;=DateRef),"",IF(AND($N424&lt;&gt;"",$N424&gt;=$X424),"Réalisé",IF($Y424&lt;DateRef,"En retard","À planifier"))))</f>
        <v/>
      </c>
      <c r="AA424" s="47" t="str">
        <f aca="false">IF(OR($B424="",$G424=""),"",IF($G424&gt;DateRef,"",DATEDIF($G424,DateRef,"y")))</f>
        <v/>
      </c>
      <c r="AB424" s="43" t="str">
        <f aca="false">IF(OR($B424="",$G424=""),"",EDATE($G424,AgeFinCarriere*12))</f>
        <v/>
      </c>
      <c r="AC424" s="42" t="str">
        <f aca="false">IF(OR($B424="",$G424="",$H424=""),"",IF(AND($I424&lt;&gt;"",$I424&lt;=DateRef),"",IF($AB424&lt;DateVigueur,"Non concerné",IF(AND($N424&lt;&gt;"",$N424&gt;=MAX(EDATE($AB424,-FenetreFinCarriere*12),DateVigueur),$N424&lt;=$AB424),"Réalisé",IF(DateRef&gt;$AB424,"Non réalisé",IF(AND($Q424&lt;&gt;"",$Q424&gt;=EDATE($AB424,-FenetreFinCarriere*12),$Q424&lt;=$AB424),"Planifié dans la fenêtre",IF(AND(MAX($P424,DateRef)&gt;=EDATE($AB424,-FenetreFinCarriere*12),MAX($P424,DateRef)&lt;=$AB424),"Prochain EPP dans la fenêtre",IF(MAX($P424,DateRef)&gt;$AB424,"À programmer avant 60 ans",""))))))))</f>
        <v/>
      </c>
      <c r="AD424" s="40"/>
      <c r="AE424" s="43" t="str">
        <f aca="false">IF(OR($B424="",$H424="",AND($I424&lt;&gt;"",$I424&lt;=DateRef)),"",MAX($H424,$AD424,IF($A424="",0,SUMPRODUCT(MAX((Journal!$A$6:$A$1005=$A424)*((Journal!$D$6:$D$1005=TypeEDL)+(Journal!$D$6:$D$1005=TypeBilan6))*Journal!$C$6:$C$1005)))))</f>
        <v/>
      </c>
      <c r="AF424" s="43" t="str">
        <f aca="false">IF($AE424="","",IF(AND(ReglesTransitoires="Oui",EDATE($AE424,AnciennePeriodiciteEDL*12)&lt;DateVigueur),EDATE($AE424,AnciennePeriodiciteEDL*12),EDATE($AE424,PeriodiciteEDL*12)))</f>
        <v/>
      </c>
      <c r="AG424" s="42" t="str">
        <f aca="false">IF($AF424="","",IF(AND($I424&lt;&gt;"",$I424&lt;=DateRef),"",IF($AF424&lt;DateRef,"En retard",IF($AF424-DateRef&lt;=SeuilAlerteEDL,"À prévoir","À jour"))))</f>
        <v/>
      </c>
      <c r="AH424" s="39"/>
      <c r="AI424" s="39"/>
      <c r="AJ424" s="42" t="str">
        <f aca="false">IF(OR($B424="",$H424=""),"",IF(AND($I424&lt;&gt;"",$I424&lt;=DateRef),"",IF(Effectif&lt;SeuilEffectif,"Non concerné (&lt; "&amp;SeuilEffectif&amp;" salariés)",IF($AH424="Oui","Pas de risque",IF(AND(OR($AI424="Non",$S424="En retard"),$AH424="Non"),"Risque abondement",IF(OR($AI424="Non",$S424="En retard"),"À vérifier (formation ?)",IF($AI424="Oui","Pas de risque","À compléter")))))))</f>
        <v/>
      </c>
      <c r="AK424" s="39"/>
    </row>
    <row r="425" customFormat="false" ht="15" hidden="false" customHeight="false" outlineLevel="0" collapsed="false">
      <c r="A425" s="39"/>
      <c r="B425" s="39"/>
      <c r="C425" s="39"/>
      <c r="D425" s="39"/>
      <c r="E425" s="39"/>
      <c r="F425" s="39"/>
      <c r="G425" s="40"/>
      <c r="H425" s="40"/>
      <c r="I425" s="40"/>
      <c r="J425" s="41" t="str">
        <f aca="false">IF(OR($B425="",$H425=""),"",IF($H425&gt;DateRef,0,YEARFRAC($H425,DateRef,1)))</f>
        <v/>
      </c>
      <c r="K425" s="42" t="str">
        <f aca="false">IF(OR($B425="",$H425=""),"",IF(EDATE($H425,12)&lt;=DateRef,"Plus d'un an","Moins d'un an"))</f>
        <v/>
      </c>
      <c r="L425" s="40"/>
      <c r="M425" s="43" t="str">
        <f aca="false">IF(OR($B425="",$A425=""),"",IF(SUMPRODUCT(MAX((Journal!$A$6:$A$1005=$A425)*Journal!$C$6:$C$1005))=0,"",SUMPRODUCT(MAX((Journal!$A$6:$A$1005=$A425)*Journal!$C$6:$C$1005))))</f>
        <v/>
      </c>
      <c r="N425" s="43" t="str">
        <f aca="false">IF($B425="","",IF(MAX($L425,$M425)=0,"",MAX($L425,$M425)))</f>
        <v/>
      </c>
      <c r="O425" s="44" t="str">
        <f aca="false">IF(OR($B425="",$H425=""),"",IF($N425="",IF(EDATE($H425,DelaiPremierEPP)&gt;DateRef,"1er EPP (1re année)","Aucun entretien renseigné"),IF(AND(ReglesTransitoires="Oui",EDATE($N425,AnciennePeriodiciteEP*12)&lt;DateVigueur),"Retard antérieur à la réforme","Périodicité "&amp;PeriodiciteEPP&amp;" ans")))</f>
        <v/>
      </c>
      <c r="P425" s="43" t="str">
        <f aca="false">IF(OR($B425="",$H425=""),"",IF($N425="",EDATE($H425,DelaiPremierEPP),IF(AND(ReglesTransitoires="Oui",EDATE($N425,AnciennePeriodiciteEP*12)&lt;DateVigueur),EDATE($N425,AnciennePeriodiciteEP*12),EDATE($N425,PeriodiciteEPP*12))))</f>
        <v/>
      </c>
      <c r="Q425" s="40"/>
      <c r="R425" s="45" t="str">
        <f aca="false">IF(OR($P425="",AND($I425&lt;&gt;"",$I425&lt;=DateRef)),"",$P425-DateRef)</f>
        <v/>
      </c>
      <c r="S425" s="42" t="str">
        <f aca="false">IF($B425="","",IF(AND($I425&lt;&gt;"",$I425&lt;=DateRef),"Sorti",IF($H425="","À compléter",IF(AND($Q425&lt;&gt;"",$Q425&gt;=DateRef,$Q425&lt;=$P425),"Planifié",IF($R425&lt;0,"En retard",IF($R425&lt;=SeuilAlerteEPP,"À planifier","À jour"))))))</f>
        <v/>
      </c>
      <c r="T425" s="46" t="str">
        <f aca="false">IF(OR($B425="",$S425="Sorti"),"",MID(IF($H425=""," | Date d'embauche manquante","")&amp;IF(AND($K425="Plus d'un an",$N425="")," | Précédent entretien à renseigner (ancienneté &gt; 1 an)","")&amp;IF($O425="Retard antérieur à la réforme"," | Ancien délai de 2 ans expiré avant la réforme","")&amp;IF(AND($N425&lt;&gt;"",$H425&lt;&gt;"",$N425&lt;$H425)," | Entretien antérieur à l'embauche ?","")&amp;IF(AND($N425&lt;&gt;"",$N425&gt;DateRef)," | Entretien daté dans le futur ?","")&amp;IF(AND($Q425&lt;&gt;"",$P425&lt;&gt;"",$Q425&gt;$P425)," | Date prévue après l'échéance","")&amp;IF(AND($Q425&lt;&gt;"",$Q425&lt;DateRef,OR($N425="",$N425&lt;$Q425))," | Entretien prévu passé : le consigner au Journal","")&amp;IF(AND($G425&lt;&gt;"",$X425="",YEAR(DateRef)-YEAR($G425)&gt;=AgeMiCarriere-1,YEAR(DateRef)-YEAR($G425)&lt;=AgeMiCarriere+1)," | Visite de mi-carrière à vérifier",""),4,1000))</f>
        <v/>
      </c>
      <c r="U425" s="39"/>
      <c r="V425" s="40"/>
      <c r="W425" s="42" t="str">
        <f aca="false">IF(OR($B425="",$V425=""),"",IF(AND($I425&lt;&gt;"",$I425&lt;=DateRef),"",IF(AND($N425&lt;&gt;"",$N425&gt;=$V425),"Réalisé",IF(AND($N425&lt;&gt;"",$N425&gt;=EDATE($V425,-FenetreRetour)),"Dispensé (EPP récent)",IF($V425&gt;DateRef,"À prévoir à la reprise","À proposer (reprise passée)")))))</f>
        <v/>
      </c>
      <c r="X425" s="40"/>
      <c r="Y425" s="43" t="str">
        <f aca="false">IF(OR($B425="",$X425=""),"",EDATE($X425,DelaiMiCarriere))</f>
        <v/>
      </c>
      <c r="Z425" s="42" t="str">
        <f aca="false">IF(OR($B425="",$X425=""),"",IF(AND($I425&lt;&gt;"",$I425&lt;=DateRef),"",IF(AND($N425&lt;&gt;"",$N425&gt;=$X425),"Réalisé",IF($Y425&lt;DateRef,"En retard","À planifier"))))</f>
        <v/>
      </c>
      <c r="AA425" s="47" t="str">
        <f aca="false">IF(OR($B425="",$G425=""),"",IF($G425&gt;DateRef,"",DATEDIF($G425,DateRef,"y")))</f>
        <v/>
      </c>
      <c r="AB425" s="43" t="str">
        <f aca="false">IF(OR($B425="",$G425=""),"",EDATE($G425,AgeFinCarriere*12))</f>
        <v/>
      </c>
      <c r="AC425" s="42" t="str">
        <f aca="false">IF(OR($B425="",$G425="",$H425=""),"",IF(AND($I425&lt;&gt;"",$I425&lt;=DateRef),"",IF($AB425&lt;DateVigueur,"Non concerné",IF(AND($N425&lt;&gt;"",$N425&gt;=MAX(EDATE($AB425,-FenetreFinCarriere*12),DateVigueur),$N425&lt;=$AB425),"Réalisé",IF(DateRef&gt;$AB425,"Non réalisé",IF(AND($Q425&lt;&gt;"",$Q425&gt;=EDATE($AB425,-FenetreFinCarriere*12),$Q425&lt;=$AB425),"Planifié dans la fenêtre",IF(AND(MAX($P425,DateRef)&gt;=EDATE($AB425,-FenetreFinCarriere*12),MAX($P425,DateRef)&lt;=$AB425),"Prochain EPP dans la fenêtre",IF(MAX($P425,DateRef)&gt;$AB425,"À programmer avant 60 ans",""))))))))</f>
        <v/>
      </c>
      <c r="AD425" s="40"/>
      <c r="AE425" s="43" t="str">
        <f aca="false">IF(OR($B425="",$H425="",AND($I425&lt;&gt;"",$I425&lt;=DateRef)),"",MAX($H425,$AD425,IF($A425="",0,SUMPRODUCT(MAX((Journal!$A$6:$A$1005=$A425)*((Journal!$D$6:$D$1005=TypeEDL)+(Journal!$D$6:$D$1005=TypeBilan6))*Journal!$C$6:$C$1005)))))</f>
        <v/>
      </c>
      <c r="AF425" s="43" t="str">
        <f aca="false">IF($AE425="","",IF(AND(ReglesTransitoires="Oui",EDATE($AE425,AnciennePeriodiciteEDL*12)&lt;DateVigueur),EDATE($AE425,AnciennePeriodiciteEDL*12),EDATE($AE425,PeriodiciteEDL*12)))</f>
        <v/>
      </c>
      <c r="AG425" s="42" t="str">
        <f aca="false">IF($AF425="","",IF(AND($I425&lt;&gt;"",$I425&lt;=DateRef),"",IF($AF425&lt;DateRef,"En retard",IF($AF425-DateRef&lt;=SeuilAlerteEDL,"À prévoir","À jour"))))</f>
        <v/>
      </c>
      <c r="AH425" s="39"/>
      <c r="AI425" s="39"/>
      <c r="AJ425" s="42" t="str">
        <f aca="false">IF(OR($B425="",$H425=""),"",IF(AND($I425&lt;&gt;"",$I425&lt;=DateRef),"",IF(Effectif&lt;SeuilEffectif,"Non concerné (&lt; "&amp;SeuilEffectif&amp;" salariés)",IF($AH425="Oui","Pas de risque",IF(AND(OR($AI425="Non",$S425="En retard"),$AH425="Non"),"Risque abondement",IF(OR($AI425="Non",$S425="En retard"),"À vérifier (formation ?)",IF($AI425="Oui","Pas de risque","À compléter")))))))</f>
        <v/>
      </c>
      <c r="AK425" s="39"/>
    </row>
    <row r="426" customFormat="false" ht="15" hidden="false" customHeight="false" outlineLevel="0" collapsed="false">
      <c r="A426" s="39"/>
      <c r="B426" s="39"/>
      <c r="C426" s="39"/>
      <c r="D426" s="39"/>
      <c r="E426" s="39"/>
      <c r="F426" s="39"/>
      <c r="G426" s="40"/>
      <c r="H426" s="40"/>
      <c r="I426" s="40"/>
      <c r="J426" s="41" t="str">
        <f aca="false">IF(OR($B426="",$H426=""),"",IF($H426&gt;DateRef,0,YEARFRAC($H426,DateRef,1)))</f>
        <v/>
      </c>
      <c r="K426" s="42" t="str">
        <f aca="false">IF(OR($B426="",$H426=""),"",IF(EDATE($H426,12)&lt;=DateRef,"Plus d'un an","Moins d'un an"))</f>
        <v/>
      </c>
      <c r="L426" s="40"/>
      <c r="M426" s="43" t="str">
        <f aca="false">IF(OR($B426="",$A426=""),"",IF(SUMPRODUCT(MAX((Journal!$A$6:$A$1005=$A426)*Journal!$C$6:$C$1005))=0,"",SUMPRODUCT(MAX((Journal!$A$6:$A$1005=$A426)*Journal!$C$6:$C$1005))))</f>
        <v/>
      </c>
      <c r="N426" s="43" t="str">
        <f aca="false">IF($B426="","",IF(MAX($L426,$M426)=0,"",MAX($L426,$M426)))</f>
        <v/>
      </c>
      <c r="O426" s="44" t="str">
        <f aca="false">IF(OR($B426="",$H426=""),"",IF($N426="",IF(EDATE($H426,DelaiPremierEPP)&gt;DateRef,"1er EPP (1re année)","Aucun entretien renseigné"),IF(AND(ReglesTransitoires="Oui",EDATE($N426,AnciennePeriodiciteEP*12)&lt;DateVigueur),"Retard antérieur à la réforme","Périodicité "&amp;PeriodiciteEPP&amp;" ans")))</f>
        <v/>
      </c>
      <c r="P426" s="43" t="str">
        <f aca="false">IF(OR($B426="",$H426=""),"",IF($N426="",EDATE($H426,DelaiPremierEPP),IF(AND(ReglesTransitoires="Oui",EDATE($N426,AnciennePeriodiciteEP*12)&lt;DateVigueur),EDATE($N426,AnciennePeriodiciteEP*12),EDATE($N426,PeriodiciteEPP*12))))</f>
        <v/>
      </c>
      <c r="Q426" s="40"/>
      <c r="R426" s="45" t="str">
        <f aca="false">IF(OR($P426="",AND($I426&lt;&gt;"",$I426&lt;=DateRef)),"",$P426-DateRef)</f>
        <v/>
      </c>
      <c r="S426" s="42" t="str">
        <f aca="false">IF($B426="","",IF(AND($I426&lt;&gt;"",$I426&lt;=DateRef),"Sorti",IF($H426="","À compléter",IF(AND($Q426&lt;&gt;"",$Q426&gt;=DateRef,$Q426&lt;=$P426),"Planifié",IF($R426&lt;0,"En retard",IF($R426&lt;=SeuilAlerteEPP,"À planifier","À jour"))))))</f>
        <v/>
      </c>
      <c r="T426" s="46" t="str">
        <f aca="false">IF(OR($B426="",$S426="Sorti"),"",MID(IF($H426=""," | Date d'embauche manquante","")&amp;IF(AND($K426="Plus d'un an",$N426="")," | Précédent entretien à renseigner (ancienneté &gt; 1 an)","")&amp;IF($O426="Retard antérieur à la réforme"," | Ancien délai de 2 ans expiré avant la réforme","")&amp;IF(AND($N426&lt;&gt;"",$H426&lt;&gt;"",$N426&lt;$H426)," | Entretien antérieur à l'embauche ?","")&amp;IF(AND($N426&lt;&gt;"",$N426&gt;DateRef)," | Entretien daté dans le futur ?","")&amp;IF(AND($Q426&lt;&gt;"",$P426&lt;&gt;"",$Q426&gt;$P426)," | Date prévue après l'échéance","")&amp;IF(AND($Q426&lt;&gt;"",$Q426&lt;DateRef,OR($N426="",$N426&lt;$Q426))," | Entretien prévu passé : le consigner au Journal","")&amp;IF(AND($G426&lt;&gt;"",$X426="",YEAR(DateRef)-YEAR($G426)&gt;=AgeMiCarriere-1,YEAR(DateRef)-YEAR($G426)&lt;=AgeMiCarriere+1)," | Visite de mi-carrière à vérifier",""),4,1000))</f>
        <v/>
      </c>
      <c r="U426" s="39"/>
      <c r="V426" s="40"/>
      <c r="W426" s="42" t="str">
        <f aca="false">IF(OR($B426="",$V426=""),"",IF(AND($I426&lt;&gt;"",$I426&lt;=DateRef),"",IF(AND($N426&lt;&gt;"",$N426&gt;=$V426),"Réalisé",IF(AND($N426&lt;&gt;"",$N426&gt;=EDATE($V426,-FenetreRetour)),"Dispensé (EPP récent)",IF($V426&gt;DateRef,"À prévoir à la reprise","À proposer (reprise passée)")))))</f>
        <v/>
      </c>
      <c r="X426" s="40"/>
      <c r="Y426" s="43" t="str">
        <f aca="false">IF(OR($B426="",$X426=""),"",EDATE($X426,DelaiMiCarriere))</f>
        <v/>
      </c>
      <c r="Z426" s="42" t="str">
        <f aca="false">IF(OR($B426="",$X426=""),"",IF(AND($I426&lt;&gt;"",$I426&lt;=DateRef),"",IF(AND($N426&lt;&gt;"",$N426&gt;=$X426),"Réalisé",IF($Y426&lt;DateRef,"En retard","À planifier"))))</f>
        <v/>
      </c>
      <c r="AA426" s="47" t="str">
        <f aca="false">IF(OR($B426="",$G426=""),"",IF($G426&gt;DateRef,"",DATEDIF($G426,DateRef,"y")))</f>
        <v/>
      </c>
      <c r="AB426" s="43" t="str">
        <f aca="false">IF(OR($B426="",$G426=""),"",EDATE($G426,AgeFinCarriere*12))</f>
        <v/>
      </c>
      <c r="AC426" s="42" t="str">
        <f aca="false">IF(OR($B426="",$G426="",$H426=""),"",IF(AND($I426&lt;&gt;"",$I426&lt;=DateRef),"",IF($AB426&lt;DateVigueur,"Non concerné",IF(AND($N426&lt;&gt;"",$N426&gt;=MAX(EDATE($AB426,-FenetreFinCarriere*12),DateVigueur),$N426&lt;=$AB426),"Réalisé",IF(DateRef&gt;$AB426,"Non réalisé",IF(AND($Q426&lt;&gt;"",$Q426&gt;=EDATE($AB426,-FenetreFinCarriere*12),$Q426&lt;=$AB426),"Planifié dans la fenêtre",IF(AND(MAX($P426,DateRef)&gt;=EDATE($AB426,-FenetreFinCarriere*12),MAX($P426,DateRef)&lt;=$AB426),"Prochain EPP dans la fenêtre",IF(MAX($P426,DateRef)&gt;$AB426,"À programmer avant 60 ans",""))))))))</f>
        <v/>
      </c>
      <c r="AD426" s="40"/>
      <c r="AE426" s="43" t="str">
        <f aca="false">IF(OR($B426="",$H426="",AND($I426&lt;&gt;"",$I426&lt;=DateRef)),"",MAX($H426,$AD426,IF($A426="",0,SUMPRODUCT(MAX((Journal!$A$6:$A$1005=$A426)*((Journal!$D$6:$D$1005=TypeEDL)+(Journal!$D$6:$D$1005=TypeBilan6))*Journal!$C$6:$C$1005)))))</f>
        <v/>
      </c>
      <c r="AF426" s="43" t="str">
        <f aca="false">IF($AE426="","",IF(AND(ReglesTransitoires="Oui",EDATE($AE426,AnciennePeriodiciteEDL*12)&lt;DateVigueur),EDATE($AE426,AnciennePeriodiciteEDL*12),EDATE($AE426,PeriodiciteEDL*12)))</f>
        <v/>
      </c>
      <c r="AG426" s="42" t="str">
        <f aca="false">IF($AF426="","",IF(AND($I426&lt;&gt;"",$I426&lt;=DateRef),"",IF($AF426&lt;DateRef,"En retard",IF($AF426-DateRef&lt;=SeuilAlerteEDL,"À prévoir","À jour"))))</f>
        <v/>
      </c>
      <c r="AH426" s="39"/>
      <c r="AI426" s="39"/>
      <c r="AJ426" s="42" t="str">
        <f aca="false">IF(OR($B426="",$H426=""),"",IF(AND($I426&lt;&gt;"",$I426&lt;=DateRef),"",IF(Effectif&lt;SeuilEffectif,"Non concerné (&lt; "&amp;SeuilEffectif&amp;" salariés)",IF($AH426="Oui","Pas de risque",IF(AND(OR($AI426="Non",$S426="En retard"),$AH426="Non"),"Risque abondement",IF(OR($AI426="Non",$S426="En retard"),"À vérifier (formation ?)",IF($AI426="Oui","Pas de risque","À compléter")))))))</f>
        <v/>
      </c>
      <c r="AK426" s="39"/>
    </row>
    <row r="427" customFormat="false" ht="15" hidden="false" customHeight="false" outlineLevel="0" collapsed="false">
      <c r="A427" s="39"/>
      <c r="B427" s="39"/>
      <c r="C427" s="39"/>
      <c r="D427" s="39"/>
      <c r="E427" s="39"/>
      <c r="F427" s="39"/>
      <c r="G427" s="40"/>
      <c r="H427" s="40"/>
      <c r="I427" s="40"/>
      <c r="J427" s="41" t="str">
        <f aca="false">IF(OR($B427="",$H427=""),"",IF($H427&gt;DateRef,0,YEARFRAC($H427,DateRef,1)))</f>
        <v/>
      </c>
      <c r="K427" s="42" t="str">
        <f aca="false">IF(OR($B427="",$H427=""),"",IF(EDATE($H427,12)&lt;=DateRef,"Plus d'un an","Moins d'un an"))</f>
        <v/>
      </c>
      <c r="L427" s="40"/>
      <c r="M427" s="43" t="str">
        <f aca="false">IF(OR($B427="",$A427=""),"",IF(SUMPRODUCT(MAX((Journal!$A$6:$A$1005=$A427)*Journal!$C$6:$C$1005))=0,"",SUMPRODUCT(MAX((Journal!$A$6:$A$1005=$A427)*Journal!$C$6:$C$1005))))</f>
        <v/>
      </c>
      <c r="N427" s="43" t="str">
        <f aca="false">IF($B427="","",IF(MAX($L427,$M427)=0,"",MAX($L427,$M427)))</f>
        <v/>
      </c>
      <c r="O427" s="44" t="str">
        <f aca="false">IF(OR($B427="",$H427=""),"",IF($N427="",IF(EDATE($H427,DelaiPremierEPP)&gt;DateRef,"1er EPP (1re année)","Aucun entretien renseigné"),IF(AND(ReglesTransitoires="Oui",EDATE($N427,AnciennePeriodiciteEP*12)&lt;DateVigueur),"Retard antérieur à la réforme","Périodicité "&amp;PeriodiciteEPP&amp;" ans")))</f>
        <v/>
      </c>
      <c r="P427" s="43" t="str">
        <f aca="false">IF(OR($B427="",$H427=""),"",IF($N427="",EDATE($H427,DelaiPremierEPP),IF(AND(ReglesTransitoires="Oui",EDATE($N427,AnciennePeriodiciteEP*12)&lt;DateVigueur),EDATE($N427,AnciennePeriodiciteEP*12),EDATE($N427,PeriodiciteEPP*12))))</f>
        <v/>
      </c>
      <c r="Q427" s="40"/>
      <c r="R427" s="45" t="str">
        <f aca="false">IF(OR($P427="",AND($I427&lt;&gt;"",$I427&lt;=DateRef)),"",$P427-DateRef)</f>
        <v/>
      </c>
      <c r="S427" s="42" t="str">
        <f aca="false">IF($B427="","",IF(AND($I427&lt;&gt;"",$I427&lt;=DateRef),"Sorti",IF($H427="","À compléter",IF(AND($Q427&lt;&gt;"",$Q427&gt;=DateRef,$Q427&lt;=$P427),"Planifié",IF($R427&lt;0,"En retard",IF($R427&lt;=SeuilAlerteEPP,"À planifier","À jour"))))))</f>
        <v/>
      </c>
      <c r="T427" s="46" t="str">
        <f aca="false">IF(OR($B427="",$S427="Sorti"),"",MID(IF($H427=""," | Date d'embauche manquante","")&amp;IF(AND($K427="Plus d'un an",$N427="")," | Précédent entretien à renseigner (ancienneté &gt; 1 an)","")&amp;IF($O427="Retard antérieur à la réforme"," | Ancien délai de 2 ans expiré avant la réforme","")&amp;IF(AND($N427&lt;&gt;"",$H427&lt;&gt;"",$N427&lt;$H427)," | Entretien antérieur à l'embauche ?","")&amp;IF(AND($N427&lt;&gt;"",$N427&gt;DateRef)," | Entretien daté dans le futur ?","")&amp;IF(AND($Q427&lt;&gt;"",$P427&lt;&gt;"",$Q427&gt;$P427)," | Date prévue après l'échéance","")&amp;IF(AND($Q427&lt;&gt;"",$Q427&lt;DateRef,OR($N427="",$N427&lt;$Q427))," | Entretien prévu passé : le consigner au Journal","")&amp;IF(AND($G427&lt;&gt;"",$X427="",YEAR(DateRef)-YEAR($G427)&gt;=AgeMiCarriere-1,YEAR(DateRef)-YEAR($G427)&lt;=AgeMiCarriere+1)," | Visite de mi-carrière à vérifier",""),4,1000))</f>
        <v/>
      </c>
      <c r="U427" s="39"/>
      <c r="V427" s="40"/>
      <c r="W427" s="42" t="str">
        <f aca="false">IF(OR($B427="",$V427=""),"",IF(AND($I427&lt;&gt;"",$I427&lt;=DateRef),"",IF(AND($N427&lt;&gt;"",$N427&gt;=$V427),"Réalisé",IF(AND($N427&lt;&gt;"",$N427&gt;=EDATE($V427,-FenetreRetour)),"Dispensé (EPP récent)",IF($V427&gt;DateRef,"À prévoir à la reprise","À proposer (reprise passée)")))))</f>
        <v/>
      </c>
      <c r="X427" s="40"/>
      <c r="Y427" s="43" t="str">
        <f aca="false">IF(OR($B427="",$X427=""),"",EDATE($X427,DelaiMiCarriere))</f>
        <v/>
      </c>
      <c r="Z427" s="42" t="str">
        <f aca="false">IF(OR($B427="",$X427=""),"",IF(AND($I427&lt;&gt;"",$I427&lt;=DateRef),"",IF(AND($N427&lt;&gt;"",$N427&gt;=$X427),"Réalisé",IF($Y427&lt;DateRef,"En retard","À planifier"))))</f>
        <v/>
      </c>
      <c r="AA427" s="47" t="str">
        <f aca="false">IF(OR($B427="",$G427=""),"",IF($G427&gt;DateRef,"",DATEDIF($G427,DateRef,"y")))</f>
        <v/>
      </c>
      <c r="AB427" s="43" t="str">
        <f aca="false">IF(OR($B427="",$G427=""),"",EDATE($G427,AgeFinCarriere*12))</f>
        <v/>
      </c>
      <c r="AC427" s="42" t="str">
        <f aca="false">IF(OR($B427="",$G427="",$H427=""),"",IF(AND($I427&lt;&gt;"",$I427&lt;=DateRef),"",IF($AB427&lt;DateVigueur,"Non concerné",IF(AND($N427&lt;&gt;"",$N427&gt;=MAX(EDATE($AB427,-FenetreFinCarriere*12),DateVigueur),$N427&lt;=$AB427),"Réalisé",IF(DateRef&gt;$AB427,"Non réalisé",IF(AND($Q427&lt;&gt;"",$Q427&gt;=EDATE($AB427,-FenetreFinCarriere*12),$Q427&lt;=$AB427),"Planifié dans la fenêtre",IF(AND(MAX($P427,DateRef)&gt;=EDATE($AB427,-FenetreFinCarriere*12),MAX($P427,DateRef)&lt;=$AB427),"Prochain EPP dans la fenêtre",IF(MAX($P427,DateRef)&gt;$AB427,"À programmer avant 60 ans",""))))))))</f>
        <v/>
      </c>
      <c r="AD427" s="40"/>
      <c r="AE427" s="43" t="str">
        <f aca="false">IF(OR($B427="",$H427="",AND($I427&lt;&gt;"",$I427&lt;=DateRef)),"",MAX($H427,$AD427,IF($A427="",0,SUMPRODUCT(MAX((Journal!$A$6:$A$1005=$A427)*((Journal!$D$6:$D$1005=TypeEDL)+(Journal!$D$6:$D$1005=TypeBilan6))*Journal!$C$6:$C$1005)))))</f>
        <v/>
      </c>
      <c r="AF427" s="43" t="str">
        <f aca="false">IF($AE427="","",IF(AND(ReglesTransitoires="Oui",EDATE($AE427,AnciennePeriodiciteEDL*12)&lt;DateVigueur),EDATE($AE427,AnciennePeriodiciteEDL*12),EDATE($AE427,PeriodiciteEDL*12)))</f>
        <v/>
      </c>
      <c r="AG427" s="42" t="str">
        <f aca="false">IF($AF427="","",IF(AND($I427&lt;&gt;"",$I427&lt;=DateRef),"",IF($AF427&lt;DateRef,"En retard",IF($AF427-DateRef&lt;=SeuilAlerteEDL,"À prévoir","À jour"))))</f>
        <v/>
      </c>
      <c r="AH427" s="39"/>
      <c r="AI427" s="39"/>
      <c r="AJ427" s="42" t="str">
        <f aca="false">IF(OR($B427="",$H427=""),"",IF(AND($I427&lt;&gt;"",$I427&lt;=DateRef),"",IF(Effectif&lt;SeuilEffectif,"Non concerné (&lt; "&amp;SeuilEffectif&amp;" salariés)",IF($AH427="Oui","Pas de risque",IF(AND(OR($AI427="Non",$S427="En retard"),$AH427="Non"),"Risque abondement",IF(OR($AI427="Non",$S427="En retard"),"À vérifier (formation ?)",IF($AI427="Oui","Pas de risque","À compléter")))))))</f>
        <v/>
      </c>
      <c r="AK427" s="39"/>
    </row>
    <row r="428" customFormat="false" ht="15" hidden="false" customHeight="false" outlineLevel="0" collapsed="false">
      <c r="A428" s="39"/>
      <c r="B428" s="39"/>
      <c r="C428" s="39"/>
      <c r="D428" s="39"/>
      <c r="E428" s="39"/>
      <c r="F428" s="39"/>
      <c r="G428" s="40"/>
      <c r="H428" s="40"/>
      <c r="I428" s="40"/>
      <c r="J428" s="41" t="str">
        <f aca="false">IF(OR($B428="",$H428=""),"",IF($H428&gt;DateRef,0,YEARFRAC($H428,DateRef,1)))</f>
        <v/>
      </c>
      <c r="K428" s="42" t="str">
        <f aca="false">IF(OR($B428="",$H428=""),"",IF(EDATE($H428,12)&lt;=DateRef,"Plus d'un an","Moins d'un an"))</f>
        <v/>
      </c>
      <c r="L428" s="40"/>
      <c r="M428" s="43" t="str">
        <f aca="false">IF(OR($B428="",$A428=""),"",IF(SUMPRODUCT(MAX((Journal!$A$6:$A$1005=$A428)*Journal!$C$6:$C$1005))=0,"",SUMPRODUCT(MAX((Journal!$A$6:$A$1005=$A428)*Journal!$C$6:$C$1005))))</f>
        <v/>
      </c>
      <c r="N428" s="43" t="str">
        <f aca="false">IF($B428="","",IF(MAX($L428,$M428)=0,"",MAX($L428,$M428)))</f>
        <v/>
      </c>
      <c r="O428" s="44" t="str">
        <f aca="false">IF(OR($B428="",$H428=""),"",IF($N428="",IF(EDATE($H428,DelaiPremierEPP)&gt;DateRef,"1er EPP (1re année)","Aucun entretien renseigné"),IF(AND(ReglesTransitoires="Oui",EDATE($N428,AnciennePeriodiciteEP*12)&lt;DateVigueur),"Retard antérieur à la réforme","Périodicité "&amp;PeriodiciteEPP&amp;" ans")))</f>
        <v/>
      </c>
      <c r="P428" s="43" t="str">
        <f aca="false">IF(OR($B428="",$H428=""),"",IF($N428="",EDATE($H428,DelaiPremierEPP),IF(AND(ReglesTransitoires="Oui",EDATE($N428,AnciennePeriodiciteEP*12)&lt;DateVigueur),EDATE($N428,AnciennePeriodiciteEP*12),EDATE($N428,PeriodiciteEPP*12))))</f>
        <v/>
      </c>
      <c r="Q428" s="40"/>
      <c r="R428" s="45" t="str">
        <f aca="false">IF(OR($P428="",AND($I428&lt;&gt;"",$I428&lt;=DateRef)),"",$P428-DateRef)</f>
        <v/>
      </c>
      <c r="S428" s="42" t="str">
        <f aca="false">IF($B428="","",IF(AND($I428&lt;&gt;"",$I428&lt;=DateRef),"Sorti",IF($H428="","À compléter",IF(AND($Q428&lt;&gt;"",$Q428&gt;=DateRef,$Q428&lt;=$P428),"Planifié",IF($R428&lt;0,"En retard",IF($R428&lt;=SeuilAlerteEPP,"À planifier","À jour"))))))</f>
        <v/>
      </c>
      <c r="T428" s="46" t="str">
        <f aca="false">IF(OR($B428="",$S428="Sorti"),"",MID(IF($H428=""," | Date d'embauche manquante","")&amp;IF(AND($K428="Plus d'un an",$N428="")," | Précédent entretien à renseigner (ancienneté &gt; 1 an)","")&amp;IF($O428="Retard antérieur à la réforme"," | Ancien délai de 2 ans expiré avant la réforme","")&amp;IF(AND($N428&lt;&gt;"",$H428&lt;&gt;"",$N428&lt;$H428)," | Entretien antérieur à l'embauche ?","")&amp;IF(AND($N428&lt;&gt;"",$N428&gt;DateRef)," | Entretien daté dans le futur ?","")&amp;IF(AND($Q428&lt;&gt;"",$P428&lt;&gt;"",$Q428&gt;$P428)," | Date prévue après l'échéance","")&amp;IF(AND($Q428&lt;&gt;"",$Q428&lt;DateRef,OR($N428="",$N428&lt;$Q428))," | Entretien prévu passé : le consigner au Journal","")&amp;IF(AND($G428&lt;&gt;"",$X428="",YEAR(DateRef)-YEAR($G428)&gt;=AgeMiCarriere-1,YEAR(DateRef)-YEAR($G428)&lt;=AgeMiCarriere+1)," | Visite de mi-carrière à vérifier",""),4,1000))</f>
        <v/>
      </c>
      <c r="U428" s="39"/>
      <c r="V428" s="40"/>
      <c r="W428" s="42" t="str">
        <f aca="false">IF(OR($B428="",$V428=""),"",IF(AND($I428&lt;&gt;"",$I428&lt;=DateRef),"",IF(AND($N428&lt;&gt;"",$N428&gt;=$V428),"Réalisé",IF(AND($N428&lt;&gt;"",$N428&gt;=EDATE($V428,-FenetreRetour)),"Dispensé (EPP récent)",IF($V428&gt;DateRef,"À prévoir à la reprise","À proposer (reprise passée)")))))</f>
        <v/>
      </c>
      <c r="X428" s="40"/>
      <c r="Y428" s="43" t="str">
        <f aca="false">IF(OR($B428="",$X428=""),"",EDATE($X428,DelaiMiCarriere))</f>
        <v/>
      </c>
      <c r="Z428" s="42" t="str">
        <f aca="false">IF(OR($B428="",$X428=""),"",IF(AND($I428&lt;&gt;"",$I428&lt;=DateRef),"",IF(AND($N428&lt;&gt;"",$N428&gt;=$X428),"Réalisé",IF($Y428&lt;DateRef,"En retard","À planifier"))))</f>
        <v/>
      </c>
      <c r="AA428" s="47" t="str">
        <f aca="false">IF(OR($B428="",$G428=""),"",IF($G428&gt;DateRef,"",DATEDIF($G428,DateRef,"y")))</f>
        <v/>
      </c>
      <c r="AB428" s="43" t="str">
        <f aca="false">IF(OR($B428="",$G428=""),"",EDATE($G428,AgeFinCarriere*12))</f>
        <v/>
      </c>
      <c r="AC428" s="42" t="str">
        <f aca="false">IF(OR($B428="",$G428="",$H428=""),"",IF(AND($I428&lt;&gt;"",$I428&lt;=DateRef),"",IF($AB428&lt;DateVigueur,"Non concerné",IF(AND($N428&lt;&gt;"",$N428&gt;=MAX(EDATE($AB428,-FenetreFinCarriere*12),DateVigueur),$N428&lt;=$AB428),"Réalisé",IF(DateRef&gt;$AB428,"Non réalisé",IF(AND($Q428&lt;&gt;"",$Q428&gt;=EDATE($AB428,-FenetreFinCarriere*12),$Q428&lt;=$AB428),"Planifié dans la fenêtre",IF(AND(MAX($P428,DateRef)&gt;=EDATE($AB428,-FenetreFinCarriere*12),MAX($P428,DateRef)&lt;=$AB428),"Prochain EPP dans la fenêtre",IF(MAX($P428,DateRef)&gt;$AB428,"À programmer avant 60 ans",""))))))))</f>
        <v/>
      </c>
      <c r="AD428" s="40"/>
      <c r="AE428" s="43" t="str">
        <f aca="false">IF(OR($B428="",$H428="",AND($I428&lt;&gt;"",$I428&lt;=DateRef)),"",MAX($H428,$AD428,IF($A428="",0,SUMPRODUCT(MAX((Journal!$A$6:$A$1005=$A428)*((Journal!$D$6:$D$1005=TypeEDL)+(Journal!$D$6:$D$1005=TypeBilan6))*Journal!$C$6:$C$1005)))))</f>
        <v/>
      </c>
      <c r="AF428" s="43" t="str">
        <f aca="false">IF($AE428="","",IF(AND(ReglesTransitoires="Oui",EDATE($AE428,AnciennePeriodiciteEDL*12)&lt;DateVigueur),EDATE($AE428,AnciennePeriodiciteEDL*12),EDATE($AE428,PeriodiciteEDL*12)))</f>
        <v/>
      </c>
      <c r="AG428" s="42" t="str">
        <f aca="false">IF($AF428="","",IF(AND($I428&lt;&gt;"",$I428&lt;=DateRef),"",IF($AF428&lt;DateRef,"En retard",IF($AF428-DateRef&lt;=SeuilAlerteEDL,"À prévoir","À jour"))))</f>
        <v/>
      </c>
      <c r="AH428" s="39"/>
      <c r="AI428" s="39"/>
      <c r="AJ428" s="42" t="str">
        <f aca="false">IF(OR($B428="",$H428=""),"",IF(AND($I428&lt;&gt;"",$I428&lt;=DateRef),"",IF(Effectif&lt;SeuilEffectif,"Non concerné (&lt; "&amp;SeuilEffectif&amp;" salariés)",IF($AH428="Oui","Pas de risque",IF(AND(OR($AI428="Non",$S428="En retard"),$AH428="Non"),"Risque abondement",IF(OR($AI428="Non",$S428="En retard"),"À vérifier (formation ?)",IF($AI428="Oui","Pas de risque","À compléter")))))))</f>
        <v/>
      </c>
      <c r="AK428" s="39"/>
    </row>
    <row r="429" customFormat="false" ht="15" hidden="false" customHeight="false" outlineLevel="0" collapsed="false">
      <c r="A429" s="39"/>
      <c r="B429" s="39"/>
      <c r="C429" s="39"/>
      <c r="D429" s="39"/>
      <c r="E429" s="39"/>
      <c r="F429" s="39"/>
      <c r="G429" s="40"/>
      <c r="H429" s="40"/>
      <c r="I429" s="40"/>
      <c r="J429" s="41" t="str">
        <f aca="false">IF(OR($B429="",$H429=""),"",IF($H429&gt;DateRef,0,YEARFRAC($H429,DateRef,1)))</f>
        <v/>
      </c>
      <c r="K429" s="42" t="str">
        <f aca="false">IF(OR($B429="",$H429=""),"",IF(EDATE($H429,12)&lt;=DateRef,"Plus d'un an","Moins d'un an"))</f>
        <v/>
      </c>
      <c r="L429" s="40"/>
      <c r="M429" s="43" t="str">
        <f aca="false">IF(OR($B429="",$A429=""),"",IF(SUMPRODUCT(MAX((Journal!$A$6:$A$1005=$A429)*Journal!$C$6:$C$1005))=0,"",SUMPRODUCT(MAX((Journal!$A$6:$A$1005=$A429)*Journal!$C$6:$C$1005))))</f>
        <v/>
      </c>
      <c r="N429" s="43" t="str">
        <f aca="false">IF($B429="","",IF(MAX($L429,$M429)=0,"",MAX($L429,$M429)))</f>
        <v/>
      </c>
      <c r="O429" s="44" t="str">
        <f aca="false">IF(OR($B429="",$H429=""),"",IF($N429="",IF(EDATE($H429,DelaiPremierEPP)&gt;DateRef,"1er EPP (1re année)","Aucun entretien renseigné"),IF(AND(ReglesTransitoires="Oui",EDATE($N429,AnciennePeriodiciteEP*12)&lt;DateVigueur),"Retard antérieur à la réforme","Périodicité "&amp;PeriodiciteEPP&amp;" ans")))</f>
        <v/>
      </c>
      <c r="P429" s="43" t="str">
        <f aca="false">IF(OR($B429="",$H429=""),"",IF($N429="",EDATE($H429,DelaiPremierEPP),IF(AND(ReglesTransitoires="Oui",EDATE($N429,AnciennePeriodiciteEP*12)&lt;DateVigueur),EDATE($N429,AnciennePeriodiciteEP*12),EDATE($N429,PeriodiciteEPP*12))))</f>
        <v/>
      </c>
      <c r="Q429" s="40"/>
      <c r="R429" s="45" t="str">
        <f aca="false">IF(OR($P429="",AND($I429&lt;&gt;"",$I429&lt;=DateRef)),"",$P429-DateRef)</f>
        <v/>
      </c>
      <c r="S429" s="42" t="str">
        <f aca="false">IF($B429="","",IF(AND($I429&lt;&gt;"",$I429&lt;=DateRef),"Sorti",IF($H429="","À compléter",IF(AND($Q429&lt;&gt;"",$Q429&gt;=DateRef,$Q429&lt;=$P429),"Planifié",IF($R429&lt;0,"En retard",IF($R429&lt;=SeuilAlerteEPP,"À planifier","À jour"))))))</f>
        <v/>
      </c>
      <c r="T429" s="46" t="str">
        <f aca="false">IF(OR($B429="",$S429="Sorti"),"",MID(IF($H429=""," | Date d'embauche manquante","")&amp;IF(AND($K429="Plus d'un an",$N429="")," | Précédent entretien à renseigner (ancienneté &gt; 1 an)","")&amp;IF($O429="Retard antérieur à la réforme"," | Ancien délai de 2 ans expiré avant la réforme","")&amp;IF(AND($N429&lt;&gt;"",$H429&lt;&gt;"",$N429&lt;$H429)," | Entretien antérieur à l'embauche ?","")&amp;IF(AND($N429&lt;&gt;"",$N429&gt;DateRef)," | Entretien daté dans le futur ?","")&amp;IF(AND($Q429&lt;&gt;"",$P429&lt;&gt;"",$Q429&gt;$P429)," | Date prévue après l'échéance","")&amp;IF(AND($Q429&lt;&gt;"",$Q429&lt;DateRef,OR($N429="",$N429&lt;$Q429))," | Entretien prévu passé : le consigner au Journal","")&amp;IF(AND($G429&lt;&gt;"",$X429="",YEAR(DateRef)-YEAR($G429)&gt;=AgeMiCarriere-1,YEAR(DateRef)-YEAR($G429)&lt;=AgeMiCarriere+1)," | Visite de mi-carrière à vérifier",""),4,1000))</f>
        <v/>
      </c>
      <c r="U429" s="39"/>
      <c r="V429" s="40"/>
      <c r="W429" s="42" t="str">
        <f aca="false">IF(OR($B429="",$V429=""),"",IF(AND($I429&lt;&gt;"",$I429&lt;=DateRef),"",IF(AND($N429&lt;&gt;"",$N429&gt;=$V429),"Réalisé",IF(AND($N429&lt;&gt;"",$N429&gt;=EDATE($V429,-FenetreRetour)),"Dispensé (EPP récent)",IF($V429&gt;DateRef,"À prévoir à la reprise","À proposer (reprise passée)")))))</f>
        <v/>
      </c>
      <c r="X429" s="40"/>
      <c r="Y429" s="43" t="str">
        <f aca="false">IF(OR($B429="",$X429=""),"",EDATE($X429,DelaiMiCarriere))</f>
        <v/>
      </c>
      <c r="Z429" s="42" t="str">
        <f aca="false">IF(OR($B429="",$X429=""),"",IF(AND($I429&lt;&gt;"",$I429&lt;=DateRef),"",IF(AND($N429&lt;&gt;"",$N429&gt;=$X429),"Réalisé",IF($Y429&lt;DateRef,"En retard","À planifier"))))</f>
        <v/>
      </c>
      <c r="AA429" s="47" t="str">
        <f aca="false">IF(OR($B429="",$G429=""),"",IF($G429&gt;DateRef,"",DATEDIF($G429,DateRef,"y")))</f>
        <v/>
      </c>
      <c r="AB429" s="43" t="str">
        <f aca="false">IF(OR($B429="",$G429=""),"",EDATE($G429,AgeFinCarriere*12))</f>
        <v/>
      </c>
      <c r="AC429" s="42" t="str">
        <f aca="false">IF(OR($B429="",$G429="",$H429=""),"",IF(AND($I429&lt;&gt;"",$I429&lt;=DateRef),"",IF($AB429&lt;DateVigueur,"Non concerné",IF(AND($N429&lt;&gt;"",$N429&gt;=MAX(EDATE($AB429,-FenetreFinCarriere*12),DateVigueur),$N429&lt;=$AB429),"Réalisé",IF(DateRef&gt;$AB429,"Non réalisé",IF(AND($Q429&lt;&gt;"",$Q429&gt;=EDATE($AB429,-FenetreFinCarriere*12),$Q429&lt;=$AB429),"Planifié dans la fenêtre",IF(AND(MAX($P429,DateRef)&gt;=EDATE($AB429,-FenetreFinCarriere*12),MAX($P429,DateRef)&lt;=$AB429),"Prochain EPP dans la fenêtre",IF(MAX($P429,DateRef)&gt;$AB429,"À programmer avant 60 ans",""))))))))</f>
        <v/>
      </c>
      <c r="AD429" s="40"/>
      <c r="AE429" s="43" t="str">
        <f aca="false">IF(OR($B429="",$H429="",AND($I429&lt;&gt;"",$I429&lt;=DateRef)),"",MAX($H429,$AD429,IF($A429="",0,SUMPRODUCT(MAX((Journal!$A$6:$A$1005=$A429)*((Journal!$D$6:$D$1005=TypeEDL)+(Journal!$D$6:$D$1005=TypeBilan6))*Journal!$C$6:$C$1005)))))</f>
        <v/>
      </c>
      <c r="AF429" s="43" t="str">
        <f aca="false">IF($AE429="","",IF(AND(ReglesTransitoires="Oui",EDATE($AE429,AnciennePeriodiciteEDL*12)&lt;DateVigueur),EDATE($AE429,AnciennePeriodiciteEDL*12),EDATE($AE429,PeriodiciteEDL*12)))</f>
        <v/>
      </c>
      <c r="AG429" s="42" t="str">
        <f aca="false">IF($AF429="","",IF(AND($I429&lt;&gt;"",$I429&lt;=DateRef),"",IF($AF429&lt;DateRef,"En retard",IF($AF429-DateRef&lt;=SeuilAlerteEDL,"À prévoir","À jour"))))</f>
        <v/>
      </c>
      <c r="AH429" s="39"/>
      <c r="AI429" s="39"/>
      <c r="AJ429" s="42" t="str">
        <f aca="false">IF(OR($B429="",$H429=""),"",IF(AND($I429&lt;&gt;"",$I429&lt;=DateRef),"",IF(Effectif&lt;SeuilEffectif,"Non concerné (&lt; "&amp;SeuilEffectif&amp;" salariés)",IF($AH429="Oui","Pas de risque",IF(AND(OR($AI429="Non",$S429="En retard"),$AH429="Non"),"Risque abondement",IF(OR($AI429="Non",$S429="En retard"),"À vérifier (formation ?)",IF($AI429="Oui","Pas de risque","À compléter")))))))</f>
        <v/>
      </c>
      <c r="AK429" s="39"/>
    </row>
    <row r="430" customFormat="false" ht="15" hidden="false" customHeight="false" outlineLevel="0" collapsed="false">
      <c r="A430" s="39"/>
      <c r="B430" s="39"/>
      <c r="C430" s="39"/>
      <c r="D430" s="39"/>
      <c r="E430" s="39"/>
      <c r="F430" s="39"/>
      <c r="G430" s="40"/>
      <c r="H430" s="40"/>
      <c r="I430" s="40"/>
      <c r="J430" s="41" t="str">
        <f aca="false">IF(OR($B430="",$H430=""),"",IF($H430&gt;DateRef,0,YEARFRAC($H430,DateRef,1)))</f>
        <v/>
      </c>
      <c r="K430" s="42" t="str">
        <f aca="false">IF(OR($B430="",$H430=""),"",IF(EDATE($H430,12)&lt;=DateRef,"Plus d'un an","Moins d'un an"))</f>
        <v/>
      </c>
      <c r="L430" s="40"/>
      <c r="M430" s="43" t="str">
        <f aca="false">IF(OR($B430="",$A430=""),"",IF(SUMPRODUCT(MAX((Journal!$A$6:$A$1005=$A430)*Journal!$C$6:$C$1005))=0,"",SUMPRODUCT(MAX((Journal!$A$6:$A$1005=$A430)*Journal!$C$6:$C$1005))))</f>
        <v/>
      </c>
      <c r="N430" s="43" t="str">
        <f aca="false">IF($B430="","",IF(MAX($L430,$M430)=0,"",MAX($L430,$M430)))</f>
        <v/>
      </c>
      <c r="O430" s="44" t="str">
        <f aca="false">IF(OR($B430="",$H430=""),"",IF($N430="",IF(EDATE($H430,DelaiPremierEPP)&gt;DateRef,"1er EPP (1re année)","Aucun entretien renseigné"),IF(AND(ReglesTransitoires="Oui",EDATE($N430,AnciennePeriodiciteEP*12)&lt;DateVigueur),"Retard antérieur à la réforme","Périodicité "&amp;PeriodiciteEPP&amp;" ans")))</f>
        <v/>
      </c>
      <c r="P430" s="43" t="str">
        <f aca="false">IF(OR($B430="",$H430=""),"",IF($N430="",EDATE($H430,DelaiPremierEPP),IF(AND(ReglesTransitoires="Oui",EDATE($N430,AnciennePeriodiciteEP*12)&lt;DateVigueur),EDATE($N430,AnciennePeriodiciteEP*12),EDATE($N430,PeriodiciteEPP*12))))</f>
        <v/>
      </c>
      <c r="Q430" s="40"/>
      <c r="R430" s="45" t="str">
        <f aca="false">IF(OR($P430="",AND($I430&lt;&gt;"",$I430&lt;=DateRef)),"",$P430-DateRef)</f>
        <v/>
      </c>
      <c r="S430" s="42" t="str">
        <f aca="false">IF($B430="","",IF(AND($I430&lt;&gt;"",$I430&lt;=DateRef),"Sorti",IF($H430="","À compléter",IF(AND($Q430&lt;&gt;"",$Q430&gt;=DateRef,$Q430&lt;=$P430),"Planifié",IF($R430&lt;0,"En retard",IF($R430&lt;=SeuilAlerteEPP,"À planifier","À jour"))))))</f>
        <v/>
      </c>
      <c r="T430" s="46" t="str">
        <f aca="false">IF(OR($B430="",$S430="Sorti"),"",MID(IF($H430=""," | Date d'embauche manquante","")&amp;IF(AND($K430="Plus d'un an",$N430="")," | Précédent entretien à renseigner (ancienneté &gt; 1 an)","")&amp;IF($O430="Retard antérieur à la réforme"," | Ancien délai de 2 ans expiré avant la réforme","")&amp;IF(AND($N430&lt;&gt;"",$H430&lt;&gt;"",$N430&lt;$H430)," | Entretien antérieur à l'embauche ?","")&amp;IF(AND($N430&lt;&gt;"",$N430&gt;DateRef)," | Entretien daté dans le futur ?","")&amp;IF(AND($Q430&lt;&gt;"",$P430&lt;&gt;"",$Q430&gt;$P430)," | Date prévue après l'échéance","")&amp;IF(AND($Q430&lt;&gt;"",$Q430&lt;DateRef,OR($N430="",$N430&lt;$Q430))," | Entretien prévu passé : le consigner au Journal","")&amp;IF(AND($G430&lt;&gt;"",$X430="",YEAR(DateRef)-YEAR($G430)&gt;=AgeMiCarriere-1,YEAR(DateRef)-YEAR($G430)&lt;=AgeMiCarriere+1)," | Visite de mi-carrière à vérifier",""),4,1000))</f>
        <v/>
      </c>
      <c r="U430" s="39"/>
      <c r="V430" s="40"/>
      <c r="W430" s="42" t="str">
        <f aca="false">IF(OR($B430="",$V430=""),"",IF(AND($I430&lt;&gt;"",$I430&lt;=DateRef),"",IF(AND($N430&lt;&gt;"",$N430&gt;=$V430),"Réalisé",IF(AND($N430&lt;&gt;"",$N430&gt;=EDATE($V430,-FenetreRetour)),"Dispensé (EPP récent)",IF($V430&gt;DateRef,"À prévoir à la reprise","À proposer (reprise passée)")))))</f>
        <v/>
      </c>
      <c r="X430" s="40"/>
      <c r="Y430" s="43" t="str">
        <f aca="false">IF(OR($B430="",$X430=""),"",EDATE($X430,DelaiMiCarriere))</f>
        <v/>
      </c>
      <c r="Z430" s="42" t="str">
        <f aca="false">IF(OR($B430="",$X430=""),"",IF(AND($I430&lt;&gt;"",$I430&lt;=DateRef),"",IF(AND($N430&lt;&gt;"",$N430&gt;=$X430),"Réalisé",IF($Y430&lt;DateRef,"En retard","À planifier"))))</f>
        <v/>
      </c>
      <c r="AA430" s="47" t="str">
        <f aca="false">IF(OR($B430="",$G430=""),"",IF($G430&gt;DateRef,"",DATEDIF($G430,DateRef,"y")))</f>
        <v/>
      </c>
      <c r="AB430" s="43" t="str">
        <f aca="false">IF(OR($B430="",$G430=""),"",EDATE($G430,AgeFinCarriere*12))</f>
        <v/>
      </c>
      <c r="AC430" s="42" t="str">
        <f aca="false">IF(OR($B430="",$G430="",$H430=""),"",IF(AND($I430&lt;&gt;"",$I430&lt;=DateRef),"",IF($AB430&lt;DateVigueur,"Non concerné",IF(AND($N430&lt;&gt;"",$N430&gt;=MAX(EDATE($AB430,-FenetreFinCarriere*12),DateVigueur),$N430&lt;=$AB430),"Réalisé",IF(DateRef&gt;$AB430,"Non réalisé",IF(AND($Q430&lt;&gt;"",$Q430&gt;=EDATE($AB430,-FenetreFinCarriere*12),$Q430&lt;=$AB430),"Planifié dans la fenêtre",IF(AND(MAX($P430,DateRef)&gt;=EDATE($AB430,-FenetreFinCarriere*12),MAX($P430,DateRef)&lt;=$AB430),"Prochain EPP dans la fenêtre",IF(MAX($P430,DateRef)&gt;$AB430,"À programmer avant 60 ans",""))))))))</f>
        <v/>
      </c>
      <c r="AD430" s="40"/>
      <c r="AE430" s="43" t="str">
        <f aca="false">IF(OR($B430="",$H430="",AND($I430&lt;&gt;"",$I430&lt;=DateRef)),"",MAX($H430,$AD430,IF($A430="",0,SUMPRODUCT(MAX((Journal!$A$6:$A$1005=$A430)*((Journal!$D$6:$D$1005=TypeEDL)+(Journal!$D$6:$D$1005=TypeBilan6))*Journal!$C$6:$C$1005)))))</f>
        <v/>
      </c>
      <c r="AF430" s="43" t="str">
        <f aca="false">IF($AE430="","",IF(AND(ReglesTransitoires="Oui",EDATE($AE430,AnciennePeriodiciteEDL*12)&lt;DateVigueur),EDATE($AE430,AnciennePeriodiciteEDL*12),EDATE($AE430,PeriodiciteEDL*12)))</f>
        <v/>
      </c>
      <c r="AG430" s="42" t="str">
        <f aca="false">IF($AF430="","",IF(AND($I430&lt;&gt;"",$I430&lt;=DateRef),"",IF($AF430&lt;DateRef,"En retard",IF($AF430-DateRef&lt;=SeuilAlerteEDL,"À prévoir","À jour"))))</f>
        <v/>
      </c>
      <c r="AH430" s="39"/>
      <c r="AI430" s="39"/>
      <c r="AJ430" s="42" t="str">
        <f aca="false">IF(OR($B430="",$H430=""),"",IF(AND($I430&lt;&gt;"",$I430&lt;=DateRef),"",IF(Effectif&lt;SeuilEffectif,"Non concerné (&lt; "&amp;SeuilEffectif&amp;" salariés)",IF($AH430="Oui","Pas de risque",IF(AND(OR($AI430="Non",$S430="En retard"),$AH430="Non"),"Risque abondement",IF(OR($AI430="Non",$S430="En retard"),"À vérifier (formation ?)",IF($AI430="Oui","Pas de risque","À compléter")))))))</f>
        <v/>
      </c>
      <c r="AK430" s="39"/>
    </row>
    <row r="431" customFormat="false" ht="15" hidden="false" customHeight="false" outlineLevel="0" collapsed="false">
      <c r="A431" s="39"/>
      <c r="B431" s="39"/>
      <c r="C431" s="39"/>
      <c r="D431" s="39"/>
      <c r="E431" s="39"/>
      <c r="F431" s="39"/>
      <c r="G431" s="40"/>
      <c r="H431" s="40"/>
      <c r="I431" s="40"/>
      <c r="J431" s="41" t="str">
        <f aca="false">IF(OR($B431="",$H431=""),"",IF($H431&gt;DateRef,0,YEARFRAC($H431,DateRef,1)))</f>
        <v/>
      </c>
      <c r="K431" s="42" t="str">
        <f aca="false">IF(OR($B431="",$H431=""),"",IF(EDATE($H431,12)&lt;=DateRef,"Plus d'un an","Moins d'un an"))</f>
        <v/>
      </c>
      <c r="L431" s="40"/>
      <c r="M431" s="43" t="str">
        <f aca="false">IF(OR($B431="",$A431=""),"",IF(SUMPRODUCT(MAX((Journal!$A$6:$A$1005=$A431)*Journal!$C$6:$C$1005))=0,"",SUMPRODUCT(MAX((Journal!$A$6:$A$1005=$A431)*Journal!$C$6:$C$1005))))</f>
        <v/>
      </c>
      <c r="N431" s="43" t="str">
        <f aca="false">IF($B431="","",IF(MAX($L431,$M431)=0,"",MAX($L431,$M431)))</f>
        <v/>
      </c>
      <c r="O431" s="44" t="str">
        <f aca="false">IF(OR($B431="",$H431=""),"",IF($N431="",IF(EDATE($H431,DelaiPremierEPP)&gt;DateRef,"1er EPP (1re année)","Aucun entretien renseigné"),IF(AND(ReglesTransitoires="Oui",EDATE($N431,AnciennePeriodiciteEP*12)&lt;DateVigueur),"Retard antérieur à la réforme","Périodicité "&amp;PeriodiciteEPP&amp;" ans")))</f>
        <v/>
      </c>
      <c r="P431" s="43" t="str">
        <f aca="false">IF(OR($B431="",$H431=""),"",IF($N431="",EDATE($H431,DelaiPremierEPP),IF(AND(ReglesTransitoires="Oui",EDATE($N431,AnciennePeriodiciteEP*12)&lt;DateVigueur),EDATE($N431,AnciennePeriodiciteEP*12),EDATE($N431,PeriodiciteEPP*12))))</f>
        <v/>
      </c>
      <c r="Q431" s="40"/>
      <c r="R431" s="45" t="str">
        <f aca="false">IF(OR($P431="",AND($I431&lt;&gt;"",$I431&lt;=DateRef)),"",$P431-DateRef)</f>
        <v/>
      </c>
      <c r="S431" s="42" t="str">
        <f aca="false">IF($B431="","",IF(AND($I431&lt;&gt;"",$I431&lt;=DateRef),"Sorti",IF($H431="","À compléter",IF(AND($Q431&lt;&gt;"",$Q431&gt;=DateRef,$Q431&lt;=$P431),"Planifié",IF($R431&lt;0,"En retard",IF($R431&lt;=SeuilAlerteEPP,"À planifier","À jour"))))))</f>
        <v/>
      </c>
      <c r="T431" s="46" t="str">
        <f aca="false">IF(OR($B431="",$S431="Sorti"),"",MID(IF($H431=""," | Date d'embauche manquante","")&amp;IF(AND($K431="Plus d'un an",$N431="")," | Précédent entretien à renseigner (ancienneté &gt; 1 an)","")&amp;IF($O431="Retard antérieur à la réforme"," | Ancien délai de 2 ans expiré avant la réforme","")&amp;IF(AND($N431&lt;&gt;"",$H431&lt;&gt;"",$N431&lt;$H431)," | Entretien antérieur à l'embauche ?","")&amp;IF(AND($N431&lt;&gt;"",$N431&gt;DateRef)," | Entretien daté dans le futur ?","")&amp;IF(AND($Q431&lt;&gt;"",$P431&lt;&gt;"",$Q431&gt;$P431)," | Date prévue après l'échéance","")&amp;IF(AND($Q431&lt;&gt;"",$Q431&lt;DateRef,OR($N431="",$N431&lt;$Q431))," | Entretien prévu passé : le consigner au Journal","")&amp;IF(AND($G431&lt;&gt;"",$X431="",YEAR(DateRef)-YEAR($G431)&gt;=AgeMiCarriere-1,YEAR(DateRef)-YEAR($G431)&lt;=AgeMiCarriere+1)," | Visite de mi-carrière à vérifier",""),4,1000))</f>
        <v/>
      </c>
      <c r="U431" s="39"/>
      <c r="V431" s="40"/>
      <c r="W431" s="42" t="str">
        <f aca="false">IF(OR($B431="",$V431=""),"",IF(AND($I431&lt;&gt;"",$I431&lt;=DateRef),"",IF(AND($N431&lt;&gt;"",$N431&gt;=$V431),"Réalisé",IF(AND($N431&lt;&gt;"",$N431&gt;=EDATE($V431,-FenetreRetour)),"Dispensé (EPP récent)",IF($V431&gt;DateRef,"À prévoir à la reprise","À proposer (reprise passée)")))))</f>
        <v/>
      </c>
      <c r="X431" s="40"/>
      <c r="Y431" s="43" t="str">
        <f aca="false">IF(OR($B431="",$X431=""),"",EDATE($X431,DelaiMiCarriere))</f>
        <v/>
      </c>
      <c r="Z431" s="42" t="str">
        <f aca="false">IF(OR($B431="",$X431=""),"",IF(AND($I431&lt;&gt;"",$I431&lt;=DateRef),"",IF(AND($N431&lt;&gt;"",$N431&gt;=$X431),"Réalisé",IF($Y431&lt;DateRef,"En retard","À planifier"))))</f>
        <v/>
      </c>
      <c r="AA431" s="47" t="str">
        <f aca="false">IF(OR($B431="",$G431=""),"",IF($G431&gt;DateRef,"",DATEDIF($G431,DateRef,"y")))</f>
        <v/>
      </c>
      <c r="AB431" s="43" t="str">
        <f aca="false">IF(OR($B431="",$G431=""),"",EDATE($G431,AgeFinCarriere*12))</f>
        <v/>
      </c>
      <c r="AC431" s="42" t="str">
        <f aca="false">IF(OR($B431="",$G431="",$H431=""),"",IF(AND($I431&lt;&gt;"",$I431&lt;=DateRef),"",IF($AB431&lt;DateVigueur,"Non concerné",IF(AND($N431&lt;&gt;"",$N431&gt;=MAX(EDATE($AB431,-FenetreFinCarriere*12),DateVigueur),$N431&lt;=$AB431),"Réalisé",IF(DateRef&gt;$AB431,"Non réalisé",IF(AND($Q431&lt;&gt;"",$Q431&gt;=EDATE($AB431,-FenetreFinCarriere*12),$Q431&lt;=$AB431),"Planifié dans la fenêtre",IF(AND(MAX($P431,DateRef)&gt;=EDATE($AB431,-FenetreFinCarriere*12),MAX($P431,DateRef)&lt;=$AB431),"Prochain EPP dans la fenêtre",IF(MAX($P431,DateRef)&gt;$AB431,"À programmer avant 60 ans",""))))))))</f>
        <v/>
      </c>
      <c r="AD431" s="40"/>
      <c r="AE431" s="43" t="str">
        <f aca="false">IF(OR($B431="",$H431="",AND($I431&lt;&gt;"",$I431&lt;=DateRef)),"",MAX($H431,$AD431,IF($A431="",0,SUMPRODUCT(MAX((Journal!$A$6:$A$1005=$A431)*((Journal!$D$6:$D$1005=TypeEDL)+(Journal!$D$6:$D$1005=TypeBilan6))*Journal!$C$6:$C$1005)))))</f>
        <v/>
      </c>
      <c r="AF431" s="43" t="str">
        <f aca="false">IF($AE431="","",IF(AND(ReglesTransitoires="Oui",EDATE($AE431,AnciennePeriodiciteEDL*12)&lt;DateVigueur),EDATE($AE431,AnciennePeriodiciteEDL*12),EDATE($AE431,PeriodiciteEDL*12)))</f>
        <v/>
      </c>
      <c r="AG431" s="42" t="str">
        <f aca="false">IF($AF431="","",IF(AND($I431&lt;&gt;"",$I431&lt;=DateRef),"",IF($AF431&lt;DateRef,"En retard",IF($AF431-DateRef&lt;=SeuilAlerteEDL,"À prévoir","À jour"))))</f>
        <v/>
      </c>
      <c r="AH431" s="39"/>
      <c r="AI431" s="39"/>
      <c r="AJ431" s="42" t="str">
        <f aca="false">IF(OR($B431="",$H431=""),"",IF(AND($I431&lt;&gt;"",$I431&lt;=DateRef),"",IF(Effectif&lt;SeuilEffectif,"Non concerné (&lt; "&amp;SeuilEffectif&amp;" salariés)",IF($AH431="Oui","Pas de risque",IF(AND(OR($AI431="Non",$S431="En retard"),$AH431="Non"),"Risque abondement",IF(OR($AI431="Non",$S431="En retard"),"À vérifier (formation ?)",IF($AI431="Oui","Pas de risque","À compléter")))))))</f>
        <v/>
      </c>
      <c r="AK431" s="39"/>
    </row>
    <row r="432" customFormat="false" ht="15" hidden="false" customHeight="false" outlineLevel="0" collapsed="false">
      <c r="A432" s="39"/>
      <c r="B432" s="39"/>
      <c r="C432" s="39"/>
      <c r="D432" s="39"/>
      <c r="E432" s="39"/>
      <c r="F432" s="39"/>
      <c r="G432" s="40"/>
      <c r="H432" s="40"/>
      <c r="I432" s="40"/>
      <c r="J432" s="41" t="str">
        <f aca="false">IF(OR($B432="",$H432=""),"",IF($H432&gt;DateRef,0,YEARFRAC($H432,DateRef,1)))</f>
        <v/>
      </c>
      <c r="K432" s="42" t="str">
        <f aca="false">IF(OR($B432="",$H432=""),"",IF(EDATE($H432,12)&lt;=DateRef,"Plus d'un an","Moins d'un an"))</f>
        <v/>
      </c>
      <c r="L432" s="40"/>
      <c r="M432" s="43" t="str">
        <f aca="false">IF(OR($B432="",$A432=""),"",IF(SUMPRODUCT(MAX((Journal!$A$6:$A$1005=$A432)*Journal!$C$6:$C$1005))=0,"",SUMPRODUCT(MAX((Journal!$A$6:$A$1005=$A432)*Journal!$C$6:$C$1005))))</f>
        <v/>
      </c>
      <c r="N432" s="43" t="str">
        <f aca="false">IF($B432="","",IF(MAX($L432,$M432)=0,"",MAX($L432,$M432)))</f>
        <v/>
      </c>
      <c r="O432" s="44" t="str">
        <f aca="false">IF(OR($B432="",$H432=""),"",IF($N432="",IF(EDATE($H432,DelaiPremierEPP)&gt;DateRef,"1er EPP (1re année)","Aucun entretien renseigné"),IF(AND(ReglesTransitoires="Oui",EDATE($N432,AnciennePeriodiciteEP*12)&lt;DateVigueur),"Retard antérieur à la réforme","Périodicité "&amp;PeriodiciteEPP&amp;" ans")))</f>
        <v/>
      </c>
      <c r="P432" s="43" t="str">
        <f aca="false">IF(OR($B432="",$H432=""),"",IF($N432="",EDATE($H432,DelaiPremierEPP),IF(AND(ReglesTransitoires="Oui",EDATE($N432,AnciennePeriodiciteEP*12)&lt;DateVigueur),EDATE($N432,AnciennePeriodiciteEP*12),EDATE($N432,PeriodiciteEPP*12))))</f>
        <v/>
      </c>
      <c r="Q432" s="40"/>
      <c r="R432" s="45" t="str">
        <f aca="false">IF(OR($P432="",AND($I432&lt;&gt;"",$I432&lt;=DateRef)),"",$P432-DateRef)</f>
        <v/>
      </c>
      <c r="S432" s="42" t="str">
        <f aca="false">IF($B432="","",IF(AND($I432&lt;&gt;"",$I432&lt;=DateRef),"Sorti",IF($H432="","À compléter",IF(AND($Q432&lt;&gt;"",$Q432&gt;=DateRef,$Q432&lt;=$P432),"Planifié",IF($R432&lt;0,"En retard",IF($R432&lt;=SeuilAlerteEPP,"À planifier","À jour"))))))</f>
        <v/>
      </c>
      <c r="T432" s="46" t="str">
        <f aca="false">IF(OR($B432="",$S432="Sorti"),"",MID(IF($H432=""," | Date d'embauche manquante","")&amp;IF(AND($K432="Plus d'un an",$N432="")," | Précédent entretien à renseigner (ancienneté &gt; 1 an)","")&amp;IF($O432="Retard antérieur à la réforme"," | Ancien délai de 2 ans expiré avant la réforme","")&amp;IF(AND($N432&lt;&gt;"",$H432&lt;&gt;"",$N432&lt;$H432)," | Entretien antérieur à l'embauche ?","")&amp;IF(AND($N432&lt;&gt;"",$N432&gt;DateRef)," | Entretien daté dans le futur ?","")&amp;IF(AND($Q432&lt;&gt;"",$P432&lt;&gt;"",$Q432&gt;$P432)," | Date prévue après l'échéance","")&amp;IF(AND($Q432&lt;&gt;"",$Q432&lt;DateRef,OR($N432="",$N432&lt;$Q432))," | Entretien prévu passé : le consigner au Journal","")&amp;IF(AND($G432&lt;&gt;"",$X432="",YEAR(DateRef)-YEAR($G432)&gt;=AgeMiCarriere-1,YEAR(DateRef)-YEAR($G432)&lt;=AgeMiCarriere+1)," | Visite de mi-carrière à vérifier",""),4,1000))</f>
        <v/>
      </c>
      <c r="U432" s="39"/>
      <c r="V432" s="40"/>
      <c r="W432" s="42" t="str">
        <f aca="false">IF(OR($B432="",$V432=""),"",IF(AND($I432&lt;&gt;"",$I432&lt;=DateRef),"",IF(AND($N432&lt;&gt;"",$N432&gt;=$V432),"Réalisé",IF(AND($N432&lt;&gt;"",$N432&gt;=EDATE($V432,-FenetreRetour)),"Dispensé (EPP récent)",IF($V432&gt;DateRef,"À prévoir à la reprise","À proposer (reprise passée)")))))</f>
        <v/>
      </c>
      <c r="X432" s="40"/>
      <c r="Y432" s="43" t="str">
        <f aca="false">IF(OR($B432="",$X432=""),"",EDATE($X432,DelaiMiCarriere))</f>
        <v/>
      </c>
      <c r="Z432" s="42" t="str">
        <f aca="false">IF(OR($B432="",$X432=""),"",IF(AND($I432&lt;&gt;"",$I432&lt;=DateRef),"",IF(AND($N432&lt;&gt;"",$N432&gt;=$X432),"Réalisé",IF($Y432&lt;DateRef,"En retard","À planifier"))))</f>
        <v/>
      </c>
      <c r="AA432" s="47" t="str">
        <f aca="false">IF(OR($B432="",$G432=""),"",IF($G432&gt;DateRef,"",DATEDIF($G432,DateRef,"y")))</f>
        <v/>
      </c>
      <c r="AB432" s="43" t="str">
        <f aca="false">IF(OR($B432="",$G432=""),"",EDATE($G432,AgeFinCarriere*12))</f>
        <v/>
      </c>
      <c r="AC432" s="42" t="str">
        <f aca="false">IF(OR($B432="",$G432="",$H432=""),"",IF(AND($I432&lt;&gt;"",$I432&lt;=DateRef),"",IF($AB432&lt;DateVigueur,"Non concerné",IF(AND($N432&lt;&gt;"",$N432&gt;=MAX(EDATE($AB432,-FenetreFinCarriere*12),DateVigueur),$N432&lt;=$AB432),"Réalisé",IF(DateRef&gt;$AB432,"Non réalisé",IF(AND($Q432&lt;&gt;"",$Q432&gt;=EDATE($AB432,-FenetreFinCarriere*12),$Q432&lt;=$AB432),"Planifié dans la fenêtre",IF(AND(MAX($P432,DateRef)&gt;=EDATE($AB432,-FenetreFinCarriere*12),MAX($P432,DateRef)&lt;=$AB432),"Prochain EPP dans la fenêtre",IF(MAX($P432,DateRef)&gt;$AB432,"À programmer avant 60 ans",""))))))))</f>
        <v/>
      </c>
      <c r="AD432" s="40"/>
      <c r="AE432" s="43" t="str">
        <f aca="false">IF(OR($B432="",$H432="",AND($I432&lt;&gt;"",$I432&lt;=DateRef)),"",MAX($H432,$AD432,IF($A432="",0,SUMPRODUCT(MAX((Journal!$A$6:$A$1005=$A432)*((Journal!$D$6:$D$1005=TypeEDL)+(Journal!$D$6:$D$1005=TypeBilan6))*Journal!$C$6:$C$1005)))))</f>
        <v/>
      </c>
      <c r="AF432" s="43" t="str">
        <f aca="false">IF($AE432="","",IF(AND(ReglesTransitoires="Oui",EDATE($AE432,AnciennePeriodiciteEDL*12)&lt;DateVigueur),EDATE($AE432,AnciennePeriodiciteEDL*12),EDATE($AE432,PeriodiciteEDL*12)))</f>
        <v/>
      </c>
      <c r="AG432" s="42" t="str">
        <f aca="false">IF($AF432="","",IF(AND($I432&lt;&gt;"",$I432&lt;=DateRef),"",IF($AF432&lt;DateRef,"En retard",IF($AF432-DateRef&lt;=SeuilAlerteEDL,"À prévoir","À jour"))))</f>
        <v/>
      </c>
      <c r="AH432" s="39"/>
      <c r="AI432" s="39"/>
      <c r="AJ432" s="42" t="str">
        <f aca="false">IF(OR($B432="",$H432=""),"",IF(AND($I432&lt;&gt;"",$I432&lt;=DateRef),"",IF(Effectif&lt;SeuilEffectif,"Non concerné (&lt; "&amp;SeuilEffectif&amp;" salariés)",IF($AH432="Oui","Pas de risque",IF(AND(OR($AI432="Non",$S432="En retard"),$AH432="Non"),"Risque abondement",IF(OR($AI432="Non",$S432="En retard"),"À vérifier (formation ?)",IF($AI432="Oui","Pas de risque","À compléter")))))))</f>
        <v/>
      </c>
      <c r="AK432" s="39"/>
    </row>
    <row r="433" customFormat="false" ht="15" hidden="false" customHeight="false" outlineLevel="0" collapsed="false">
      <c r="A433" s="39"/>
      <c r="B433" s="39"/>
      <c r="C433" s="39"/>
      <c r="D433" s="39"/>
      <c r="E433" s="39"/>
      <c r="F433" s="39"/>
      <c r="G433" s="40"/>
      <c r="H433" s="40"/>
      <c r="I433" s="40"/>
      <c r="J433" s="41" t="str">
        <f aca="false">IF(OR($B433="",$H433=""),"",IF($H433&gt;DateRef,0,YEARFRAC($H433,DateRef,1)))</f>
        <v/>
      </c>
      <c r="K433" s="42" t="str">
        <f aca="false">IF(OR($B433="",$H433=""),"",IF(EDATE($H433,12)&lt;=DateRef,"Plus d'un an","Moins d'un an"))</f>
        <v/>
      </c>
      <c r="L433" s="40"/>
      <c r="M433" s="43" t="str">
        <f aca="false">IF(OR($B433="",$A433=""),"",IF(SUMPRODUCT(MAX((Journal!$A$6:$A$1005=$A433)*Journal!$C$6:$C$1005))=0,"",SUMPRODUCT(MAX((Journal!$A$6:$A$1005=$A433)*Journal!$C$6:$C$1005))))</f>
        <v/>
      </c>
      <c r="N433" s="43" t="str">
        <f aca="false">IF($B433="","",IF(MAX($L433,$M433)=0,"",MAX($L433,$M433)))</f>
        <v/>
      </c>
      <c r="O433" s="44" t="str">
        <f aca="false">IF(OR($B433="",$H433=""),"",IF($N433="",IF(EDATE($H433,DelaiPremierEPP)&gt;DateRef,"1er EPP (1re année)","Aucun entretien renseigné"),IF(AND(ReglesTransitoires="Oui",EDATE($N433,AnciennePeriodiciteEP*12)&lt;DateVigueur),"Retard antérieur à la réforme","Périodicité "&amp;PeriodiciteEPP&amp;" ans")))</f>
        <v/>
      </c>
      <c r="P433" s="43" t="str">
        <f aca="false">IF(OR($B433="",$H433=""),"",IF($N433="",EDATE($H433,DelaiPremierEPP),IF(AND(ReglesTransitoires="Oui",EDATE($N433,AnciennePeriodiciteEP*12)&lt;DateVigueur),EDATE($N433,AnciennePeriodiciteEP*12),EDATE($N433,PeriodiciteEPP*12))))</f>
        <v/>
      </c>
      <c r="Q433" s="40"/>
      <c r="R433" s="45" t="str">
        <f aca="false">IF(OR($P433="",AND($I433&lt;&gt;"",$I433&lt;=DateRef)),"",$P433-DateRef)</f>
        <v/>
      </c>
      <c r="S433" s="42" t="str">
        <f aca="false">IF($B433="","",IF(AND($I433&lt;&gt;"",$I433&lt;=DateRef),"Sorti",IF($H433="","À compléter",IF(AND($Q433&lt;&gt;"",$Q433&gt;=DateRef,$Q433&lt;=$P433),"Planifié",IF($R433&lt;0,"En retard",IF($R433&lt;=SeuilAlerteEPP,"À planifier","À jour"))))))</f>
        <v/>
      </c>
      <c r="T433" s="46" t="str">
        <f aca="false">IF(OR($B433="",$S433="Sorti"),"",MID(IF($H433=""," | Date d'embauche manquante","")&amp;IF(AND($K433="Plus d'un an",$N433="")," | Précédent entretien à renseigner (ancienneté &gt; 1 an)","")&amp;IF($O433="Retard antérieur à la réforme"," | Ancien délai de 2 ans expiré avant la réforme","")&amp;IF(AND($N433&lt;&gt;"",$H433&lt;&gt;"",$N433&lt;$H433)," | Entretien antérieur à l'embauche ?","")&amp;IF(AND($N433&lt;&gt;"",$N433&gt;DateRef)," | Entretien daté dans le futur ?","")&amp;IF(AND($Q433&lt;&gt;"",$P433&lt;&gt;"",$Q433&gt;$P433)," | Date prévue après l'échéance","")&amp;IF(AND($Q433&lt;&gt;"",$Q433&lt;DateRef,OR($N433="",$N433&lt;$Q433))," | Entretien prévu passé : le consigner au Journal","")&amp;IF(AND($G433&lt;&gt;"",$X433="",YEAR(DateRef)-YEAR($G433)&gt;=AgeMiCarriere-1,YEAR(DateRef)-YEAR($G433)&lt;=AgeMiCarriere+1)," | Visite de mi-carrière à vérifier",""),4,1000))</f>
        <v/>
      </c>
      <c r="U433" s="39"/>
      <c r="V433" s="40"/>
      <c r="W433" s="42" t="str">
        <f aca="false">IF(OR($B433="",$V433=""),"",IF(AND($I433&lt;&gt;"",$I433&lt;=DateRef),"",IF(AND($N433&lt;&gt;"",$N433&gt;=$V433),"Réalisé",IF(AND($N433&lt;&gt;"",$N433&gt;=EDATE($V433,-FenetreRetour)),"Dispensé (EPP récent)",IF($V433&gt;DateRef,"À prévoir à la reprise","À proposer (reprise passée)")))))</f>
        <v/>
      </c>
      <c r="X433" s="40"/>
      <c r="Y433" s="43" t="str">
        <f aca="false">IF(OR($B433="",$X433=""),"",EDATE($X433,DelaiMiCarriere))</f>
        <v/>
      </c>
      <c r="Z433" s="42" t="str">
        <f aca="false">IF(OR($B433="",$X433=""),"",IF(AND($I433&lt;&gt;"",$I433&lt;=DateRef),"",IF(AND($N433&lt;&gt;"",$N433&gt;=$X433),"Réalisé",IF($Y433&lt;DateRef,"En retard","À planifier"))))</f>
        <v/>
      </c>
      <c r="AA433" s="47" t="str">
        <f aca="false">IF(OR($B433="",$G433=""),"",IF($G433&gt;DateRef,"",DATEDIF($G433,DateRef,"y")))</f>
        <v/>
      </c>
      <c r="AB433" s="43" t="str">
        <f aca="false">IF(OR($B433="",$G433=""),"",EDATE($G433,AgeFinCarriere*12))</f>
        <v/>
      </c>
      <c r="AC433" s="42" t="str">
        <f aca="false">IF(OR($B433="",$G433="",$H433=""),"",IF(AND($I433&lt;&gt;"",$I433&lt;=DateRef),"",IF($AB433&lt;DateVigueur,"Non concerné",IF(AND($N433&lt;&gt;"",$N433&gt;=MAX(EDATE($AB433,-FenetreFinCarriere*12),DateVigueur),$N433&lt;=$AB433),"Réalisé",IF(DateRef&gt;$AB433,"Non réalisé",IF(AND($Q433&lt;&gt;"",$Q433&gt;=EDATE($AB433,-FenetreFinCarriere*12),$Q433&lt;=$AB433),"Planifié dans la fenêtre",IF(AND(MAX($P433,DateRef)&gt;=EDATE($AB433,-FenetreFinCarriere*12),MAX($P433,DateRef)&lt;=$AB433),"Prochain EPP dans la fenêtre",IF(MAX($P433,DateRef)&gt;$AB433,"À programmer avant 60 ans",""))))))))</f>
        <v/>
      </c>
      <c r="AD433" s="40"/>
      <c r="AE433" s="43" t="str">
        <f aca="false">IF(OR($B433="",$H433="",AND($I433&lt;&gt;"",$I433&lt;=DateRef)),"",MAX($H433,$AD433,IF($A433="",0,SUMPRODUCT(MAX((Journal!$A$6:$A$1005=$A433)*((Journal!$D$6:$D$1005=TypeEDL)+(Journal!$D$6:$D$1005=TypeBilan6))*Journal!$C$6:$C$1005)))))</f>
        <v/>
      </c>
      <c r="AF433" s="43" t="str">
        <f aca="false">IF($AE433="","",IF(AND(ReglesTransitoires="Oui",EDATE($AE433,AnciennePeriodiciteEDL*12)&lt;DateVigueur),EDATE($AE433,AnciennePeriodiciteEDL*12),EDATE($AE433,PeriodiciteEDL*12)))</f>
        <v/>
      </c>
      <c r="AG433" s="42" t="str">
        <f aca="false">IF($AF433="","",IF(AND($I433&lt;&gt;"",$I433&lt;=DateRef),"",IF($AF433&lt;DateRef,"En retard",IF($AF433-DateRef&lt;=SeuilAlerteEDL,"À prévoir","À jour"))))</f>
        <v/>
      </c>
      <c r="AH433" s="39"/>
      <c r="AI433" s="39"/>
      <c r="AJ433" s="42" t="str">
        <f aca="false">IF(OR($B433="",$H433=""),"",IF(AND($I433&lt;&gt;"",$I433&lt;=DateRef),"",IF(Effectif&lt;SeuilEffectif,"Non concerné (&lt; "&amp;SeuilEffectif&amp;" salariés)",IF($AH433="Oui","Pas de risque",IF(AND(OR($AI433="Non",$S433="En retard"),$AH433="Non"),"Risque abondement",IF(OR($AI433="Non",$S433="En retard"),"À vérifier (formation ?)",IF($AI433="Oui","Pas de risque","À compléter")))))))</f>
        <v/>
      </c>
      <c r="AK433" s="39"/>
    </row>
    <row r="434" customFormat="false" ht="15" hidden="false" customHeight="false" outlineLevel="0" collapsed="false">
      <c r="A434" s="39"/>
      <c r="B434" s="39"/>
      <c r="C434" s="39"/>
      <c r="D434" s="39"/>
      <c r="E434" s="39"/>
      <c r="F434" s="39"/>
      <c r="G434" s="40"/>
      <c r="H434" s="40"/>
      <c r="I434" s="40"/>
      <c r="J434" s="41" t="str">
        <f aca="false">IF(OR($B434="",$H434=""),"",IF($H434&gt;DateRef,0,YEARFRAC($H434,DateRef,1)))</f>
        <v/>
      </c>
      <c r="K434" s="42" t="str">
        <f aca="false">IF(OR($B434="",$H434=""),"",IF(EDATE($H434,12)&lt;=DateRef,"Plus d'un an","Moins d'un an"))</f>
        <v/>
      </c>
      <c r="L434" s="40"/>
      <c r="M434" s="43" t="str">
        <f aca="false">IF(OR($B434="",$A434=""),"",IF(SUMPRODUCT(MAX((Journal!$A$6:$A$1005=$A434)*Journal!$C$6:$C$1005))=0,"",SUMPRODUCT(MAX((Journal!$A$6:$A$1005=$A434)*Journal!$C$6:$C$1005))))</f>
        <v/>
      </c>
      <c r="N434" s="43" t="str">
        <f aca="false">IF($B434="","",IF(MAX($L434,$M434)=0,"",MAX($L434,$M434)))</f>
        <v/>
      </c>
      <c r="O434" s="44" t="str">
        <f aca="false">IF(OR($B434="",$H434=""),"",IF($N434="",IF(EDATE($H434,DelaiPremierEPP)&gt;DateRef,"1er EPP (1re année)","Aucun entretien renseigné"),IF(AND(ReglesTransitoires="Oui",EDATE($N434,AnciennePeriodiciteEP*12)&lt;DateVigueur),"Retard antérieur à la réforme","Périodicité "&amp;PeriodiciteEPP&amp;" ans")))</f>
        <v/>
      </c>
      <c r="P434" s="43" t="str">
        <f aca="false">IF(OR($B434="",$H434=""),"",IF($N434="",EDATE($H434,DelaiPremierEPP),IF(AND(ReglesTransitoires="Oui",EDATE($N434,AnciennePeriodiciteEP*12)&lt;DateVigueur),EDATE($N434,AnciennePeriodiciteEP*12),EDATE($N434,PeriodiciteEPP*12))))</f>
        <v/>
      </c>
      <c r="Q434" s="40"/>
      <c r="R434" s="45" t="str">
        <f aca="false">IF(OR($P434="",AND($I434&lt;&gt;"",$I434&lt;=DateRef)),"",$P434-DateRef)</f>
        <v/>
      </c>
      <c r="S434" s="42" t="str">
        <f aca="false">IF($B434="","",IF(AND($I434&lt;&gt;"",$I434&lt;=DateRef),"Sorti",IF($H434="","À compléter",IF(AND($Q434&lt;&gt;"",$Q434&gt;=DateRef,$Q434&lt;=$P434),"Planifié",IF($R434&lt;0,"En retard",IF($R434&lt;=SeuilAlerteEPP,"À planifier","À jour"))))))</f>
        <v/>
      </c>
      <c r="T434" s="46" t="str">
        <f aca="false">IF(OR($B434="",$S434="Sorti"),"",MID(IF($H434=""," | Date d'embauche manquante","")&amp;IF(AND($K434="Plus d'un an",$N434="")," | Précédent entretien à renseigner (ancienneté &gt; 1 an)","")&amp;IF($O434="Retard antérieur à la réforme"," | Ancien délai de 2 ans expiré avant la réforme","")&amp;IF(AND($N434&lt;&gt;"",$H434&lt;&gt;"",$N434&lt;$H434)," | Entretien antérieur à l'embauche ?","")&amp;IF(AND($N434&lt;&gt;"",$N434&gt;DateRef)," | Entretien daté dans le futur ?","")&amp;IF(AND($Q434&lt;&gt;"",$P434&lt;&gt;"",$Q434&gt;$P434)," | Date prévue après l'échéance","")&amp;IF(AND($Q434&lt;&gt;"",$Q434&lt;DateRef,OR($N434="",$N434&lt;$Q434))," | Entretien prévu passé : le consigner au Journal","")&amp;IF(AND($G434&lt;&gt;"",$X434="",YEAR(DateRef)-YEAR($G434)&gt;=AgeMiCarriere-1,YEAR(DateRef)-YEAR($G434)&lt;=AgeMiCarriere+1)," | Visite de mi-carrière à vérifier",""),4,1000))</f>
        <v/>
      </c>
      <c r="U434" s="39"/>
      <c r="V434" s="40"/>
      <c r="W434" s="42" t="str">
        <f aca="false">IF(OR($B434="",$V434=""),"",IF(AND($I434&lt;&gt;"",$I434&lt;=DateRef),"",IF(AND($N434&lt;&gt;"",$N434&gt;=$V434),"Réalisé",IF(AND($N434&lt;&gt;"",$N434&gt;=EDATE($V434,-FenetreRetour)),"Dispensé (EPP récent)",IF($V434&gt;DateRef,"À prévoir à la reprise","À proposer (reprise passée)")))))</f>
        <v/>
      </c>
      <c r="X434" s="40"/>
      <c r="Y434" s="43" t="str">
        <f aca="false">IF(OR($B434="",$X434=""),"",EDATE($X434,DelaiMiCarriere))</f>
        <v/>
      </c>
      <c r="Z434" s="42" t="str">
        <f aca="false">IF(OR($B434="",$X434=""),"",IF(AND($I434&lt;&gt;"",$I434&lt;=DateRef),"",IF(AND($N434&lt;&gt;"",$N434&gt;=$X434),"Réalisé",IF($Y434&lt;DateRef,"En retard","À planifier"))))</f>
        <v/>
      </c>
      <c r="AA434" s="47" t="str">
        <f aca="false">IF(OR($B434="",$G434=""),"",IF($G434&gt;DateRef,"",DATEDIF($G434,DateRef,"y")))</f>
        <v/>
      </c>
      <c r="AB434" s="43" t="str">
        <f aca="false">IF(OR($B434="",$G434=""),"",EDATE($G434,AgeFinCarriere*12))</f>
        <v/>
      </c>
      <c r="AC434" s="42" t="str">
        <f aca="false">IF(OR($B434="",$G434="",$H434=""),"",IF(AND($I434&lt;&gt;"",$I434&lt;=DateRef),"",IF($AB434&lt;DateVigueur,"Non concerné",IF(AND($N434&lt;&gt;"",$N434&gt;=MAX(EDATE($AB434,-FenetreFinCarriere*12),DateVigueur),$N434&lt;=$AB434),"Réalisé",IF(DateRef&gt;$AB434,"Non réalisé",IF(AND($Q434&lt;&gt;"",$Q434&gt;=EDATE($AB434,-FenetreFinCarriere*12),$Q434&lt;=$AB434),"Planifié dans la fenêtre",IF(AND(MAX($P434,DateRef)&gt;=EDATE($AB434,-FenetreFinCarriere*12),MAX($P434,DateRef)&lt;=$AB434),"Prochain EPP dans la fenêtre",IF(MAX($P434,DateRef)&gt;$AB434,"À programmer avant 60 ans",""))))))))</f>
        <v/>
      </c>
      <c r="AD434" s="40"/>
      <c r="AE434" s="43" t="str">
        <f aca="false">IF(OR($B434="",$H434="",AND($I434&lt;&gt;"",$I434&lt;=DateRef)),"",MAX($H434,$AD434,IF($A434="",0,SUMPRODUCT(MAX((Journal!$A$6:$A$1005=$A434)*((Journal!$D$6:$D$1005=TypeEDL)+(Journal!$D$6:$D$1005=TypeBilan6))*Journal!$C$6:$C$1005)))))</f>
        <v/>
      </c>
      <c r="AF434" s="43" t="str">
        <f aca="false">IF($AE434="","",IF(AND(ReglesTransitoires="Oui",EDATE($AE434,AnciennePeriodiciteEDL*12)&lt;DateVigueur),EDATE($AE434,AnciennePeriodiciteEDL*12),EDATE($AE434,PeriodiciteEDL*12)))</f>
        <v/>
      </c>
      <c r="AG434" s="42" t="str">
        <f aca="false">IF($AF434="","",IF(AND($I434&lt;&gt;"",$I434&lt;=DateRef),"",IF($AF434&lt;DateRef,"En retard",IF($AF434-DateRef&lt;=SeuilAlerteEDL,"À prévoir","À jour"))))</f>
        <v/>
      </c>
      <c r="AH434" s="39"/>
      <c r="AI434" s="39"/>
      <c r="AJ434" s="42" t="str">
        <f aca="false">IF(OR($B434="",$H434=""),"",IF(AND($I434&lt;&gt;"",$I434&lt;=DateRef),"",IF(Effectif&lt;SeuilEffectif,"Non concerné (&lt; "&amp;SeuilEffectif&amp;" salariés)",IF($AH434="Oui","Pas de risque",IF(AND(OR($AI434="Non",$S434="En retard"),$AH434="Non"),"Risque abondement",IF(OR($AI434="Non",$S434="En retard"),"À vérifier (formation ?)",IF($AI434="Oui","Pas de risque","À compléter")))))))</f>
        <v/>
      </c>
      <c r="AK434" s="39"/>
    </row>
    <row r="435" customFormat="false" ht="15" hidden="false" customHeight="false" outlineLevel="0" collapsed="false">
      <c r="A435" s="39"/>
      <c r="B435" s="39"/>
      <c r="C435" s="39"/>
      <c r="D435" s="39"/>
      <c r="E435" s="39"/>
      <c r="F435" s="39"/>
      <c r="G435" s="40"/>
      <c r="H435" s="40"/>
      <c r="I435" s="40"/>
      <c r="J435" s="41" t="str">
        <f aca="false">IF(OR($B435="",$H435=""),"",IF($H435&gt;DateRef,0,YEARFRAC($H435,DateRef,1)))</f>
        <v/>
      </c>
      <c r="K435" s="42" t="str">
        <f aca="false">IF(OR($B435="",$H435=""),"",IF(EDATE($H435,12)&lt;=DateRef,"Plus d'un an","Moins d'un an"))</f>
        <v/>
      </c>
      <c r="L435" s="40"/>
      <c r="M435" s="43" t="str">
        <f aca="false">IF(OR($B435="",$A435=""),"",IF(SUMPRODUCT(MAX((Journal!$A$6:$A$1005=$A435)*Journal!$C$6:$C$1005))=0,"",SUMPRODUCT(MAX((Journal!$A$6:$A$1005=$A435)*Journal!$C$6:$C$1005))))</f>
        <v/>
      </c>
      <c r="N435" s="43" t="str">
        <f aca="false">IF($B435="","",IF(MAX($L435,$M435)=0,"",MAX($L435,$M435)))</f>
        <v/>
      </c>
      <c r="O435" s="44" t="str">
        <f aca="false">IF(OR($B435="",$H435=""),"",IF($N435="",IF(EDATE($H435,DelaiPremierEPP)&gt;DateRef,"1er EPP (1re année)","Aucun entretien renseigné"),IF(AND(ReglesTransitoires="Oui",EDATE($N435,AnciennePeriodiciteEP*12)&lt;DateVigueur),"Retard antérieur à la réforme","Périodicité "&amp;PeriodiciteEPP&amp;" ans")))</f>
        <v/>
      </c>
      <c r="P435" s="43" t="str">
        <f aca="false">IF(OR($B435="",$H435=""),"",IF($N435="",EDATE($H435,DelaiPremierEPP),IF(AND(ReglesTransitoires="Oui",EDATE($N435,AnciennePeriodiciteEP*12)&lt;DateVigueur),EDATE($N435,AnciennePeriodiciteEP*12),EDATE($N435,PeriodiciteEPP*12))))</f>
        <v/>
      </c>
      <c r="Q435" s="40"/>
      <c r="R435" s="45" t="str">
        <f aca="false">IF(OR($P435="",AND($I435&lt;&gt;"",$I435&lt;=DateRef)),"",$P435-DateRef)</f>
        <v/>
      </c>
      <c r="S435" s="42" t="str">
        <f aca="false">IF($B435="","",IF(AND($I435&lt;&gt;"",$I435&lt;=DateRef),"Sorti",IF($H435="","À compléter",IF(AND($Q435&lt;&gt;"",$Q435&gt;=DateRef,$Q435&lt;=$P435),"Planifié",IF($R435&lt;0,"En retard",IF($R435&lt;=SeuilAlerteEPP,"À planifier","À jour"))))))</f>
        <v/>
      </c>
      <c r="T435" s="46" t="str">
        <f aca="false">IF(OR($B435="",$S435="Sorti"),"",MID(IF($H435=""," | Date d'embauche manquante","")&amp;IF(AND($K435="Plus d'un an",$N435="")," | Précédent entretien à renseigner (ancienneté &gt; 1 an)","")&amp;IF($O435="Retard antérieur à la réforme"," | Ancien délai de 2 ans expiré avant la réforme","")&amp;IF(AND($N435&lt;&gt;"",$H435&lt;&gt;"",$N435&lt;$H435)," | Entretien antérieur à l'embauche ?","")&amp;IF(AND($N435&lt;&gt;"",$N435&gt;DateRef)," | Entretien daté dans le futur ?","")&amp;IF(AND($Q435&lt;&gt;"",$P435&lt;&gt;"",$Q435&gt;$P435)," | Date prévue après l'échéance","")&amp;IF(AND($Q435&lt;&gt;"",$Q435&lt;DateRef,OR($N435="",$N435&lt;$Q435))," | Entretien prévu passé : le consigner au Journal","")&amp;IF(AND($G435&lt;&gt;"",$X435="",YEAR(DateRef)-YEAR($G435)&gt;=AgeMiCarriere-1,YEAR(DateRef)-YEAR($G435)&lt;=AgeMiCarriere+1)," | Visite de mi-carrière à vérifier",""),4,1000))</f>
        <v/>
      </c>
      <c r="U435" s="39"/>
      <c r="V435" s="40"/>
      <c r="W435" s="42" t="str">
        <f aca="false">IF(OR($B435="",$V435=""),"",IF(AND($I435&lt;&gt;"",$I435&lt;=DateRef),"",IF(AND($N435&lt;&gt;"",$N435&gt;=$V435),"Réalisé",IF(AND($N435&lt;&gt;"",$N435&gt;=EDATE($V435,-FenetreRetour)),"Dispensé (EPP récent)",IF($V435&gt;DateRef,"À prévoir à la reprise","À proposer (reprise passée)")))))</f>
        <v/>
      </c>
      <c r="X435" s="40"/>
      <c r="Y435" s="43" t="str">
        <f aca="false">IF(OR($B435="",$X435=""),"",EDATE($X435,DelaiMiCarriere))</f>
        <v/>
      </c>
      <c r="Z435" s="42" t="str">
        <f aca="false">IF(OR($B435="",$X435=""),"",IF(AND($I435&lt;&gt;"",$I435&lt;=DateRef),"",IF(AND($N435&lt;&gt;"",$N435&gt;=$X435),"Réalisé",IF($Y435&lt;DateRef,"En retard","À planifier"))))</f>
        <v/>
      </c>
      <c r="AA435" s="47" t="str">
        <f aca="false">IF(OR($B435="",$G435=""),"",IF($G435&gt;DateRef,"",DATEDIF($G435,DateRef,"y")))</f>
        <v/>
      </c>
      <c r="AB435" s="43" t="str">
        <f aca="false">IF(OR($B435="",$G435=""),"",EDATE($G435,AgeFinCarriere*12))</f>
        <v/>
      </c>
      <c r="AC435" s="42" t="str">
        <f aca="false">IF(OR($B435="",$G435="",$H435=""),"",IF(AND($I435&lt;&gt;"",$I435&lt;=DateRef),"",IF($AB435&lt;DateVigueur,"Non concerné",IF(AND($N435&lt;&gt;"",$N435&gt;=MAX(EDATE($AB435,-FenetreFinCarriere*12),DateVigueur),$N435&lt;=$AB435),"Réalisé",IF(DateRef&gt;$AB435,"Non réalisé",IF(AND($Q435&lt;&gt;"",$Q435&gt;=EDATE($AB435,-FenetreFinCarriere*12),$Q435&lt;=$AB435),"Planifié dans la fenêtre",IF(AND(MAX($P435,DateRef)&gt;=EDATE($AB435,-FenetreFinCarriere*12),MAX($P435,DateRef)&lt;=$AB435),"Prochain EPP dans la fenêtre",IF(MAX($P435,DateRef)&gt;$AB435,"À programmer avant 60 ans",""))))))))</f>
        <v/>
      </c>
      <c r="AD435" s="40"/>
      <c r="AE435" s="43" t="str">
        <f aca="false">IF(OR($B435="",$H435="",AND($I435&lt;&gt;"",$I435&lt;=DateRef)),"",MAX($H435,$AD435,IF($A435="",0,SUMPRODUCT(MAX((Journal!$A$6:$A$1005=$A435)*((Journal!$D$6:$D$1005=TypeEDL)+(Journal!$D$6:$D$1005=TypeBilan6))*Journal!$C$6:$C$1005)))))</f>
        <v/>
      </c>
      <c r="AF435" s="43" t="str">
        <f aca="false">IF($AE435="","",IF(AND(ReglesTransitoires="Oui",EDATE($AE435,AnciennePeriodiciteEDL*12)&lt;DateVigueur),EDATE($AE435,AnciennePeriodiciteEDL*12),EDATE($AE435,PeriodiciteEDL*12)))</f>
        <v/>
      </c>
      <c r="AG435" s="42" t="str">
        <f aca="false">IF($AF435="","",IF(AND($I435&lt;&gt;"",$I435&lt;=DateRef),"",IF($AF435&lt;DateRef,"En retard",IF($AF435-DateRef&lt;=SeuilAlerteEDL,"À prévoir","À jour"))))</f>
        <v/>
      </c>
      <c r="AH435" s="39"/>
      <c r="AI435" s="39"/>
      <c r="AJ435" s="42" t="str">
        <f aca="false">IF(OR($B435="",$H435=""),"",IF(AND($I435&lt;&gt;"",$I435&lt;=DateRef),"",IF(Effectif&lt;SeuilEffectif,"Non concerné (&lt; "&amp;SeuilEffectif&amp;" salariés)",IF($AH435="Oui","Pas de risque",IF(AND(OR($AI435="Non",$S435="En retard"),$AH435="Non"),"Risque abondement",IF(OR($AI435="Non",$S435="En retard"),"À vérifier (formation ?)",IF($AI435="Oui","Pas de risque","À compléter")))))))</f>
        <v/>
      </c>
      <c r="AK435" s="39"/>
    </row>
    <row r="436" customFormat="false" ht="15" hidden="false" customHeight="false" outlineLevel="0" collapsed="false">
      <c r="A436" s="39"/>
      <c r="B436" s="39"/>
      <c r="C436" s="39"/>
      <c r="D436" s="39"/>
      <c r="E436" s="39"/>
      <c r="F436" s="39"/>
      <c r="G436" s="40"/>
      <c r="H436" s="40"/>
      <c r="I436" s="40"/>
      <c r="J436" s="41" t="str">
        <f aca="false">IF(OR($B436="",$H436=""),"",IF($H436&gt;DateRef,0,YEARFRAC($H436,DateRef,1)))</f>
        <v/>
      </c>
      <c r="K436" s="42" t="str">
        <f aca="false">IF(OR($B436="",$H436=""),"",IF(EDATE($H436,12)&lt;=DateRef,"Plus d'un an","Moins d'un an"))</f>
        <v/>
      </c>
      <c r="L436" s="40"/>
      <c r="M436" s="43" t="str">
        <f aca="false">IF(OR($B436="",$A436=""),"",IF(SUMPRODUCT(MAX((Journal!$A$6:$A$1005=$A436)*Journal!$C$6:$C$1005))=0,"",SUMPRODUCT(MAX((Journal!$A$6:$A$1005=$A436)*Journal!$C$6:$C$1005))))</f>
        <v/>
      </c>
      <c r="N436" s="43" t="str">
        <f aca="false">IF($B436="","",IF(MAX($L436,$M436)=0,"",MAX($L436,$M436)))</f>
        <v/>
      </c>
      <c r="O436" s="44" t="str">
        <f aca="false">IF(OR($B436="",$H436=""),"",IF($N436="",IF(EDATE($H436,DelaiPremierEPP)&gt;DateRef,"1er EPP (1re année)","Aucun entretien renseigné"),IF(AND(ReglesTransitoires="Oui",EDATE($N436,AnciennePeriodiciteEP*12)&lt;DateVigueur),"Retard antérieur à la réforme","Périodicité "&amp;PeriodiciteEPP&amp;" ans")))</f>
        <v/>
      </c>
      <c r="P436" s="43" t="str">
        <f aca="false">IF(OR($B436="",$H436=""),"",IF($N436="",EDATE($H436,DelaiPremierEPP),IF(AND(ReglesTransitoires="Oui",EDATE($N436,AnciennePeriodiciteEP*12)&lt;DateVigueur),EDATE($N436,AnciennePeriodiciteEP*12),EDATE($N436,PeriodiciteEPP*12))))</f>
        <v/>
      </c>
      <c r="Q436" s="40"/>
      <c r="R436" s="45" t="str">
        <f aca="false">IF(OR($P436="",AND($I436&lt;&gt;"",$I436&lt;=DateRef)),"",$P436-DateRef)</f>
        <v/>
      </c>
      <c r="S436" s="42" t="str">
        <f aca="false">IF($B436="","",IF(AND($I436&lt;&gt;"",$I436&lt;=DateRef),"Sorti",IF($H436="","À compléter",IF(AND($Q436&lt;&gt;"",$Q436&gt;=DateRef,$Q436&lt;=$P436),"Planifié",IF($R436&lt;0,"En retard",IF($R436&lt;=SeuilAlerteEPP,"À planifier","À jour"))))))</f>
        <v/>
      </c>
      <c r="T436" s="46" t="str">
        <f aca="false">IF(OR($B436="",$S436="Sorti"),"",MID(IF($H436=""," | Date d'embauche manquante","")&amp;IF(AND($K436="Plus d'un an",$N436="")," | Précédent entretien à renseigner (ancienneté &gt; 1 an)","")&amp;IF($O436="Retard antérieur à la réforme"," | Ancien délai de 2 ans expiré avant la réforme","")&amp;IF(AND($N436&lt;&gt;"",$H436&lt;&gt;"",$N436&lt;$H436)," | Entretien antérieur à l'embauche ?","")&amp;IF(AND($N436&lt;&gt;"",$N436&gt;DateRef)," | Entretien daté dans le futur ?","")&amp;IF(AND($Q436&lt;&gt;"",$P436&lt;&gt;"",$Q436&gt;$P436)," | Date prévue après l'échéance","")&amp;IF(AND($Q436&lt;&gt;"",$Q436&lt;DateRef,OR($N436="",$N436&lt;$Q436))," | Entretien prévu passé : le consigner au Journal","")&amp;IF(AND($G436&lt;&gt;"",$X436="",YEAR(DateRef)-YEAR($G436)&gt;=AgeMiCarriere-1,YEAR(DateRef)-YEAR($G436)&lt;=AgeMiCarriere+1)," | Visite de mi-carrière à vérifier",""),4,1000))</f>
        <v/>
      </c>
      <c r="U436" s="39"/>
      <c r="V436" s="40"/>
      <c r="W436" s="42" t="str">
        <f aca="false">IF(OR($B436="",$V436=""),"",IF(AND($I436&lt;&gt;"",$I436&lt;=DateRef),"",IF(AND($N436&lt;&gt;"",$N436&gt;=$V436),"Réalisé",IF(AND($N436&lt;&gt;"",$N436&gt;=EDATE($V436,-FenetreRetour)),"Dispensé (EPP récent)",IF($V436&gt;DateRef,"À prévoir à la reprise","À proposer (reprise passée)")))))</f>
        <v/>
      </c>
      <c r="X436" s="40"/>
      <c r="Y436" s="43" t="str">
        <f aca="false">IF(OR($B436="",$X436=""),"",EDATE($X436,DelaiMiCarriere))</f>
        <v/>
      </c>
      <c r="Z436" s="42" t="str">
        <f aca="false">IF(OR($B436="",$X436=""),"",IF(AND($I436&lt;&gt;"",$I436&lt;=DateRef),"",IF(AND($N436&lt;&gt;"",$N436&gt;=$X436),"Réalisé",IF($Y436&lt;DateRef,"En retard","À planifier"))))</f>
        <v/>
      </c>
      <c r="AA436" s="47" t="str">
        <f aca="false">IF(OR($B436="",$G436=""),"",IF($G436&gt;DateRef,"",DATEDIF($G436,DateRef,"y")))</f>
        <v/>
      </c>
      <c r="AB436" s="43" t="str">
        <f aca="false">IF(OR($B436="",$G436=""),"",EDATE($G436,AgeFinCarriere*12))</f>
        <v/>
      </c>
      <c r="AC436" s="42" t="str">
        <f aca="false">IF(OR($B436="",$G436="",$H436=""),"",IF(AND($I436&lt;&gt;"",$I436&lt;=DateRef),"",IF($AB436&lt;DateVigueur,"Non concerné",IF(AND($N436&lt;&gt;"",$N436&gt;=MAX(EDATE($AB436,-FenetreFinCarriere*12),DateVigueur),$N436&lt;=$AB436),"Réalisé",IF(DateRef&gt;$AB436,"Non réalisé",IF(AND($Q436&lt;&gt;"",$Q436&gt;=EDATE($AB436,-FenetreFinCarriere*12),$Q436&lt;=$AB436),"Planifié dans la fenêtre",IF(AND(MAX($P436,DateRef)&gt;=EDATE($AB436,-FenetreFinCarriere*12),MAX($P436,DateRef)&lt;=$AB436),"Prochain EPP dans la fenêtre",IF(MAX($P436,DateRef)&gt;$AB436,"À programmer avant 60 ans",""))))))))</f>
        <v/>
      </c>
      <c r="AD436" s="40"/>
      <c r="AE436" s="43" t="str">
        <f aca="false">IF(OR($B436="",$H436="",AND($I436&lt;&gt;"",$I436&lt;=DateRef)),"",MAX($H436,$AD436,IF($A436="",0,SUMPRODUCT(MAX((Journal!$A$6:$A$1005=$A436)*((Journal!$D$6:$D$1005=TypeEDL)+(Journal!$D$6:$D$1005=TypeBilan6))*Journal!$C$6:$C$1005)))))</f>
        <v/>
      </c>
      <c r="AF436" s="43" t="str">
        <f aca="false">IF($AE436="","",IF(AND(ReglesTransitoires="Oui",EDATE($AE436,AnciennePeriodiciteEDL*12)&lt;DateVigueur),EDATE($AE436,AnciennePeriodiciteEDL*12),EDATE($AE436,PeriodiciteEDL*12)))</f>
        <v/>
      </c>
      <c r="AG436" s="42" t="str">
        <f aca="false">IF($AF436="","",IF(AND($I436&lt;&gt;"",$I436&lt;=DateRef),"",IF($AF436&lt;DateRef,"En retard",IF($AF436-DateRef&lt;=SeuilAlerteEDL,"À prévoir","À jour"))))</f>
        <v/>
      </c>
      <c r="AH436" s="39"/>
      <c r="AI436" s="39"/>
      <c r="AJ436" s="42" t="str">
        <f aca="false">IF(OR($B436="",$H436=""),"",IF(AND($I436&lt;&gt;"",$I436&lt;=DateRef),"",IF(Effectif&lt;SeuilEffectif,"Non concerné (&lt; "&amp;SeuilEffectif&amp;" salariés)",IF($AH436="Oui","Pas de risque",IF(AND(OR($AI436="Non",$S436="En retard"),$AH436="Non"),"Risque abondement",IF(OR($AI436="Non",$S436="En retard"),"À vérifier (formation ?)",IF($AI436="Oui","Pas de risque","À compléter")))))))</f>
        <v/>
      </c>
      <c r="AK436" s="39"/>
    </row>
    <row r="437" customFormat="false" ht="15" hidden="false" customHeight="false" outlineLevel="0" collapsed="false">
      <c r="A437" s="39"/>
      <c r="B437" s="39"/>
      <c r="C437" s="39"/>
      <c r="D437" s="39"/>
      <c r="E437" s="39"/>
      <c r="F437" s="39"/>
      <c r="G437" s="40"/>
      <c r="H437" s="40"/>
      <c r="I437" s="40"/>
      <c r="J437" s="41" t="str">
        <f aca="false">IF(OR($B437="",$H437=""),"",IF($H437&gt;DateRef,0,YEARFRAC($H437,DateRef,1)))</f>
        <v/>
      </c>
      <c r="K437" s="42" t="str">
        <f aca="false">IF(OR($B437="",$H437=""),"",IF(EDATE($H437,12)&lt;=DateRef,"Plus d'un an","Moins d'un an"))</f>
        <v/>
      </c>
      <c r="L437" s="40"/>
      <c r="M437" s="43" t="str">
        <f aca="false">IF(OR($B437="",$A437=""),"",IF(SUMPRODUCT(MAX((Journal!$A$6:$A$1005=$A437)*Journal!$C$6:$C$1005))=0,"",SUMPRODUCT(MAX((Journal!$A$6:$A$1005=$A437)*Journal!$C$6:$C$1005))))</f>
        <v/>
      </c>
      <c r="N437" s="43" t="str">
        <f aca="false">IF($B437="","",IF(MAX($L437,$M437)=0,"",MAX($L437,$M437)))</f>
        <v/>
      </c>
      <c r="O437" s="44" t="str">
        <f aca="false">IF(OR($B437="",$H437=""),"",IF($N437="",IF(EDATE($H437,DelaiPremierEPP)&gt;DateRef,"1er EPP (1re année)","Aucun entretien renseigné"),IF(AND(ReglesTransitoires="Oui",EDATE($N437,AnciennePeriodiciteEP*12)&lt;DateVigueur),"Retard antérieur à la réforme","Périodicité "&amp;PeriodiciteEPP&amp;" ans")))</f>
        <v/>
      </c>
      <c r="P437" s="43" t="str">
        <f aca="false">IF(OR($B437="",$H437=""),"",IF($N437="",EDATE($H437,DelaiPremierEPP),IF(AND(ReglesTransitoires="Oui",EDATE($N437,AnciennePeriodiciteEP*12)&lt;DateVigueur),EDATE($N437,AnciennePeriodiciteEP*12),EDATE($N437,PeriodiciteEPP*12))))</f>
        <v/>
      </c>
      <c r="Q437" s="40"/>
      <c r="R437" s="45" t="str">
        <f aca="false">IF(OR($P437="",AND($I437&lt;&gt;"",$I437&lt;=DateRef)),"",$P437-DateRef)</f>
        <v/>
      </c>
      <c r="S437" s="42" t="str">
        <f aca="false">IF($B437="","",IF(AND($I437&lt;&gt;"",$I437&lt;=DateRef),"Sorti",IF($H437="","À compléter",IF(AND($Q437&lt;&gt;"",$Q437&gt;=DateRef,$Q437&lt;=$P437),"Planifié",IF($R437&lt;0,"En retard",IF($R437&lt;=SeuilAlerteEPP,"À planifier","À jour"))))))</f>
        <v/>
      </c>
      <c r="T437" s="46" t="str">
        <f aca="false">IF(OR($B437="",$S437="Sorti"),"",MID(IF($H437=""," | Date d'embauche manquante","")&amp;IF(AND($K437="Plus d'un an",$N437="")," | Précédent entretien à renseigner (ancienneté &gt; 1 an)","")&amp;IF($O437="Retard antérieur à la réforme"," | Ancien délai de 2 ans expiré avant la réforme","")&amp;IF(AND($N437&lt;&gt;"",$H437&lt;&gt;"",$N437&lt;$H437)," | Entretien antérieur à l'embauche ?","")&amp;IF(AND($N437&lt;&gt;"",$N437&gt;DateRef)," | Entretien daté dans le futur ?","")&amp;IF(AND($Q437&lt;&gt;"",$P437&lt;&gt;"",$Q437&gt;$P437)," | Date prévue après l'échéance","")&amp;IF(AND($Q437&lt;&gt;"",$Q437&lt;DateRef,OR($N437="",$N437&lt;$Q437))," | Entretien prévu passé : le consigner au Journal","")&amp;IF(AND($G437&lt;&gt;"",$X437="",YEAR(DateRef)-YEAR($G437)&gt;=AgeMiCarriere-1,YEAR(DateRef)-YEAR($G437)&lt;=AgeMiCarriere+1)," | Visite de mi-carrière à vérifier",""),4,1000))</f>
        <v/>
      </c>
      <c r="U437" s="39"/>
      <c r="V437" s="40"/>
      <c r="W437" s="42" t="str">
        <f aca="false">IF(OR($B437="",$V437=""),"",IF(AND($I437&lt;&gt;"",$I437&lt;=DateRef),"",IF(AND($N437&lt;&gt;"",$N437&gt;=$V437),"Réalisé",IF(AND($N437&lt;&gt;"",$N437&gt;=EDATE($V437,-FenetreRetour)),"Dispensé (EPP récent)",IF($V437&gt;DateRef,"À prévoir à la reprise","À proposer (reprise passée)")))))</f>
        <v/>
      </c>
      <c r="X437" s="40"/>
      <c r="Y437" s="43" t="str">
        <f aca="false">IF(OR($B437="",$X437=""),"",EDATE($X437,DelaiMiCarriere))</f>
        <v/>
      </c>
      <c r="Z437" s="42" t="str">
        <f aca="false">IF(OR($B437="",$X437=""),"",IF(AND($I437&lt;&gt;"",$I437&lt;=DateRef),"",IF(AND($N437&lt;&gt;"",$N437&gt;=$X437),"Réalisé",IF($Y437&lt;DateRef,"En retard","À planifier"))))</f>
        <v/>
      </c>
      <c r="AA437" s="47" t="str">
        <f aca="false">IF(OR($B437="",$G437=""),"",IF($G437&gt;DateRef,"",DATEDIF($G437,DateRef,"y")))</f>
        <v/>
      </c>
      <c r="AB437" s="43" t="str">
        <f aca="false">IF(OR($B437="",$G437=""),"",EDATE($G437,AgeFinCarriere*12))</f>
        <v/>
      </c>
      <c r="AC437" s="42" t="str">
        <f aca="false">IF(OR($B437="",$G437="",$H437=""),"",IF(AND($I437&lt;&gt;"",$I437&lt;=DateRef),"",IF($AB437&lt;DateVigueur,"Non concerné",IF(AND($N437&lt;&gt;"",$N437&gt;=MAX(EDATE($AB437,-FenetreFinCarriere*12),DateVigueur),$N437&lt;=$AB437),"Réalisé",IF(DateRef&gt;$AB437,"Non réalisé",IF(AND($Q437&lt;&gt;"",$Q437&gt;=EDATE($AB437,-FenetreFinCarriere*12),$Q437&lt;=$AB437),"Planifié dans la fenêtre",IF(AND(MAX($P437,DateRef)&gt;=EDATE($AB437,-FenetreFinCarriere*12),MAX($P437,DateRef)&lt;=$AB437),"Prochain EPP dans la fenêtre",IF(MAX($P437,DateRef)&gt;$AB437,"À programmer avant 60 ans",""))))))))</f>
        <v/>
      </c>
      <c r="AD437" s="40"/>
      <c r="AE437" s="43" t="str">
        <f aca="false">IF(OR($B437="",$H437="",AND($I437&lt;&gt;"",$I437&lt;=DateRef)),"",MAX($H437,$AD437,IF($A437="",0,SUMPRODUCT(MAX((Journal!$A$6:$A$1005=$A437)*((Journal!$D$6:$D$1005=TypeEDL)+(Journal!$D$6:$D$1005=TypeBilan6))*Journal!$C$6:$C$1005)))))</f>
        <v/>
      </c>
      <c r="AF437" s="43" t="str">
        <f aca="false">IF($AE437="","",IF(AND(ReglesTransitoires="Oui",EDATE($AE437,AnciennePeriodiciteEDL*12)&lt;DateVigueur),EDATE($AE437,AnciennePeriodiciteEDL*12),EDATE($AE437,PeriodiciteEDL*12)))</f>
        <v/>
      </c>
      <c r="AG437" s="42" t="str">
        <f aca="false">IF($AF437="","",IF(AND($I437&lt;&gt;"",$I437&lt;=DateRef),"",IF($AF437&lt;DateRef,"En retard",IF($AF437-DateRef&lt;=SeuilAlerteEDL,"À prévoir","À jour"))))</f>
        <v/>
      </c>
      <c r="AH437" s="39"/>
      <c r="AI437" s="39"/>
      <c r="AJ437" s="42" t="str">
        <f aca="false">IF(OR($B437="",$H437=""),"",IF(AND($I437&lt;&gt;"",$I437&lt;=DateRef),"",IF(Effectif&lt;SeuilEffectif,"Non concerné (&lt; "&amp;SeuilEffectif&amp;" salariés)",IF($AH437="Oui","Pas de risque",IF(AND(OR($AI437="Non",$S437="En retard"),$AH437="Non"),"Risque abondement",IF(OR($AI437="Non",$S437="En retard"),"À vérifier (formation ?)",IF($AI437="Oui","Pas de risque","À compléter")))))))</f>
        <v/>
      </c>
      <c r="AK437" s="39"/>
    </row>
    <row r="438" customFormat="false" ht="15" hidden="false" customHeight="false" outlineLevel="0" collapsed="false">
      <c r="A438" s="39"/>
      <c r="B438" s="39"/>
      <c r="C438" s="39"/>
      <c r="D438" s="39"/>
      <c r="E438" s="39"/>
      <c r="F438" s="39"/>
      <c r="G438" s="40"/>
      <c r="H438" s="40"/>
      <c r="I438" s="40"/>
      <c r="J438" s="41" t="str">
        <f aca="false">IF(OR($B438="",$H438=""),"",IF($H438&gt;DateRef,0,YEARFRAC($H438,DateRef,1)))</f>
        <v/>
      </c>
      <c r="K438" s="42" t="str">
        <f aca="false">IF(OR($B438="",$H438=""),"",IF(EDATE($H438,12)&lt;=DateRef,"Plus d'un an","Moins d'un an"))</f>
        <v/>
      </c>
      <c r="L438" s="40"/>
      <c r="M438" s="43" t="str">
        <f aca="false">IF(OR($B438="",$A438=""),"",IF(SUMPRODUCT(MAX((Journal!$A$6:$A$1005=$A438)*Journal!$C$6:$C$1005))=0,"",SUMPRODUCT(MAX((Journal!$A$6:$A$1005=$A438)*Journal!$C$6:$C$1005))))</f>
        <v/>
      </c>
      <c r="N438" s="43" t="str">
        <f aca="false">IF($B438="","",IF(MAX($L438,$M438)=0,"",MAX($L438,$M438)))</f>
        <v/>
      </c>
      <c r="O438" s="44" t="str">
        <f aca="false">IF(OR($B438="",$H438=""),"",IF($N438="",IF(EDATE($H438,DelaiPremierEPP)&gt;DateRef,"1er EPP (1re année)","Aucun entretien renseigné"),IF(AND(ReglesTransitoires="Oui",EDATE($N438,AnciennePeriodiciteEP*12)&lt;DateVigueur),"Retard antérieur à la réforme","Périodicité "&amp;PeriodiciteEPP&amp;" ans")))</f>
        <v/>
      </c>
      <c r="P438" s="43" t="str">
        <f aca="false">IF(OR($B438="",$H438=""),"",IF($N438="",EDATE($H438,DelaiPremierEPP),IF(AND(ReglesTransitoires="Oui",EDATE($N438,AnciennePeriodiciteEP*12)&lt;DateVigueur),EDATE($N438,AnciennePeriodiciteEP*12),EDATE($N438,PeriodiciteEPP*12))))</f>
        <v/>
      </c>
      <c r="Q438" s="40"/>
      <c r="R438" s="45" t="str">
        <f aca="false">IF(OR($P438="",AND($I438&lt;&gt;"",$I438&lt;=DateRef)),"",$P438-DateRef)</f>
        <v/>
      </c>
      <c r="S438" s="42" t="str">
        <f aca="false">IF($B438="","",IF(AND($I438&lt;&gt;"",$I438&lt;=DateRef),"Sorti",IF($H438="","À compléter",IF(AND($Q438&lt;&gt;"",$Q438&gt;=DateRef,$Q438&lt;=$P438),"Planifié",IF($R438&lt;0,"En retard",IF($R438&lt;=SeuilAlerteEPP,"À planifier","À jour"))))))</f>
        <v/>
      </c>
      <c r="T438" s="46" t="str">
        <f aca="false">IF(OR($B438="",$S438="Sorti"),"",MID(IF($H438=""," | Date d'embauche manquante","")&amp;IF(AND($K438="Plus d'un an",$N438="")," | Précédent entretien à renseigner (ancienneté &gt; 1 an)","")&amp;IF($O438="Retard antérieur à la réforme"," | Ancien délai de 2 ans expiré avant la réforme","")&amp;IF(AND($N438&lt;&gt;"",$H438&lt;&gt;"",$N438&lt;$H438)," | Entretien antérieur à l'embauche ?","")&amp;IF(AND($N438&lt;&gt;"",$N438&gt;DateRef)," | Entretien daté dans le futur ?","")&amp;IF(AND($Q438&lt;&gt;"",$P438&lt;&gt;"",$Q438&gt;$P438)," | Date prévue après l'échéance","")&amp;IF(AND($Q438&lt;&gt;"",$Q438&lt;DateRef,OR($N438="",$N438&lt;$Q438))," | Entretien prévu passé : le consigner au Journal","")&amp;IF(AND($G438&lt;&gt;"",$X438="",YEAR(DateRef)-YEAR($G438)&gt;=AgeMiCarriere-1,YEAR(DateRef)-YEAR($G438)&lt;=AgeMiCarriere+1)," | Visite de mi-carrière à vérifier",""),4,1000))</f>
        <v/>
      </c>
      <c r="U438" s="39"/>
      <c r="V438" s="40"/>
      <c r="W438" s="42" t="str">
        <f aca="false">IF(OR($B438="",$V438=""),"",IF(AND($I438&lt;&gt;"",$I438&lt;=DateRef),"",IF(AND($N438&lt;&gt;"",$N438&gt;=$V438),"Réalisé",IF(AND($N438&lt;&gt;"",$N438&gt;=EDATE($V438,-FenetreRetour)),"Dispensé (EPP récent)",IF($V438&gt;DateRef,"À prévoir à la reprise","À proposer (reprise passée)")))))</f>
        <v/>
      </c>
      <c r="X438" s="40"/>
      <c r="Y438" s="43" t="str">
        <f aca="false">IF(OR($B438="",$X438=""),"",EDATE($X438,DelaiMiCarriere))</f>
        <v/>
      </c>
      <c r="Z438" s="42" t="str">
        <f aca="false">IF(OR($B438="",$X438=""),"",IF(AND($I438&lt;&gt;"",$I438&lt;=DateRef),"",IF(AND($N438&lt;&gt;"",$N438&gt;=$X438),"Réalisé",IF($Y438&lt;DateRef,"En retard","À planifier"))))</f>
        <v/>
      </c>
      <c r="AA438" s="47" t="str">
        <f aca="false">IF(OR($B438="",$G438=""),"",IF($G438&gt;DateRef,"",DATEDIF($G438,DateRef,"y")))</f>
        <v/>
      </c>
      <c r="AB438" s="43" t="str">
        <f aca="false">IF(OR($B438="",$G438=""),"",EDATE($G438,AgeFinCarriere*12))</f>
        <v/>
      </c>
      <c r="AC438" s="42" t="str">
        <f aca="false">IF(OR($B438="",$G438="",$H438=""),"",IF(AND($I438&lt;&gt;"",$I438&lt;=DateRef),"",IF($AB438&lt;DateVigueur,"Non concerné",IF(AND($N438&lt;&gt;"",$N438&gt;=MAX(EDATE($AB438,-FenetreFinCarriere*12),DateVigueur),$N438&lt;=$AB438),"Réalisé",IF(DateRef&gt;$AB438,"Non réalisé",IF(AND($Q438&lt;&gt;"",$Q438&gt;=EDATE($AB438,-FenetreFinCarriere*12),$Q438&lt;=$AB438),"Planifié dans la fenêtre",IF(AND(MAX($P438,DateRef)&gt;=EDATE($AB438,-FenetreFinCarriere*12),MAX($P438,DateRef)&lt;=$AB438),"Prochain EPP dans la fenêtre",IF(MAX($P438,DateRef)&gt;$AB438,"À programmer avant 60 ans",""))))))))</f>
        <v/>
      </c>
      <c r="AD438" s="40"/>
      <c r="AE438" s="43" t="str">
        <f aca="false">IF(OR($B438="",$H438="",AND($I438&lt;&gt;"",$I438&lt;=DateRef)),"",MAX($H438,$AD438,IF($A438="",0,SUMPRODUCT(MAX((Journal!$A$6:$A$1005=$A438)*((Journal!$D$6:$D$1005=TypeEDL)+(Journal!$D$6:$D$1005=TypeBilan6))*Journal!$C$6:$C$1005)))))</f>
        <v/>
      </c>
      <c r="AF438" s="43" t="str">
        <f aca="false">IF($AE438="","",IF(AND(ReglesTransitoires="Oui",EDATE($AE438,AnciennePeriodiciteEDL*12)&lt;DateVigueur),EDATE($AE438,AnciennePeriodiciteEDL*12),EDATE($AE438,PeriodiciteEDL*12)))</f>
        <v/>
      </c>
      <c r="AG438" s="42" t="str">
        <f aca="false">IF($AF438="","",IF(AND($I438&lt;&gt;"",$I438&lt;=DateRef),"",IF($AF438&lt;DateRef,"En retard",IF($AF438-DateRef&lt;=SeuilAlerteEDL,"À prévoir","À jour"))))</f>
        <v/>
      </c>
      <c r="AH438" s="39"/>
      <c r="AI438" s="39"/>
      <c r="AJ438" s="42" t="str">
        <f aca="false">IF(OR($B438="",$H438=""),"",IF(AND($I438&lt;&gt;"",$I438&lt;=DateRef),"",IF(Effectif&lt;SeuilEffectif,"Non concerné (&lt; "&amp;SeuilEffectif&amp;" salariés)",IF($AH438="Oui","Pas de risque",IF(AND(OR($AI438="Non",$S438="En retard"),$AH438="Non"),"Risque abondement",IF(OR($AI438="Non",$S438="En retard"),"À vérifier (formation ?)",IF($AI438="Oui","Pas de risque","À compléter")))))))</f>
        <v/>
      </c>
      <c r="AK438" s="39"/>
    </row>
    <row r="439" customFormat="false" ht="15" hidden="false" customHeight="false" outlineLevel="0" collapsed="false">
      <c r="A439" s="39"/>
      <c r="B439" s="39"/>
      <c r="C439" s="39"/>
      <c r="D439" s="39"/>
      <c r="E439" s="39"/>
      <c r="F439" s="39"/>
      <c r="G439" s="40"/>
      <c r="H439" s="40"/>
      <c r="I439" s="40"/>
      <c r="J439" s="41" t="str">
        <f aca="false">IF(OR($B439="",$H439=""),"",IF($H439&gt;DateRef,0,YEARFRAC($H439,DateRef,1)))</f>
        <v/>
      </c>
      <c r="K439" s="42" t="str">
        <f aca="false">IF(OR($B439="",$H439=""),"",IF(EDATE($H439,12)&lt;=DateRef,"Plus d'un an","Moins d'un an"))</f>
        <v/>
      </c>
      <c r="L439" s="40"/>
      <c r="M439" s="43" t="str">
        <f aca="false">IF(OR($B439="",$A439=""),"",IF(SUMPRODUCT(MAX((Journal!$A$6:$A$1005=$A439)*Journal!$C$6:$C$1005))=0,"",SUMPRODUCT(MAX((Journal!$A$6:$A$1005=$A439)*Journal!$C$6:$C$1005))))</f>
        <v/>
      </c>
      <c r="N439" s="43" t="str">
        <f aca="false">IF($B439="","",IF(MAX($L439,$M439)=0,"",MAX($L439,$M439)))</f>
        <v/>
      </c>
      <c r="O439" s="44" t="str">
        <f aca="false">IF(OR($B439="",$H439=""),"",IF($N439="",IF(EDATE($H439,DelaiPremierEPP)&gt;DateRef,"1er EPP (1re année)","Aucun entretien renseigné"),IF(AND(ReglesTransitoires="Oui",EDATE($N439,AnciennePeriodiciteEP*12)&lt;DateVigueur),"Retard antérieur à la réforme","Périodicité "&amp;PeriodiciteEPP&amp;" ans")))</f>
        <v/>
      </c>
      <c r="P439" s="43" t="str">
        <f aca="false">IF(OR($B439="",$H439=""),"",IF($N439="",EDATE($H439,DelaiPremierEPP),IF(AND(ReglesTransitoires="Oui",EDATE($N439,AnciennePeriodiciteEP*12)&lt;DateVigueur),EDATE($N439,AnciennePeriodiciteEP*12),EDATE($N439,PeriodiciteEPP*12))))</f>
        <v/>
      </c>
      <c r="Q439" s="40"/>
      <c r="R439" s="45" t="str">
        <f aca="false">IF(OR($P439="",AND($I439&lt;&gt;"",$I439&lt;=DateRef)),"",$P439-DateRef)</f>
        <v/>
      </c>
      <c r="S439" s="42" t="str">
        <f aca="false">IF($B439="","",IF(AND($I439&lt;&gt;"",$I439&lt;=DateRef),"Sorti",IF($H439="","À compléter",IF(AND($Q439&lt;&gt;"",$Q439&gt;=DateRef,$Q439&lt;=$P439),"Planifié",IF($R439&lt;0,"En retard",IF($R439&lt;=SeuilAlerteEPP,"À planifier","À jour"))))))</f>
        <v/>
      </c>
      <c r="T439" s="46" t="str">
        <f aca="false">IF(OR($B439="",$S439="Sorti"),"",MID(IF($H439=""," | Date d'embauche manquante","")&amp;IF(AND($K439="Plus d'un an",$N439="")," | Précédent entretien à renseigner (ancienneté &gt; 1 an)","")&amp;IF($O439="Retard antérieur à la réforme"," | Ancien délai de 2 ans expiré avant la réforme","")&amp;IF(AND($N439&lt;&gt;"",$H439&lt;&gt;"",$N439&lt;$H439)," | Entretien antérieur à l'embauche ?","")&amp;IF(AND($N439&lt;&gt;"",$N439&gt;DateRef)," | Entretien daté dans le futur ?","")&amp;IF(AND($Q439&lt;&gt;"",$P439&lt;&gt;"",$Q439&gt;$P439)," | Date prévue après l'échéance","")&amp;IF(AND($Q439&lt;&gt;"",$Q439&lt;DateRef,OR($N439="",$N439&lt;$Q439))," | Entretien prévu passé : le consigner au Journal","")&amp;IF(AND($G439&lt;&gt;"",$X439="",YEAR(DateRef)-YEAR($G439)&gt;=AgeMiCarriere-1,YEAR(DateRef)-YEAR($G439)&lt;=AgeMiCarriere+1)," | Visite de mi-carrière à vérifier",""),4,1000))</f>
        <v/>
      </c>
      <c r="U439" s="39"/>
      <c r="V439" s="40"/>
      <c r="W439" s="42" t="str">
        <f aca="false">IF(OR($B439="",$V439=""),"",IF(AND($I439&lt;&gt;"",$I439&lt;=DateRef),"",IF(AND($N439&lt;&gt;"",$N439&gt;=$V439),"Réalisé",IF(AND($N439&lt;&gt;"",$N439&gt;=EDATE($V439,-FenetreRetour)),"Dispensé (EPP récent)",IF($V439&gt;DateRef,"À prévoir à la reprise","À proposer (reprise passée)")))))</f>
        <v/>
      </c>
      <c r="X439" s="40"/>
      <c r="Y439" s="43" t="str">
        <f aca="false">IF(OR($B439="",$X439=""),"",EDATE($X439,DelaiMiCarriere))</f>
        <v/>
      </c>
      <c r="Z439" s="42" t="str">
        <f aca="false">IF(OR($B439="",$X439=""),"",IF(AND($I439&lt;&gt;"",$I439&lt;=DateRef),"",IF(AND($N439&lt;&gt;"",$N439&gt;=$X439),"Réalisé",IF($Y439&lt;DateRef,"En retard","À planifier"))))</f>
        <v/>
      </c>
      <c r="AA439" s="47" t="str">
        <f aca="false">IF(OR($B439="",$G439=""),"",IF($G439&gt;DateRef,"",DATEDIF($G439,DateRef,"y")))</f>
        <v/>
      </c>
      <c r="AB439" s="43" t="str">
        <f aca="false">IF(OR($B439="",$G439=""),"",EDATE($G439,AgeFinCarriere*12))</f>
        <v/>
      </c>
      <c r="AC439" s="42" t="str">
        <f aca="false">IF(OR($B439="",$G439="",$H439=""),"",IF(AND($I439&lt;&gt;"",$I439&lt;=DateRef),"",IF($AB439&lt;DateVigueur,"Non concerné",IF(AND($N439&lt;&gt;"",$N439&gt;=MAX(EDATE($AB439,-FenetreFinCarriere*12),DateVigueur),$N439&lt;=$AB439),"Réalisé",IF(DateRef&gt;$AB439,"Non réalisé",IF(AND($Q439&lt;&gt;"",$Q439&gt;=EDATE($AB439,-FenetreFinCarriere*12),$Q439&lt;=$AB439),"Planifié dans la fenêtre",IF(AND(MAX($P439,DateRef)&gt;=EDATE($AB439,-FenetreFinCarriere*12),MAX($P439,DateRef)&lt;=$AB439),"Prochain EPP dans la fenêtre",IF(MAX($P439,DateRef)&gt;$AB439,"À programmer avant 60 ans",""))))))))</f>
        <v/>
      </c>
      <c r="AD439" s="40"/>
      <c r="AE439" s="43" t="str">
        <f aca="false">IF(OR($B439="",$H439="",AND($I439&lt;&gt;"",$I439&lt;=DateRef)),"",MAX($H439,$AD439,IF($A439="",0,SUMPRODUCT(MAX((Journal!$A$6:$A$1005=$A439)*((Journal!$D$6:$D$1005=TypeEDL)+(Journal!$D$6:$D$1005=TypeBilan6))*Journal!$C$6:$C$1005)))))</f>
        <v/>
      </c>
      <c r="AF439" s="43" t="str">
        <f aca="false">IF($AE439="","",IF(AND(ReglesTransitoires="Oui",EDATE($AE439,AnciennePeriodiciteEDL*12)&lt;DateVigueur),EDATE($AE439,AnciennePeriodiciteEDL*12),EDATE($AE439,PeriodiciteEDL*12)))</f>
        <v/>
      </c>
      <c r="AG439" s="42" t="str">
        <f aca="false">IF($AF439="","",IF(AND($I439&lt;&gt;"",$I439&lt;=DateRef),"",IF($AF439&lt;DateRef,"En retard",IF($AF439-DateRef&lt;=SeuilAlerteEDL,"À prévoir","À jour"))))</f>
        <v/>
      </c>
      <c r="AH439" s="39"/>
      <c r="AI439" s="39"/>
      <c r="AJ439" s="42" t="str">
        <f aca="false">IF(OR($B439="",$H439=""),"",IF(AND($I439&lt;&gt;"",$I439&lt;=DateRef),"",IF(Effectif&lt;SeuilEffectif,"Non concerné (&lt; "&amp;SeuilEffectif&amp;" salariés)",IF($AH439="Oui","Pas de risque",IF(AND(OR($AI439="Non",$S439="En retard"),$AH439="Non"),"Risque abondement",IF(OR($AI439="Non",$S439="En retard"),"À vérifier (formation ?)",IF($AI439="Oui","Pas de risque","À compléter")))))))</f>
        <v/>
      </c>
      <c r="AK439" s="39"/>
    </row>
    <row r="440" customFormat="false" ht="15" hidden="false" customHeight="false" outlineLevel="0" collapsed="false">
      <c r="A440" s="39"/>
      <c r="B440" s="39"/>
      <c r="C440" s="39"/>
      <c r="D440" s="39"/>
      <c r="E440" s="39"/>
      <c r="F440" s="39"/>
      <c r="G440" s="40"/>
      <c r="H440" s="40"/>
      <c r="I440" s="40"/>
      <c r="J440" s="41" t="str">
        <f aca="false">IF(OR($B440="",$H440=""),"",IF($H440&gt;DateRef,0,YEARFRAC($H440,DateRef,1)))</f>
        <v/>
      </c>
      <c r="K440" s="42" t="str">
        <f aca="false">IF(OR($B440="",$H440=""),"",IF(EDATE($H440,12)&lt;=DateRef,"Plus d'un an","Moins d'un an"))</f>
        <v/>
      </c>
      <c r="L440" s="40"/>
      <c r="M440" s="43" t="str">
        <f aca="false">IF(OR($B440="",$A440=""),"",IF(SUMPRODUCT(MAX((Journal!$A$6:$A$1005=$A440)*Journal!$C$6:$C$1005))=0,"",SUMPRODUCT(MAX((Journal!$A$6:$A$1005=$A440)*Journal!$C$6:$C$1005))))</f>
        <v/>
      </c>
      <c r="N440" s="43" t="str">
        <f aca="false">IF($B440="","",IF(MAX($L440,$M440)=0,"",MAX($L440,$M440)))</f>
        <v/>
      </c>
      <c r="O440" s="44" t="str">
        <f aca="false">IF(OR($B440="",$H440=""),"",IF($N440="",IF(EDATE($H440,DelaiPremierEPP)&gt;DateRef,"1er EPP (1re année)","Aucun entretien renseigné"),IF(AND(ReglesTransitoires="Oui",EDATE($N440,AnciennePeriodiciteEP*12)&lt;DateVigueur),"Retard antérieur à la réforme","Périodicité "&amp;PeriodiciteEPP&amp;" ans")))</f>
        <v/>
      </c>
      <c r="P440" s="43" t="str">
        <f aca="false">IF(OR($B440="",$H440=""),"",IF($N440="",EDATE($H440,DelaiPremierEPP),IF(AND(ReglesTransitoires="Oui",EDATE($N440,AnciennePeriodiciteEP*12)&lt;DateVigueur),EDATE($N440,AnciennePeriodiciteEP*12),EDATE($N440,PeriodiciteEPP*12))))</f>
        <v/>
      </c>
      <c r="Q440" s="40"/>
      <c r="R440" s="45" t="str">
        <f aca="false">IF(OR($P440="",AND($I440&lt;&gt;"",$I440&lt;=DateRef)),"",$P440-DateRef)</f>
        <v/>
      </c>
      <c r="S440" s="42" t="str">
        <f aca="false">IF($B440="","",IF(AND($I440&lt;&gt;"",$I440&lt;=DateRef),"Sorti",IF($H440="","À compléter",IF(AND($Q440&lt;&gt;"",$Q440&gt;=DateRef,$Q440&lt;=$P440),"Planifié",IF($R440&lt;0,"En retard",IF($R440&lt;=SeuilAlerteEPP,"À planifier","À jour"))))))</f>
        <v/>
      </c>
      <c r="T440" s="46" t="str">
        <f aca="false">IF(OR($B440="",$S440="Sorti"),"",MID(IF($H440=""," | Date d'embauche manquante","")&amp;IF(AND($K440="Plus d'un an",$N440="")," | Précédent entretien à renseigner (ancienneté &gt; 1 an)","")&amp;IF($O440="Retard antérieur à la réforme"," | Ancien délai de 2 ans expiré avant la réforme","")&amp;IF(AND($N440&lt;&gt;"",$H440&lt;&gt;"",$N440&lt;$H440)," | Entretien antérieur à l'embauche ?","")&amp;IF(AND($N440&lt;&gt;"",$N440&gt;DateRef)," | Entretien daté dans le futur ?","")&amp;IF(AND($Q440&lt;&gt;"",$P440&lt;&gt;"",$Q440&gt;$P440)," | Date prévue après l'échéance","")&amp;IF(AND($Q440&lt;&gt;"",$Q440&lt;DateRef,OR($N440="",$N440&lt;$Q440))," | Entretien prévu passé : le consigner au Journal","")&amp;IF(AND($G440&lt;&gt;"",$X440="",YEAR(DateRef)-YEAR($G440)&gt;=AgeMiCarriere-1,YEAR(DateRef)-YEAR($G440)&lt;=AgeMiCarriere+1)," | Visite de mi-carrière à vérifier",""),4,1000))</f>
        <v/>
      </c>
      <c r="U440" s="39"/>
      <c r="V440" s="40"/>
      <c r="W440" s="42" t="str">
        <f aca="false">IF(OR($B440="",$V440=""),"",IF(AND($I440&lt;&gt;"",$I440&lt;=DateRef),"",IF(AND($N440&lt;&gt;"",$N440&gt;=$V440),"Réalisé",IF(AND($N440&lt;&gt;"",$N440&gt;=EDATE($V440,-FenetreRetour)),"Dispensé (EPP récent)",IF($V440&gt;DateRef,"À prévoir à la reprise","À proposer (reprise passée)")))))</f>
        <v/>
      </c>
      <c r="X440" s="40"/>
      <c r="Y440" s="43" t="str">
        <f aca="false">IF(OR($B440="",$X440=""),"",EDATE($X440,DelaiMiCarriere))</f>
        <v/>
      </c>
      <c r="Z440" s="42" t="str">
        <f aca="false">IF(OR($B440="",$X440=""),"",IF(AND($I440&lt;&gt;"",$I440&lt;=DateRef),"",IF(AND($N440&lt;&gt;"",$N440&gt;=$X440),"Réalisé",IF($Y440&lt;DateRef,"En retard","À planifier"))))</f>
        <v/>
      </c>
      <c r="AA440" s="47" t="str">
        <f aca="false">IF(OR($B440="",$G440=""),"",IF($G440&gt;DateRef,"",DATEDIF($G440,DateRef,"y")))</f>
        <v/>
      </c>
      <c r="AB440" s="43" t="str">
        <f aca="false">IF(OR($B440="",$G440=""),"",EDATE($G440,AgeFinCarriere*12))</f>
        <v/>
      </c>
      <c r="AC440" s="42" t="str">
        <f aca="false">IF(OR($B440="",$G440="",$H440=""),"",IF(AND($I440&lt;&gt;"",$I440&lt;=DateRef),"",IF($AB440&lt;DateVigueur,"Non concerné",IF(AND($N440&lt;&gt;"",$N440&gt;=MAX(EDATE($AB440,-FenetreFinCarriere*12),DateVigueur),$N440&lt;=$AB440),"Réalisé",IF(DateRef&gt;$AB440,"Non réalisé",IF(AND($Q440&lt;&gt;"",$Q440&gt;=EDATE($AB440,-FenetreFinCarriere*12),$Q440&lt;=$AB440),"Planifié dans la fenêtre",IF(AND(MAX($P440,DateRef)&gt;=EDATE($AB440,-FenetreFinCarriere*12),MAX($P440,DateRef)&lt;=$AB440),"Prochain EPP dans la fenêtre",IF(MAX($P440,DateRef)&gt;$AB440,"À programmer avant 60 ans",""))))))))</f>
        <v/>
      </c>
      <c r="AD440" s="40"/>
      <c r="AE440" s="43" t="str">
        <f aca="false">IF(OR($B440="",$H440="",AND($I440&lt;&gt;"",$I440&lt;=DateRef)),"",MAX($H440,$AD440,IF($A440="",0,SUMPRODUCT(MAX((Journal!$A$6:$A$1005=$A440)*((Journal!$D$6:$D$1005=TypeEDL)+(Journal!$D$6:$D$1005=TypeBilan6))*Journal!$C$6:$C$1005)))))</f>
        <v/>
      </c>
      <c r="AF440" s="43" t="str">
        <f aca="false">IF($AE440="","",IF(AND(ReglesTransitoires="Oui",EDATE($AE440,AnciennePeriodiciteEDL*12)&lt;DateVigueur),EDATE($AE440,AnciennePeriodiciteEDL*12),EDATE($AE440,PeriodiciteEDL*12)))</f>
        <v/>
      </c>
      <c r="AG440" s="42" t="str">
        <f aca="false">IF($AF440="","",IF(AND($I440&lt;&gt;"",$I440&lt;=DateRef),"",IF($AF440&lt;DateRef,"En retard",IF($AF440-DateRef&lt;=SeuilAlerteEDL,"À prévoir","À jour"))))</f>
        <v/>
      </c>
      <c r="AH440" s="39"/>
      <c r="AI440" s="39"/>
      <c r="AJ440" s="42" t="str">
        <f aca="false">IF(OR($B440="",$H440=""),"",IF(AND($I440&lt;&gt;"",$I440&lt;=DateRef),"",IF(Effectif&lt;SeuilEffectif,"Non concerné (&lt; "&amp;SeuilEffectif&amp;" salariés)",IF($AH440="Oui","Pas de risque",IF(AND(OR($AI440="Non",$S440="En retard"),$AH440="Non"),"Risque abondement",IF(OR($AI440="Non",$S440="En retard"),"À vérifier (formation ?)",IF($AI440="Oui","Pas de risque","À compléter")))))))</f>
        <v/>
      </c>
      <c r="AK440" s="39"/>
    </row>
    <row r="441" customFormat="false" ht="15" hidden="false" customHeight="false" outlineLevel="0" collapsed="false">
      <c r="A441" s="39"/>
      <c r="B441" s="39"/>
      <c r="C441" s="39"/>
      <c r="D441" s="39"/>
      <c r="E441" s="39"/>
      <c r="F441" s="39"/>
      <c r="G441" s="40"/>
      <c r="H441" s="40"/>
      <c r="I441" s="40"/>
      <c r="J441" s="41" t="str">
        <f aca="false">IF(OR($B441="",$H441=""),"",IF($H441&gt;DateRef,0,YEARFRAC($H441,DateRef,1)))</f>
        <v/>
      </c>
      <c r="K441" s="42" t="str">
        <f aca="false">IF(OR($B441="",$H441=""),"",IF(EDATE($H441,12)&lt;=DateRef,"Plus d'un an","Moins d'un an"))</f>
        <v/>
      </c>
      <c r="L441" s="40"/>
      <c r="M441" s="43" t="str">
        <f aca="false">IF(OR($B441="",$A441=""),"",IF(SUMPRODUCT(MAX((Journal!$A$6:$A$1005=$A441)*Journal!$C$6:$C$1005))=0,"",SUMPRODUCT(MAX((Journal!$A$6:$A$1005=$A441)*Journal!$C$6:$C$1005))))</f>
        <v/>
      </c>
      <c r="N441" s="43" t="str">
        <f aca="false">IF($B441="","",IF(MAX($L441,$M441)=0,"",MAX($L441,$M441)))</f>
        <v/>
      </c>
      <c r="O441" s="44" t="str">
        <f aca="false">IF(OR($B441="",$H441=""),"",IF($N441="",IF(EDATE($H441,DelaiPremierEPP)&gt;DateRef,"1er EPP (1re année)","Aucun entretien renseigné"),IF(AND(ReglesTransitoires="Oui",EDATE($N441,AnciennePeriodiciteEP*12)&lt;DateVigueur),"Retard antérieur à la réforme","Périodicité "&amp;PeriodiciteEPP&amp;" ans")))</f>
        <v/>
      </c>
      <c r="P441" s="43" t="str">
        <f aca="false">IF(OR($B441="",$H441=""),"",IF($N441="",EDATE($H441,DelaiPremierEPP),IF(AND(ReglesTransitoires="Oui",EDATE($N441,AnciennePeriodiciteEP*12)&lt;DateVigueur),EDATE($N441,AnciennePeriodiciteEP*12),EDATE($N441,PeriodiciteEPP*12))))</f>
        <v/>
      </c>
      <c r="Q441" s="40"/>
      <c r="R441" s="45" t="str">
        <f aca="false">IF(OR($P441="",AND($I441&lt;&gt;"",$I441&lt;=DateRef)),"",$P441-DateRef)</f>
        <v/>
      </c>
      <c r="S441" s="42" t="str">
        <f aca="false">IF($B441="","",IF(AND($I441&lt;&gt;"",$I441&lt;=DateRef),"Sorti",IF($H441="","À compléter",IF(AND($Q441&lt;&gt;"",$Q441&gt;=DateRef,$Q441&lt;=$P441),"Planifié",IF($R441&lt;0,"En retard",IF($R441&lt;=SeuilAlerteEPP,"À planifier","À jour"))))))</f>
        <v/>
      </c>
      <c r="T441" s="46" t="str">
        <f aca="false">IF(OR($B441="",$S441="Sorti"),"",MID(IF($H441=""," | Date d'embauche manquante","")&amp;IF(AND($K441="Plus d'un an",$N441="")," | Précédent entretien à renseigner (ancienneté &gt; 1 an)","")&amp;IF($O441="Retard antérieur à la réforme"," | Ancien délai de 2 ans expiré avant la réforme","")&amp;IF(AND($N441&lt;&gt;"",$H441&lt;&gt;"",$N441&lt;$H441)," | Entretien antérieur à l'embauche ?","")&amp;IF(AND($N441&lt;&gt;"",$N441&gt;DateRef)," | Entretien daté dans le futur ?","")&amp;IF(AND($Q441&lt;&gt;"",$P441&lt;&gt;"",$Q441&gt;$P441)," | Date prévue après l'échéance","")&amp;IF(AND($Q441&lt;&gt;"",$Q441&lt;DateRef,OR($N441="",$N441&lt;$Q441))," | Entretien prévu passé : le consigner au Journal","")&amp;IF(AND($G441&lt;&gt;"",$X441="",YEAR(DateRef)-YEAR($G441)&gt;=AgeMiCarriere-1,YEAR(DateRef)-YEAR($G441)&lt;=AgeMiCarriere+1)," | Visite de mi-carrière à vérifier",""),4,1000))</f>
        <v/>
      </c>
      <c r="U441" s="39"/>
      <c r="V441" s="40"/>
      <c r="W441" s="42" t="str">
        <f aca="false">IF(OR($B441="",$V441=""),"",IF(AND($I441&lt;&gt;"",$I441&lt;=DateRef),"",IF(AND($N441&lt;&gt;"",$N441&gt;=$V441),"Réalisé",IF(AND($N441&lt;&gt;"",$N441&gt;=EDATE($V441,-FenetreRetour)),"Dispensé (EPP récent)",IF($V441&gt;DateRef,"À prévoir à la reprise","À proposer (reprise passée)")))))</f>
        <v/>
      </c>
      <c r="X441" s="40"/>
      <c r="Y441" s="43" t="str">
        <f aca="false">IF(OR($B441="",$X441=""),"",EDATE($X441,DelaiMiCarriere))</f>
        <v/>
      </c>
      <c r="Z441" s="42" t="str">
        <f aca="false">IF(OR($B441="",$X441=""),"",IF(AND($I441&lt;&gt;"",$I441&lt;=DateRef),"",IF(AND($N441&lt;&gt;"",$N441&gt;=$X441),"Réalisé",IF($Y441&lt;DateRef,"En retard","À planifier"))))</f>
        <v/>
      </c>
      <c r="AA441" s="47" t="str">
        <f aca="false">IF(OR($B441="",$G441=""),"",IF($G441&gt;DateRef,"",DATEDIF($G441,DateRef,"y")))</f>
        <v/>
      </c>
      <c r="AB441" s="43" t="str">
        <f aca="false">IF(OR($B441="",$G441=""),"",EDATE($G441,AgeFinCarriere*12))</f>
        <v/>
      </c>
      <c r="AC441" s="42" t="str">
        <f aca="false">IF(OR($B441="",$G441="",$H441=""),"",IF(AND($I441&lt;&gt;"",$I441&lt;=DateRef),"",IF($AB441&lt;DateVigueur,"Non concerné",IF(AND($N441&lt;&gt;"",$N441&gt;=MAX(EDATE($AB441,-FenetreFinCarriere*12),DateVigueur),$N441&lt;=$AB441),"Réalisé",IF(DateRef&gt;$AB441,"Non réalisé",IF(AND($Q441&lt;&gt;"",$Q441&gt;=EDATE($AB441,-FenetreFinCarriere*12),$Q441&lt;=$AB441),"Planifié dans la fenêtre",IF(AND(MAX($P441,DateRef)&gt;=EDATE($AB441,-FenetreFinCarriere*12),MAX($P441,DateRef)&lt;=$AB441),"Prochain EPP dans la fenêtre",IF(MAX($P441,DateRef)&gt;$AB441,"À programmer avant 60 ans",""))))))))</f>
        <v/>
      </c>
      <c r="AD441" s="40"/>
      <c r="AE441" s="43" t="str">
        <f aca="false">IF(OR($B441="",$H441="",AND($I441&lt;&gt;"",$I441&lt;=DateRef)),"",MAX($H441,$AD441,IF($A441="",0,SUMPRODUCT(MAX((Journal!$A$6:$A$1005=$A441)*((Journal!$D$6:$D$1005=TypeEDL)+(Journal!$D$6:$D$1005=TypeBilan6))*Journal!$C$6:$C$1005)))))</f>
        <v/>
      </c>
      <c r="AF441" s="43" t="str">
        <f aca="false">IF($AE441="","",IF(AND(ReglesTransitoires="Oui",EDATE($AE441,AnciennePeriodiciteEDL*12)&lt;DateVigueur),EDATE($AE441,AnciennePeriodiciteEDL*12),EDATE($AE441,PeriodiciteEDL*12)))</f>
        <v/>
      </c>
      <c r="AG441" s="42" t="str">
        <f aca="false">IF($AF441="","",IF(AND($I441&lt;&gt;"",$I441&lt;=DateRef),"",IF($AF441&lt;DateRef,"En retard",IF($AF441-DateRef&lt;=SeuilAlerteEDL,"À prévoir","À jour"))))</f>
        <v/>
      </c>
      <c r="AH441" s="39"/>
      <c r="AI441" s="39"/>
      <c r="AJ441" s="42" t="str">
        <f aca="false">IF(OR($B441="",$H441=""),"",IF(AND($I441&lt;&gt;"",$I441&lt;=DateRef),"",IF(Effectif&lt;SeuilEffectif,"Non concerné (&lt; "&amp;SeuilEffectif&amp;" salariés)",IF($AH441="Oui","Pas de risque",IF(AND(OR($AI441="Non",$S441="En retard"),$AH441="Non"),"Risque abondement",IF(OR($AI441="Non",$S441="En retard"),"À vérifier (formation ?)",IF($AI441="Oui","Pas de risque","À compléter")))))))</f>
        <v/>
      </c>
      <c r="AK441" s="39"/>
    </row>
    <row r="442" customFormat="false" ht="15" hidden="false" customHeight="false" outlineLevel="0" collapsed="false">
      <c r="A442" s="39"/>
      <c r="B442" s="39"/>
      <c r="C442" s="39"/>
      <c r="D442" s="39"/>
      <c r="E442" s="39"/>
      <c r="F442" s="39"/>
      <c r="G442" s="40"/>
      <c r="H442" s="40"/>
      <c r="I442" s="40"/>
      <c r="J442" s="41" t="str">
        <f aca="false">IF(OR($B442="",$H442=""),"",IF($H442&gt;DateRef,0,YEARFRAC($H442,DateRef,1)))</f>
        <v/>
      </c>
      <c r="K442" s="42" t="str">
        <f aca="false">IF(OR($B442="",$H442=""),"",IF(EDATE($H442,12)&lt;=DateRef,"Plus d'un an","Moins d'un an"))</f>
        <v/>
      </c>
      <c r="L442" s="40"/>
      <c r="M442" s="43" t="str">
        <f aca="false">IF(OR($B442="",$A442=""),"",IF(SUMPRODUCT(MAX((Journal!$A$6:$A$1005=$A442)*Journal!$C$6:$C$1005))=0,"",SUMPRODUCT(MAX((Journal!$A$6:$A$1005=$A442)*Journal!$C$6:$C$1005))))</f>
        <v/>
      </c>
      <c r="N442" s="43" t="str">
        <f aca="false">IF($B442="","",IF(MAX($L442,$M442)=0,"",MAX($L442,$M442)))</f>
        <v/>
      </c>
      <c r="O442" s="44" t="str">
        <f aca="false">IF(OR($B442="",$H442=""),"",IF($N442="",IF(EDATE($H442,DelaiPremierEPP)&gt;DateRef,"1er EPP (1re année)","Aucun entretien renseigné"),IF(AND(ReglesTransitoires="Oui",EDATE($N442,AnciennePeriodiciteEP*12)&lt;DateVigueur),"Retard antérieur à la réforme","Périodicité "&amp;PeriodiciteEPP&amp;" ans")))</f>
        <v/>
      </c>
      <c r="P442" s="43" t="str">
        <f aca="false">IF(OR($B442="",$H442=""),"",IF($N442="",EDATE($H442,DelaiPremierEPP),IF(AND(ReglesTransitoires="Oui",EDATE($N442,AnciennePeriodiciteEP*12)&lt;DateVigueur),EDATE($N442,AnciennePeriodiciteEP*12),EDATE($N442,PeriodiciteEPP*12))))</f>
        <v/>
      </c>
      <c r="Q442" s="40"/>
      <c r="R442" s="45" t="str">
        <f aca="false">IF(OR($P442="",AND($I442&lt;&gt;"",$I442&lt;=DateRef)),"",$P442-DateRef)</f>
        <v/>
      </c>
      <c r="S442" s="42" t="str">
        <f aca="false">IF($B442="","",IF(AND($I442&lt;&gt;"",$I442&lt;=DateRef),"Sorti",IF($H442="","À compléter",IF(AND($Q442&lt;&gt;"",$Q442&gt;=DateRef,$Q442&lt;=$P442),"Planifié",IF($R442&lt;0,"En retard",IF($R442&lt;=SeuilAlerteEPP,"À planifier","À jour"))))))</f>
        <v/>
      </c>
      <c r="T442" s="46" t="str">
        <f aca="false">IF(OR($B442="",$S442="Sorti"),"",MID(IF($H442=""," | Date d'embauche manquante","")&amp;IF(AND($K442="Plus d'un an",$N442="")," | Précédent entretien à renseigner (ancienneté &gt; 1 an)","")&amp;IF($O442="Retard antérieur à la réforme"," | Ancien délai de 2 ans expiré avant la réforme","")&amp;IF(AND($N442&lt;&gt;"",$H442&lt;&gt;"",$N442&lt;$H442)," | Entretien antérieur à l'embauche ?","")&amp;IF(AND($N442&lt;&gt;"",$N442&gt;DateRef)," | Entretien daté dans le futur ?","")&amp;IF(AND($Q442&lt;&gt;"",$P442&lt;&gt;"",$Q442&gt;$P442)," | Date prévue après l'échéance","")&amp;IF(AND($Q442&lt;&gt;"",$Q442&lt;DateRef,OR($N442="",$N442&lt;$Q442))," | Entretien prévu passé : le consigner au Journal","")&amp;IF(AND($G442&lt;&gt;"",$X442="",YEAR(DateRef)-YEAR($G442)&gt;=AgeMiCarriere-1,YEAR(DateRef)-YEAR($G442)&lt;=AgeMiCarriere+1)," | Visite de mi-carrière à vérifier",""),4,1000))</f>
        <v/>
      </c>
      <c r="U442" s="39"/>
      <c r="V442" s="40"/>
      <c r="W442" s="42" t="str">
        <f aca="false">IF(OR($B442="",$V442=""),"",IF(AND($I442&lt;&gt;"",$I442&lt;=DateRef),"",IF(AND($N442&lt;&gt;"",$N442&gt;=$V442),"Réalisé",IF(AND($N442&lt;&gt;"",$N442&gt;=EDATE($V442,-FenetreRetour)),"Dispensé (EPP récent)",IF($V442&gt;DateRef,"À prévoir à la reprise","À proposer (reprise passée)")))))</f>
        <v/>
      </c>
      <c r="X442" s="40"/>
      <c r="Y442" s="43" t="str">
        <f aca="false">IF(OR($B442="",$X442=""),"",EDATE($X442,DelaiMiCarriere))</f>
        <v/>
      </c>
      <c r="Z442" s="42" t="str">
        <f aca="false">IF(OR($B442="",$X442=""),"",IF(AND($I442&lt;&gt;"",$I442&lt;=DateRef),"",IF(AND($N442&lt;&gt;"",$N442&gt;=$X442),"Réalisé",IF($Y442&lt;DateRef,"En retard","À planifier"))))</f>
        <v/>
      </c>
      <c r="AA442" s="47" t="str">
        <f aca="false">IF(OR($B442="",$G442=""),"",IF($G442&gt;DateRef,"",DATEDIF($G442,DateRef,"y")))</f>
        <v/>
      </c>
      <c r="AB442" s="43" t="str">
        <f aca="false">IF(OR($B442="",$G442=""),"",EDATE($G442,AgeFinCarriere*12))</f>
        <v/>
      </c>
      <c r="AC442" s="42" t="str">
        <f aca="false">IF(OR($B442="",$G442="",$H442=""),"",IF(AND($I442&lt;&gt;"",$I442&lt;=DateRef),"",IF($AB442&lt;DateVigueur,"Non concerné",IF(AND($N442&lt;&gt;"",$N442&gt;=MAX(EDATE($AB442,-FenetreFinCarriere*12),DateVigueur),$N442&lt;=$AB442),"Réalisé",IF(DateRef&gt;$AB442,"Non réalisé",IF(AND($Q442&lt;&gt;"",$Q442&gt;=EDATE($AB442,-FenetreFinCarriere*12),$Q442&lt;=$AB442),"Planifié dans la fenêtre",IF(AND(MAX($P442,DateRef)&gt;=EDATE($AB442,-FenetreFinCarriere*12),MAX($P442,DateRef)&lt;=$AB442),"Prochain EPP dans la fenêtre",IF(MAX($P442,DateRef)&gt;$AB442,"À programmer avant 60 ans",""))))))))</f>
        <v/>
      </c>
      <c r="AD442" s="40"/>
      <c r="AE442" s="43" t="str">
        <f aca="false">IF(OR($B442="",$H442="",AND($I442&lt;&gt;"",$I442&lt;=DateRef)),"",MAX($H442,$AD442,IF($A442="",0,SUMPRODUCT(MAX((Journal!$A$6:$A$1005=$A442)*((Journal!$D$6:$D$1005=TypeEDL)+(Journal!$D$6:$D$1005=TypeBilan6))*Journal!$C$6:$C$1005)))))</f>
        <v/>
      </c>
      <c r="AF442" s="43" t="str">
        <f aca="false">IF($AE442="","",IF(AND(ReglesTransitoires="Oui",EDATE($AE442,AnciennePeriodiciteEDL*12)&lt;DateVigueur),EDATE($AE442,AnciennePeriodiciteEDL*12),EDATE($AE442,PeriodiciteEDL*12)))</f>
        <v/>
      </c>
      <c r="AG442" s="42" t="str">
        <f aca="false">IF($AF442="","",IF(AND($I442&lt;&gt;"",$I442&lt;=DateRef),"",IF($AF442&lt;DateRef,"En retard",IF($AF442-DateRef&lt;=SeuilAlerteEDL,"À prévoir","À jour"))))</f>
        <v/>
      </c>
      <c r="AH442" s="39"/>
      <c r="AI442" s="39"/>
      <c r="AJ442" s="42" t="str">
        <f aca="false">IF(OR($B442="",$H442=""),"",IF(AND($I442&lt;&gt;"",$I442&lt;=DateRef),"",IF(Effectif&lt;SeuilEffectif,"Non concerné (&lt; "&amp;SeuilEffectif&amp;" salariés)",IF($AH442="Oui","Pas de risque",IF(AND(OR($AI442="Non",$S442="En retard"),$AH442="Non"),"Risque abondement",IF(OR($AI442="Non",$S442="En retard"),"À vérifier (formation ?)",IF($AI442="Oui","Pas de risque","À compléter")))))))</f>
        <v/>
      </c>
      <c r="AK442" s="39"/>
    </row>
    <row r="443" customFormat="false" ht="15" hidden="false" customHeight="false" outlineLevel="0" collapsed="false">
      <c r="A443" s="39"/>
      <c r="B443" s="39"/>
      <c r="C443" s="39"/>
      <c r="D443" s="39"/>
      <c r="E443" s="39"/>
      <c r="F443" s="39"/>
      <c r="G443" s="40"/>
      <c r="H443" s="40"/>
      <c r="I443" s="40"/>
      <c r="J443" s="41" t="str">
        <f aca="false">IF(OR($B443="",$H443=""),"",IF($H443&gt;DateRef,0,YEARFRAC($H443,DateRef,1)))</f>
        <v/>
      </c>
      <c r="K443" s="42" t="str">
        <f aca="false">IF(OR($B443="",$H443=""),"",IF(EDATE($H443,12)&lt;=DateRef,"Plus d'un an","Moins d'un an"))</f>
        <v/>
      </c>
      <c r="L443" s="40"/>
      <c r="M443" s="43" t="str">
        <f aca="false">IF(OR($B443="",$A443=""),"",IF(SUMPRODUCT(MAX((Journal!$A$6:$A$1005=$A443)*Journal!$C$6:$C$1005))=0,"",SUMPRODUCT(MAX((Journal!$A$6:$A$1005=$A443)*Journal!$C$6:$C$1005))))</f>
        <v/>
      </c>
      <c r="N443" s="43" t="str">
        <f aca="false">IF($B443="","",IF(MAX($L443,$M443)=0,"",MAX($L443,$M443)))</f>
        <v/>
      </c>
      <c r="O443" s="44" t="str">
        <f aca="false">IF(OR($B443="",$H443=""),"",IF($N443="",IF(EDATE($H443,DelaiPremierEPP)&gt;DateRef,"1er EPP (1re année)","Aucun entretien renseigné"),IF(AND(ReglesTransitoires="Oui",EDATE($N443,AnciennePeriodiciteEP*12)&lt;DateVigueur),"Retard antérieur à la réforme","Périodicité "&amp;PeriodiciteEPP&amp;" ans")))</f>
        <v/>
      </c>
      <c r="P443" s="43" t="str">
        <f aca="false">IF(OR($B443="",$H443=""),"",IF($N443="",EDATE($H443,DelaiPremierEPP),IF(AND(ReglesTransitoires="Oui",EDATE($N443,AnciennePeriodiciteEP*12)&lt;DateVigueur),EDATE($N443,AnciennePeriodiciteEP*12),EDATE($N443,PeriodiciteEPP*12))))</f>
        <v/>
      </c>
      <c r="Q443" s="40"/>
      <c r="R443" s="45" t="str">
        <f aca="false">IF(OR($P443="",AND($I443&lt;&gt;"",$I443&lt;=DateRef)),"",$P443-DateRef)</f>
        <v/>
      </c>
      <c r="S443" s="42" t="str">
        <f aca="false">IF($B443="","",IF(AND($I443&lt;&gt;"",$I443&lt;=DateRef),"Sorti",IF($H443="","À compléter",IF(AND($Q443&lt;&gt;"",$Q443&gt;=DateRef,$Q443&lt;=$P443),"Planifié",IF($R443&lt;0,"En retard",IF($R443&lt;=SeuilAlerteEPP,"À planifier","À jour"))))))</f>
        <v/>
      </c>
      <c r="T443" s="46" t="str">
        <f aca="false">IF(OR($B443="",$S443="Sorti"),"",MID(IF($H443=""," | Date d'embauche manquante","")&amp;IF(AND($K443="Plus d'un an",$N443="")," | Précédent entretien à renseigner (ancienneté &gt; 1 an)","")&amp;IF($O443="Retard antérieur à la réforme"," | Ancien délai de 2 ans expiré avant la réforme","")&amp;IF(AND($N443&lt;&gt;"",$H443&lt;&gt;"",$N443&lt;$H443)," | Entretien antérieur à l'embauche ?","")&amp;IF(AND($N443&lt;&gt;"",$N443&gt;DateRef)," | Entretien daté dans le futur ?","")&amp;IF(AND($Q443&lt;&gt;"",$P443&lt;&gt;"",$Q443&gt;$P443)," | Date prévue après l'échéance","")&amp;IF(AND($Q443&lt;&gt;"",$Q443&lt;DateRef,OR($N443="",$N443&lt;$Q443))," | Entretien prévu passé : le consigner au Journal","")&amp;IF(AND($G443&lt;&gt;"",$X443="",YEAR(DateRef)-YEAR($G443)&gt;=AgeMiCarriere-1,YEAR(DateRef)-YEAR($G443)&lt;=AgeMiCarriere+1)," | Visite de mi-carrière à vérifier",""),4,1000))</f>
        <v/>
      </c>
      <c r="U443" s="39"/>
      <c r="V443" s="40"/>
      <c r="W443" s="42" t="str">
        <f aca="false">IF(OR($B443="",$V443=""),"",IF(AND($I443&lt;&gt;"",$I443&lt;=DateRef),"",IF(AND($N443&lt;&gt;"",$N443&gt;=$V443),"Réalisé",IF(AND($N443&lt;&gt;"",$N443&gt;=EDATE($V443,-FenetreRetour)),"Dispensé (EPP récent)",IF($V443&gt;DateRef,"À prévoir à la reprise","À proposer (reprise passée)")))))</f>
        <v/>
      </c>
      <c r="X443" s="40"/>
      <c r="Y443" s="43" t="str">
        <f aca="false">IF(OR($B443="",$X443=""),"",EDATE($X443,DelaiMiCarriere))</f>
        <v/>
      </c>
      <c r="Z443" s="42" t="str">
        <f aca="false">IF(OR($B443="",$X443=""),"",IF(AND($I443&lt;&gt;"",$I443&lt;=DateRef),"",IF(AND($N443&lt;&gt;"",$N443&gt;=$X443),"Réalisé",IF($Y443&lt;DateRef,"En retard","À planifier"))))</f>
        <v/>
      </c>
      <c r="AA443" s="47" t="str">
        <f aca="false">IF(OR($B443="",$G443=""),"",IF($G443&gt;DateRef,"",DATEDIF($G443,DateRef,"y")))</f>
        <v/>
      </c>
      <c r="AB443" s="43" t="str">
        <f aca="false">IF(OR($B443="",$G443=""),"",EDATE($G443,AgeFinCarriere*12))</f>
        <v/>
      </c>
      <c r="AC443" s="42" t="str">
        <f aca="false">IF(OR($B443="",$G443="",$H443=""),"",IF(AND($I443&lt;&gt;"",$I443&lt;=DateRef),"",IF($AB443&lt;DateVigueur,"Non concerné",IF(AND($N443&lt;&gt;"",$N443&gt;=MAX(EDATE($AB443,-FenetreFinCarriere*12),DateVigueur),$N443&lt;=$AB443),"Réalisé",IF(DateRef&gt;$AB443,"Non réalisé",IF(AND($Q443&lt;&gt;"",$Q443&gt;=EDATE($AB443,-FenetreFinCarriere*12),$Q443&lt;=$AB443),"Planifié dans la fenêtre",IF(AND(MAX($P443,DateRef)&gt;=EDATE($AB443,-FenetreFinCarriere*12),MAX($P443,DateRef)&lt;=$AB443),"Prochain EPP dans la fenêtre",IF(MAX($P443,DateRef)&gt;$AB443,"À programmer avant 60 ans",""))))))))</f>
        <v/>
      </c>
      <c r="AD443" s="40"/>
      <c r="AE443" s="43" t="str">
        <f aca="false">IF(OR($B443="",$H443="",AND($I443&lt;&gt;"",$I443&lt;=DateRef)),"",MAX($H443,$AD443,IF($A443="",0,SUMPRODUCT(MAX((Journal!$A$6:$A$1005=$A443)*((Journal!$D$6:$D$1005=TypeEDL)+(Journal!$D$6:$D$1005=TypeBilan6))*Journal!$C$6:$C$1005)))))</f>
        <v/>
      </c>
      <c r="AF443" s="43" t="str">
        <f aca="false">IF($AE443="","",IF(AND(ReglesTransitoires="Oui",EDATE($AE443,AnciennePeriodiciteEDL*12)&lt;DateVigueur),EDATE($AE443,AnciennePeriodiciteEDL*12),EDATE($AE443,PeriodiciteEDL*12)))</f>
        <v/>
      </c>
      <c r="AG443" s="42" t="str">
        <f aca="false">IF($AF443="","",IF(AND($I443&lt;&gt;"",$I443&lt;=DateRef),"",IF($AF443&lt;DateRef,"En retard",IF($AF443-DateRef&lt;=SeuilAlerteEDL,"À prévoir","À jour"))))</f>
        <v/>
      </c>
      <c r="AH443" s="39"/>
      <c r="AI443" s="39"/>
      <c r="AJ443" s="42" t="str">
        <f aca="false">IF(OR($B443="",$H443=""),"",IF(AND($I443&lt;&gt;"",$I443&lt;=DateRef),"",IF(Effectif&lt;SeuilEffectif,"Non concerné (&lt; "&amp;SeuilEffectif&amp;" salariés)",IF($AH443="Oui","Pas de risque",IF(AND(OR($AI443="Non",$S443="En retard"),$AH443="Non"),"Risque abondement",IF(OR($AI443="Non",$S443="En retard"),"À vérifier (formation ?)",IF($AI443="Oui","Pas de risque","À compléter")))))))</f>
        <v/>
      </c>
      <c r="AK443" s="39"/>
    </row>
    <row r="444" customFormat="false" ht="15" hidden="false" customHeight="false" outlineLevel="0" collapsed="false">
      <c r="A444" s="39"/>
      <c r="B444" s="39"/>
      <c r="C444" s="39"/>
      <c r="D444" s="39"/>
      <c r="E444" s="39"/>
      <c r="F444" s="39"/>
      <c r="G444" s="40"/>
      <c r="H444" s="40"/>
      <c r="I444" s="40"/>
      <c r="J444" s="41" t="str">
        <f aca="false">IF(OR($B444="",$H444=""),"",IF($H444&gt;DateRef,0,YEARFRAC($H444,DateRef,1)))</f>
        <v/>
      </c>
      <c r="K444" s="42" t="str">
        <f aca="false">IF(OR($B444="",$H444=""),"",IF(EDATE($H444,12)&lt;=DateRef,"Plus d'un an","Moins d'un an"))</f>
        <v/>
      </c>
      <c r="L444" s="40"/>
      <c r="M444" s="43" t="str">
        <f aca="false">IF(OR($B444="",$A444=""),"",IF(SUMPRODUCT(MAX((Journal!$A$6:$A$1005=$A444)*Journal!$C$6:$C$1005))=0,"",SUMPRODUCT(MAX((Journal!$A$6:$A$1005=$A444)*Journal!$C$6:$C$1005))))</f>
        <v/>
      </c>
      <c r="N444" s="43" t="str">
        <f aca="false">IF($B444="","",IF(MAX($L444,$M444)=0,"",MAX($L444,$M444)))</f>
        <v/>
      </c>
      <c r="O444" s="44" t="str">
        <f aca="false">IF(OR($B444="",$H444=""),"",IF($N444="",IF(EDATE($H444,DelaiPremierEPP)&gt;DateRef,"1er EPP (1re année)","Aucun entretien renseigné"),IF(AND(ReglesTransitoires="Oui",EDATE($N444,AnciennePeriodiciteEP*12)&lt;DateVigueur),"Retard antérieur à la réforme","Périodicité "&amp;PeriodiciteEPP&amp;" ans")))</f>
        <v/>
      </c>
      <c r="P444" s="43" t="str">
        <f aca="false">IF(OR($B444="",$H444=""),"",IF($N444="",EDATE($H444,DelaiPremierEPP),IF(AND(ReglesTransitoires="Oui",EDATE($N444,AnciennePeriodiciteEP*12)&lt;DateVigueur),EDATE($N444,AnciennePeriodiciteEP*12),EDATE($N444,PeriodiciteEPP*12))))</f>
        <v/>
      </c>
      <c r="Q444" s="40"/>
      <c r="R444" s="45" t="str">
        <f aca="false">IF(OR($P444="",AND($I444&lt;&gt;"",$I444&lt;=DateRef)),"",$P444-DateRef)</f>
        <v/>
      </c>
      <c r="S444" s="42" t="str">
        <f aca="false">IF($B444="","",IF(AND($I444&lt;&gt;"",$I444&lt;=DateRef),"Sorti",IF($H444="","À compléter",IF(AND($Q444&lt;&gt;"",$Q444&gt;=DateRef,$Q444&lt;=$P444),"Planifié",IF($R444&lt;0,"En retard",IF($R444&lt;=SeuilAlerteEPP,"À planifier","À jour"))))))</f>
        <v/>
      </c>
      <c r="T444" s="46" t="str">
        <f aca="false">IF(OR($B444="",$S444="Sorti"),"",MID(IF($H444=""," | Date d'embauche manquante","")&amp;IF(AND($K444="Plus d'un an",$N444="")," | Précédent entretien à renseigner (ancienneté &gt; 1 an)","")&amp;IF($O444="Retard antérieur à la réforme"," | Ancien délai de 2 ans expiré avant la réforme","")&amp;IF(AND($N444&lt;&gt;"",$H444&lt;&gt;"",$N444&lt;$H444)," | Entretien antérieur à l'embauche ?","")&amp;IF(AND($N444&lt;&gt;"",$N444&gt;DateRef)," | Entretien daté dans le futur ?","")&amp;IF(AND($Q444&lt;&gt;"",$P444&lt;&gt;"",$Q444&gt;$P444)," | Date prévue après l'échéance","")&amp;IF(AND($Q444&lt;&gt;"",$Q444&lt;DateRef,OR($N444="",$N444&lt;$Q444))," | Entretien prévu passé : le consigner au Journal","")&amp;IF(AND($G444&lt;&gt;"",$X444="",YEAR(DateRef)-YEAR($G444)&gt;=AgeMiCarriere-1,YEAR(DateRef)-YEAR($G444)&lt;=AgeMiCarriere+1)," | Visite de mi-carrière à vérifier",""),4,1000))</f>
        <v/>
      </c>
      <c r="U444" s="39"/>
      <c r="V444" s="40"/>
      <c r="W444" s="42" t="str">
        <f aca="false">IF(OR($B444="",$V444=""),"",IF(AND($I444&lt;&gt;"",$I444&lt;=DateRef),"",IF(AND($N444&lt;&gt;"",$N444&gt;=$V444),"Réalisé",IF(AND($N444&lt;&gt;"",$N444&gt;=EDATE($V444,-FenetreRetour)),"Dispensé (EPP récent)",IF($V444&gt;DateRef,"À prévoir à la reprise","À proposer (reprise passée)")))))</f>
        <v/>
      </c>
      <c r="X444" s="40"/>
      <c r="Y444" s="43" t="str">
        <f aca="false">IF(OR($B444="",$X444=""),"",EDATE($X444,DelaiMiCarriere))</f>
        <v/>
      </c>
      <c r="Z444" s="42" t="str">
        <f aca="false">IF(OR($B444="",$X444=""),"",IF(AND($I444&lt;&gt;"",$I444&lt;=DateRef),"",IF(AND($N444&lt;&gt;"",$N444&gt;=$X444),"Réalisé",IF($Y444&lt;DateRef,"En retard","À planifier"))))</f>
        <v/>
      </c>
      <c r="AA444" s="47" t="str">
        <f aca="false">IF(OR($B444="",$G444=""),"",IF($G444&gt;DateRef,"",DATEDIF($G444,DateRef,"y")))</f>
        <v/>
      </c>
      <c r="AB444" s="43" t="str">
        <f aca="false">IF(OR($B444="",$G444=""),"",EDATE($G444,AgeFinCarriere*12))</f>
        <v/>
      </c>
      <c r="AC444" s="42" t="str">
        <f aca="false">IF(OR($B444="",$G444="",$H444=""),"",IF(AND($I444&lt;&gt;"",$I444&lt;=DateRef),"",IF($AB444&lt;DateVigueur,"Non concerné",IF(AND($N444&lt;&gt;"",$N444&gt;=MAX(EDATE($AB444,-FenetreFinCarriere*12),DateVigueur),$N444&lt;=$AB444),"Réalisé",IF(DateRef&gt;$AB444,"Non réalisé",IF(AND($Q444&lt;&gt;"",$Q444&gt;=EDATE($AB444,-FenetreFinCarriere*12),$Q444&lt;=$AB444),"Planifié dans la fenêtre",IF(AND(MAX($P444,DateRef)&gt;=EDATE($AB444,-FenetreFinCarriere*12),MAX($P444,DateRef)&lt;=$AB444),"Prochain EPP dans la fenêtre",IF(MAX($P444,DateRef)&gt;$AB444,"À programmer avant 60 ans",""))))))))</f>
        <v/>
      </c>
      <c r="AD444" s="40"/>
      <c r="AE444" s="43" t="str">
        <f aca="false">IF(OR($B444="",$H444="",AND($I444&lt;&gt;"",$I444&lt;=DateRef)),"",MAX($H444,$AD444,IF($A444="",0,SUMPRODUCT(MAX((Journal!$A$6:$A$1005=$A444)*((Journal!$D$6:$D$1005=TypeEDL)+(Journal!$D$6:$D$1005=TypeBilan6))*Journal!$C$6:$C$1005)))))</f>
        <v/>
      </c>
      <c r="AF444" s="43" t="str">
        <f aca="false">IF($AE444="","",IF(AND(ReglesTransitoires="Oui",EDATE($AE444,AnciennePeriodiciteEDL*12)&lt;DateVigueur),EDATE($AE444,AnciennePeriodiciteEDL*12),EDATE($AE444,PeriodiciteEDL*12)))</f>
        <v/>
      </c>
      <c r="AG444" s="42" t="str">
        <f aca="false">IF($AF444="","",IF(AND($I444&lt;&gt;"",$I444&lt;=DateRef),"",IF($AF444&lt;DateRef,"En retard",IF($AF444-DateRef&lt;=SeuilAlerteEDL,"À prévoir","À jour"))))</f>
        <v/>
      </c>
      <c r="AH444" s="39"/>
      <c r="AI444" s="39"/>
      <c r="AJ444" s="42" t="str">
        <f aca="false">IF(OR($B444="",$H444=""),"",IF(AND($I444&lt;&gt;"",$I444&lt;=DateRef),"",IF(Effectif&lt;SeuilEffectif,"Non concerné (&lt; "&amp;SeuilEffectif&amp;" salariés)",IF($AH444="Oui","Pas de risque",IF(AND(OR($AI444="Non",$S444="En retard"),$AH444="Non"),"Risque abondement",IF(OR($AI444="Non",$S444="En retard"),"À vérifier (formation ?)",IF($AI444="Oui","Pas de risque","À compléter")))))))</f>
        <v/>
      </c>
      <c r="AK444" s="39"/>
    </row>
    <row r="445" customFormat="false" ht="15" hidden="false" customHeight="false" outlineLevel="0" collapsed="false">
      <c r="A445" s="39"/>
      <c r="B445" s="39"/>
      <c r="C445" s="39"/>
      <c r="D445" s="39"/>
      <c r="E445" s="39"/>
      <c r="F445" s="39"/>
      <c r="G445" s="40"/>
      <c r="H445" s="40"/>
      <c r="I445" s="40"/>
      <c r="J445" s="41" t="str">
        <f aca="false">IF(OR($B445="",$H445=""),"",IF($H445&gt;DateRef,0,YEARFRAC($H445,DateRef,1)))</f>
        <v/>
      </c>
      <c r="K445" s="42" t="str">
        <f aca="false">IF(OR($B445="",$H445=""),"",IF(EDATE($H445,12)&lt;=DateRef,"Plus d'un an","Moins d'un an"))</f>
        <v/>
      </c>
      <c r="L445" s="40"/>
      <c r="M445" s="43" t="str">
        <f aca="false">IF(OR($B445="",$A445=""),"",IF(SUMPRODUCT(MAX((Journal!$A$6:$A$1005=$A445)*Journal!$C$6:$C$1005))=0,"",SUMPRODUCT(MAX((Journal!$A$6:$A$1005=$A445)*Journal!$C$6:$C$1005))))</f>
        <v/>
      </c>
      <c r="N445" s="43" t="str">
        <f aca="false">IF($B445="","",IF(MAX($L445,$M445)=0,"",MAX($L445,$M445)))</f>
        <v/>
      </c>
      <c r="O445" s="44" t="str">
        <f aca="false">IF(OR($B445="",$H445=""),"",IF($N445="",IF(EDATE($H445,DelaiPremierEPP)&gt;DateRef,"1er EPP (1re année)","Aucun entretien renseigné"),IF(AND(ReglesTransitoires="Oui",EDATE($N445,AnciennePeriodiciteEP*12)&lt;DateVigueur),"Retard antérieur à la réforme","Périodicité "&amp;PeriodiciteEPP&amp;" ans")))</f>
        <v/>
      </c>
      <c r="P445" s="43" t="str">
        <f aca="false">IF(OR($B445="",$H445=""),"",IF($N445="",EDATE($H445,DelaiPremierEPP),IF(AND(ReglesTransitoires="Oui",EDATE($N445,AnciennePeriodiciteEP*12)&lt;DateVigueur),EDATE($N445,AnciennePeriodiciteEP*12),EDATE($N445,PeriodiciteEPP*12))))</f>
        <v/>
      </c>
      <c r="Q445" s="40"/>
      <c r="R445" s="45" t="str">
        <f aca="false">IF(OR($P445="",AND($I445&lt;&gt;"",$I445&lt;=DateRef)),"",$P445-DateRef)</f>
        <v/>
      </c>
      <c r="S445" s="42" t="str">
        <f aca="false">IF($B445="","",IF(AND($I445&lt;&gt;"",$I445&lt;=DateRef),"Sorti",IF($H445="","À compléter",IF(AND($Q445&lt;&gt;"",$Q445&gt;=DateRef,$Q445&lt;=$P445),"Planifié",IF($R445&lt;0,"En retard",IF($R445&lt;=SeuilAlerteEPP,"À planifier","À jour"))))))</f>
        <v/>
      </c>
      <c r="T445" s="46" t="str">
        <f aca="false">IF(OR($B445="",$S445="Sorti"),"",MID(IF($H445=""," | Date d'embauche manquante","")&amp;IF(AND($K445="Plus d'un an",$N445="")," | Précédent entretien à renseigner (ancienneté &gt; 1 an)","")&amp;IF($O445="Retard antérieur à la réforme"," | Ancien délai de 2 ans expiré avant la réforme","")&amp;IF(AND($N445&lt;&gt;"",$H445&lt;&gt;"",$N445&lt;$H445)," | Entretien antérieur à l'embauche ?","")&amp;IF(AND($N445&lt;&gt;"",$N445&gt;DateRef)," | Entretien daté dans le futur ?","")&amp;IF(AND($Q445&lt;&gt;"",$P445&lt;&gt;"",$Q445&gt;$P445)," | Date prévue après l'échéance","")&amp;IF(AND($Q445&lt;&gt;"",$Q445&lt;DateRef,OR($N445="",$N445&lt;$Q445))," | Entretien prévu passé : le consigner au Journal","")&amp;IF(AND($G445&lt;&gt;"",$X445="",YEAR(DateRef)-YEAR($G445)&gt;=AgeMiCarriere-1,YEAR(DateRef)-YEAR($G445)&lt;=AgeMiCarriere+1)," | Visite de mi-carrière à vérifier",""),4,1000))</f>
        <v/>
      </c>
      <c r="U445" s="39"/>
      <c r="V445" s="40"/>
      <c r="W445" s="42" t="str">
        <f aca="false">IF(OR($B445="",$V445=""),"",IF(AND($I445&lt;&gt;"",$I445&lt;=DateRef),"",IF(AND($N445&lt;&gt;"",$N445&gt;=$V445),"Réalisé",IF(AND($N445&lt;&gt;"",$N445&gt;=EDATE($V445,-FenetreRetour)),"Dispensé (EPP récent)",IF($V445&gt;DateRef,"À prévoir à la reprise","À proposer (reprise passée)")))))</f>
        <v/>
      </c>
      <c r="X445" s="40"/>
      <c r="Y445" s="43" t="str">
        <f aca="false">IF(OR($B445="",$X445=""),"",EDATE($X445,DelaiMiCarriere))</f>
        <v/>
      </c>
      <c r="Z445" s="42" t="str">
        <f aca="false">IF(OR($B445="",$X445=""),"",IF(AND($I445&lt;&gt;"",$I445&lt;=DateRef),"",IF(AND($N445&lt;&gt;"",$N445&gt;=$X445),"Réalisé",IF($Y445&lt;DateRef,"En retard","À planifier"))))</f>
        <v/>
      </c>
      <c r="AA445" s="47" t="str">
        <f aca="false">IF(OR($B445="",$G445=""),"",IF($G445&gt;DateRef,"",DATEDIF($G445,DateRef,"y")))</f>
        <v/>
      </c>
      <c r="AB445" s="43" t="str">
        <f aca="false">IF(OR($B445="",$G445=""),"",EDATE($G445,AgeFinCarriere*12))</f>
        <v/>
      </c>
      <c r="AC445" s="42" t="str">
        <f aca="false">IF(OR($B445="",$G445="",$H445=""),"",IF(AND($I445&lt;&gt;"",$I445&lt;=DateRef),"",IF($AB445&lt;DateVigueur,"Non concerné",IF(AND($N445&lt;&gt;"",$N445&gt;=MAX(EDATE($AB445,-FenetreFinCarriere*12),DateVigueur),$N445&lt;=$AB445),"Réalisé",IF(DateRef&gt;$AB445,"Non réalisé",IF(AND($Q445&lt;&gt;"",$Q445&gt;=EDATE($AB445,-FenetreFinCarriere*12),$Q445&lt;=$AB445),"Planifié dans la fenêtre",IF(AND(MAX($P445,DateRef)&gt;=EDATE($AB445,-FenetreFinCarriere*12),MAX($P445,DateRef)&lt;=$AB445),"Prochain EPP dans la fenêtre",IF(MAX($P445,DateRef)&gt;$AB445,"À programmer avant 60 ans",""))))))))</f>
        <v/>
      </c>
      <c r="AD445" s="40"/>
      <c r="AE445" s="43" t="str">
        <f aca="false">IF(OR($B445="",$H445="",AND($I445&lt;&gt;"",$I445&lt;=DateRef)),"",MAX($H445,$AD445,IF($A445="",0,SUMPRODUCT(MAX((Journal!$A$6:$A$1005=$A445)*((Journal!$D$6:$D$1005=TypeEDL)+(Journal!$D$6:$D$1005=TypeBilan6))*Journal!$C$6:$C$1005)))))</f>
        <v/>
      </c>
      <c r="AF445" s="43" t="str">
        <f aca="false">IF($AE445="","",IF(AND(ReglesTransitoires="Oui",EDATE($AE445,AnciennePeriodiciteEDL*12)&lt;DateVigueur),EDATE($AE445,AnciennePeriodiciteEDL*12),EDATE($AE445,PeriodiciteEDL*12)))</f>
        <v/>
      </c>
      <c r="AG445" s="42" t="str">
        <f aca="false">IF($AF445="","",IF(AND($I445&lt;&gt;"",$I445&lt;=DateRef),"",IF($AF445&lt;DateRef,"En retard",IF($AF445-DateRef&lt;=SeuilAlerteEDL,"À prévoir","À jour"))))</f>
        <v/>
      </c>
      <c r="AH445" s="39"/>
      <c r="AI445" s="39"/>
      <c r="AJ445" s="42" t="str">
        <f aca="false">IF(OR($B445="",$H445=""),"",IF(AND($I445&lt;&gt;"",$I445&lt;=DateRef),"",IF(Effectif&lt;SeuilEffectif,"Non concerné (&lt; "&amp;SeuilEffectif&amp;" salariés)",IF($AH445="Oui","Pas de risque",IF(AND(OR($AI445="Non",$S445="En retard"),$AH445="Non"),"Risque abondement",IF(OR($AI445="Non",$S445="En retard"),"À vérifier (formation ?)",IF($AI445="Oui","Pas de risque","À compléter")))))))</f>
        <v/>
      </c>
      <c r="AK445" s="39"/>
    </row>
    <row r="446" customFormat="false" ht="15" hidden="false" customHeight="false" outlineLevel="0" collapsed="false">
      <c r="A446" s="39"/>
      <c r="B446" s="39"/>
      <c r="C446" s="39"/>
      <c r="D446" s="39"/>
      <c r="E446" s="39"/>
      <c r="F446" s="39"/>
      <c r="G446" s="40"/>
      <c r="H446" s="40"/>
      <c r="I446" s="40"/>
      <c r="J446" s="41" t="str">
        <f aca="false">IF(OR($B446="",$H446=""),"",IF($H446&gt;DateRef,0,YEARFRAC($H446,DateRef,1)))</f>
        <v/>
      </c>
      <c r="K446" s="42" t="str">
        <f aca="false">IF(OR($B446="",$H446=""),"",IF(EDATE($H446,12)&lt;=DateRef,"Plus d'un an","Moins d'un an"))</f>
        <v/>
      </c>
      <c r="L446" s="40"/>
      <c r="M446" s="43" t="str">
        <f aca="false">IF(OR($B446="",$A446=""),"",IF(SUMPRODUCT(MAX((Journal!$A$6:$A$1005=$A446)*Journal!$C$6:$C$1005))=0,"",SUMPRODUCT(MAX((Journal!$A$6:$A$1005=$A446)*Journal!$C$6:$C$1005))))</f>
        <v/>
      </c>
      <c r="N446" s="43" t="str">
        <f aca="false">IF($B446="","",IF(MAX($L446,$M446)=0,"",MAX($L446,$M446)))</f>
        <v/>
      </c>
      <c r="O446" s="44" t="str">
        <f aca="false">IF(OR($B446="",$H446=""),"",IF($N446="",IF(EDATE($H446,DelaiPremierEPP)&gt;DateRef,"1er EPP (1re année)","Aucun entretien renseigné"),IF(AND(ReglesTransitoires="Oui",EDATE($N446,AnciennePeriodiciteEP*12)&lt;DateVigueur),"Retard antérieur à la réforme","Périodicité "&amp;PeriodiciteEPP&amp;" ans")))</f>
        <v/>
      </c>
      <c r="P446" s="43" t="str">
        <f aca="false">IF(OR($B446="",$H446=""),"",IF($N446="",EDATE($H446,DelaiPremierEPP),IF(AND(ReglesTransitoires="Oui",EDATE($N446,AnciennePeriodiciteEP*12)&lt;DateVigueur),EDATE($N446,AnciennePeriodiciteEP*12),EDATE($N446,PeriodiciteEPP*12))))</f>
        <v/>
      </c>
      <c r="Q446" s="40"/>
      <c r="R446" s="45" t="str">
        <f aca="false">IF(OR($P446="",AND($I446&lt;&gt;"",$I446&lt;=DateRef)),"",$P446-DateRef)</f>
        <v/>
      </c>
      <c r="S446" s="42" t="str">
        <f aca="false">IF($B446="","",IF(AND($I446&lt;&gt;"",$I446&lt;=DateRef),"Sorti",IF($H446="","À compléter",IF(AND($Q446&lt;&gt;"",$Q446&gt;=DateRef,$Q446&lt;=$P446),"Planifié",IF($R446&lt;0,"En retard",IF($R446&lt;=SeuilAlerteEPP,"À planifier","À jour"))))))</f>
        <v/>
      </c>
      <c r="T446" s="46" t="str">
        <f aca="false">IF(OR($B446="",$S446="Sorti"),"",MID(IF($H446=""," | Date d'embauche manquante","")&amp;IF(AND($K446="Plus d'un an",$N446="")," | Précédent entretien à renseigner (ancienneté &gt; 1 an)","")&amp;IF($O446="Retard antérieur à la réforme"," | Ancien délai de 2 ans expiré avant la réforme","")&amp;IF(AND($N446&lt;&gt;"",$H446&lt;&gt;"",$N446&lt;$H446)," | Entretien antérieur à l'embauche ?","")&amp;IF(AND($N446&lt;&gt;"",$N446&gt;DateRef)," | Entretien daté dans le futur ?","")&amp;IF(AND($Q446&lt;&gt;"",$P446&lt;&gt;"",$Q446&gt;$P446)," | Date prévue après l'échéance","")&amp;IF(AND($Q446&lt;&gt;"",$Q446&lt;DateRef,OR($N446="",$N446&lt;$Q446))," | Entretien prévu passé : le consigner au Journal","")&amp;IF(AND($G446&lt;&gt;"",$X446="",YEAR(DateRef)-YEAR($G446)&gt;=AgeMiCarriere-1,YEAR(DateRef)-YEAR($G446)&lt;=AgeMiCarriere+1)," | Visite de mi-carrière à vérifier",""),4,1000))</f>
        <v/>
      </c>
      <c r="U446" s="39"/>
      <c r="V446" s="40"/>
      <c r="W446" s="42" t="str">
        <f aca="false">IF(OR($B446="",$V446=""),"",IF(AND($I446&lt;&gt;"",$I446&lt;=DateRef),"",IF(AND($N446&lt;&gt;"",$N446&gt;=$V446),"Réalisé",IF(AND($N446&lt;&gt;"",$N446&gt;=EDATE($V446,-FenetreRetour)),"Dispensé (EPP récent)",IF($V446&gt;DateRef,"À prévoir à la reprise","À proposer (reprise passée)")))))</f>
        <v/>
      </c>
      <c r="X446" s="40"/>
      <c r="Y446" s="43" t="str">
        <f aca="false">IF(OR($B446="",$X446=""),"",EDATE($X446,DelaiMiCarriere))</f>
        <v/>
      </c>
      <c r="Z446" s="42" t="str">
        <f aca="false">IF(OR($B446="",$X446=""),"",IF(AND($I446&lt;&gt;"",$I446&lt;=DateRef),"",IF(AND($N446&lt;&gt;"",$N446&gt;=$X446),"Réalisé",IF($Y446&lt;DateRef,"En retard","À planifier"))))</f>
        <v/>
      </c>
      <c r="AA446" s="47" t="str">
        <f aca="false">IF(OR($B446="",$G446=""),"",IF($G446&gt;DateRef,"",DATEDIF($G446,DateRef,"y")))</f>
        <v/>
      </c>
      <c r="AB446" s="43" t="str">
        <f aca="false">IF(OR($B446="",$G446=""),"",EDATE($G446,AgeFinCarriere*12))</f>
        <v/>
      </c>
      <c r="AC446" s="42" t="str">
        <f aca="false">IF(OR($B446="",$G446="",$H446=""),"",IF(AND($I446&lt;&gt;"",$I446&lt;=DateRef),"",IF($AB446&lt;DateVigueur,"Non concerné",IF(AND($N446&lt;&gt;"",$N446&gt;=MAX(EDATE($AB446,-FenetreFinCarriere*12),DateVigueur),$N446&lt;=$AB446),"Réalisé",IF(DateRef&gt;$AB446,"Non réalisé",IF(AND($Q446&lt;&gt;"",$Q446&gt;=EDATE($AB446,-FenetreFinCarriere*12),$Q446&lt;=$AB446),"Planifié dans la fenêtre",IF(AND(MAX($P446,DateRef)&gt;=EDATE($AB446,-FenetreFinCarriere*12),MAX($P446,DateRef)&lt;=$AB446),"Prochain EPP dans la fenêtre",IF(MAX($P446,DateRef)&gt;$AB446,"À programmer avant 60 ans",""))))))))</f>
        <v/>
      </c>
      <c r="AD446" s="40"/>
      <c r="AE446" s="43" t="str">
        <f aca="false">IF(OR($B446="",$H446="",AND($I446&lt;&gt;"",$I446&lt;=DateRef)),"",MAX($H446,$AD446,IF($A446="",0,SUMPRODUCT(MAX((Journal!$A$6:$A$1005=$A446)*((Journal!$D$6:$D$1005=TypeEDL)+(Journal!$D$6:$D$1005=TypeBilan6))*Journal!$C$6:$C$1005)))))</f>
        <v/>
      </c>
      <c r="AF446" s="43" t="str">
        <f aca="false">IF($AE446="","",IF(AND(ReglesTransitoires="Oui",EDATE($AE446,AnciennePeriodiciteEDL*12)&lt;DateVigueur),EDATE($AE446,AnciennePeriodiciteEDL*12),EDATE($AE446,PeriodiciteEDL*12)))</f>
        <v/>
      </c>
      <c r="AG446" s="42" t="str">
        <f aca="false">IF($AF446="","",IF(AND($I446&lt;&gt;"",$I446&lt;=DateRef),"",IF($AF446&lt;DateRef,"En retard",IF($AF446-DateRef&lt;=SeuilAlerteEDL,"À prévoir","À jour"))))</f>
        <v/>
      </c>
      <c r="AH446" s="39"/>
      <c r="AI446" s="39"/>
      <c r="AJ446" s="42" t="str">
        <f aca="false">IF(OR($B446="",$H446=""),"",IF(AND($I446&lt;&gt;"",$I446&lt;=DateRef),"",IF(Effectif&lt;SeuilEffectif,"Non concerné (&lt; "&amp;SeuilEffectif&amp;" salariés)",IF($AH446="Oui","Pas de risque",IF(AND(OR($AI446="Non",$S446="En retard"),$AH446="Non"),"Risque abondement",IF(OR($AI446="Non",$S446="En retard"),"À vérifier (formation ?)",IF($AI446="Oui","Pas de risque","À compléter")))))))</f>
        <v/>
      </c>
      <c r="AK446" s="39"/>
    </row>
    <row r="447" customFormat="false" ht="15" hidden="false" customHeight="false" outlineLevel="0" collapsed="false">
      <c r="A447" s="39"/>
      <c r="B447" s="39"/>
      <c r="C447" s="39"/>
      <c r="D447" s="39"/>
      <c r="E447" s="39"/>
      <c r="F447" s="39"/>
      <c r="G447" s="40"/>
      <c r="H447" s="40"/>
      <c r="I447" s="40"/>
      <c r="J447" s="41" t="str">
        <f aca="false">IF(OR($B447="",$H447=""),"",IF($H447&gt;DateRef,0,YEARFRAC($H447,DateRef,1)))</f>
        <v/>
      </c>
      <c r="K447" s="42" t="str">
        <f aca="false">IF(OR($B447="",$H447=""),"",IF(EDATE($H447,12)&lt;=DateRef,"Plus d'un an","Moins d'un an"))</f>
        <v/>
      </c>
      <c r="L447" s="40"/>
      <c r="M447" s="43" t="str">
        <f aca="false">IF(OR($B447="",$A447=""),"",IF(SUMPRODUCT(MAX((Journal!$A$6:$A$1005=$A447)*Journal!$C$6:$C$1005))=0,"",SUMPRODUCT(MAX((Journal!$A$6:$A$1005=$A447)*Journal!$C$6:$C$1005))))</f>
        <v/>
      </c>
      <c r="N447" s="43" t="str">
        <f aca="false">IF($B447="","",IF(MAX($L447,$M447)=0,"",MAX($L447,$M447)))</f>
        <v/>
      </c>
      <c r="O447" s="44" t="str">
        <f aca="false">IF(OR($B447="",$H447=""),"",IF($N447="",IF(EDATE($H447,DelaiPremierEPP)&gt;DateRef,"1er EPP (1re année)","Aucun entretien renseigné"),IF(AND(ReglesTransitoires="Oui",EDATE($N447,AnciennePeriodiciteEP*12)&lt;DateVigueur),"Retard antérieur à la réforme","Périodicité "&amp;PeriodiciteEPP&amp;" ans")))</f>
        <v/>
      </c>
      <c r="P447" s="43" t="str">
        <f aca="false">IF(OR($B447="",$H447=""),"",IF($N447="",EDATE($H447,DelaiPremierEPP),IF(AND(ReglesTransitoires="Oui",EDATE($N447,AnciennePeriodiciteEP*12)&lt;DateVigueur),EDATE($N447,AnciennePeriodiciteEP*12),EDATE($N447,PeriodiciteEPP*12))))</f>
        <v/>
      </c>
      <c r="Q447" s="40"/>
      <c r="R447" s="45" t="str">
        <f aca="false">IF(OR($P447="",AND($I447&lt;&gt;"",$I447&lt;=DateRef)),"",$P447-DateRef)</f>
        <v/>
      </c>
      <c r="S447" s="42" t="str">
        <f aca="false">IF($B447="","",IF(AND($I447&lt;&gt;"",$I447&lt;=DateRef),"Sorti",IF($H447="","À compléter",IF(AND($Q447&lt;&gt;"",$Q447&gt;=DateRef,$Q447&lt;=$P447),"Planifié",IF($R447&lt;0,"En retard",IF($R447&lt;=SeuilAlerteEPP,"À planifier","À jour"))))))</f>
        <v/>
      </c>
      <c r="T447" s="46" t="str">
        <f aca="false">IF(OR($B447="",$S447="Sorti"),"",MID(IF($H447=""," | Date d'embauche manquante","")&amp;IF(AND($K447="Plus d'un an",$N447="")," | Précédent entretien à renseigner (ancienneté &gt; 1 an)","")&amp;IF($O447="Retard antérieur à la réforme"," | Ancien délai de 2 ans expiré avant la réforme","")&amp;IF(AND($N447&lt;&gt;"",$H447&lt;&gt;"",$N447&lt;$H447)," | Entretien antérieur à l'embauche ?","")&amp;IF(AND($N447&lt;&gt;"",$N447&gt;DateRef)," | Entretien daté dans le futur ?","")&amp;IF(AND($Q447&lt;&gt;"",$P447&lt;&gt;"",$Q447&gt;$P447)," | Date prévue après l'échéance","")&amp;IF(AND($Q447&lt;&gt;"",$Q447&lt;DateRef,OR($N447="",$N447&lt;$Q447))," | Entretien prévu passé : le consigner au Journal","")&amp;IF(AND($G447&lt;&gt;"",$X447="",YEAR(DateRef)-YEAR($G447)&gt;=AgeMiCarriere-1,YEAR(DateRef)-YEAR($G447)&lt;=AgeMiCarriere+1)," | Visite de mi-carrière à vérifier",""),4,1000))</f>
        <v/>
      </c>
      <c r="U447" s="39"/>
      <c r="V447" s="40"/>
      <c r="W447" s="42" t="str">
        <f aca="false">IF(OR($B447="",$V447=""),"",IF(AND($I447&lt;&gt;"",$I447&lt;=DateRef),"",IF(AND($N447&lt;&gt;"",$N447&gt;=$V447),"Réalisé",IF(AND($N447&lt;&gt;"",$N447&gt;=EDATE($V447,-FenetreRetour)),"Dispensé (EPP récent)",IF($V447&gt;DateRef,"À prévoir à la reprise","À proposer (reprise passée)")))))</f>
        <v/>
      </c>
      <c r="X447" s="40"/>
      <c r="Y447" s="43" t="str">
        <f aca="false">IF(OR($B447="",$X447=""),"",EDATE($X447,DelaiMiCarriere))</f>
        <v/>
      </c>
      <c r="Z447" s="42" t="str">
        <f aca="false">IF(OR($B447="",$X447=""),"",IF(AND($I447&lt;&gt;"",$I447&lt;=DateRef),"",IF(AND($N447&lt;&gt;"",$N447&gt;=$X447),"Réalisé",IF($Y447&lt;DateRef,"En retard","À planifier"))))</f>
        <v/>
      </c>
      <c r="AA447" s="47" t="str">
        <f aca="false">IF(OR($B447="",$G447=""),"",IF($G447&gt;DateRef,"",DATEDIF($G447,DateRef,"y")))</f>
        <v/>
      </c>
      <c r="AB447" s="43" t="str">
        <f aca="false">IF(OR($B447="",$G447=""),"",EDATE($G447,AgeFinCarriere*12))</f>
        <v/>
      </c>
      <c r="AC447" s="42" t="str">
        <f aca="false">IF(OR($B447="",$G447="",$H447=""),"",IF(AND($I447&lt;&gt;"",$I447&lt;=DateRef),"",IF($AB447&lt;DateVigueur,"Non concerné",IF(AND($N447&lt;&gt;"",$N447&gt;=MAX(EDATE($AB447,-FenetreFinCarriere*12),DateVigueur),$N447&lt;=$AB447),"Réalisé",IF(DateRef&gt;$AB447,"Non réalisé",IF(AND($Q447&lt;&gt;"",$Q447&gt;=EDATE($AB447,-FenetreFinCarriere*12),$Q447&lt;=$AB447),"Planifié dans la fenêtre",IF(AND(MAX($P447,DateRef)&gt;=EDATE($AB447,-FenetreFinCarriere*12),MAX($P447,DateRef)&lt;=$AB447),"Prochain EPP dans la fenêtre",IF(MAX($P447,DateRef)&gt;$AB447,"À programmer avant 60 ans",""))))))))</f>
        <v/>
      </c>
      <c r="AD447" s="40"/>
      <c r="AE447" s="43" t="str">
        <f aca="false">IF(OR($B447="",$H447="",AND($I447&lt;&gt;"",$I447&lt;=DateRef)),"",MAX($H447,$AD447,IF($A447="",0,SUMPRODUCT(MAX((Journal!$A$6:$A$1005=$A447)*((Journal!$D$6:$D$1005=TypeEDL)+(Journal!$D$6:$D$1005=TypeBilan6))*Journal!$C$6:$C$1005)))))</f>
        <v/>
      </c>
      <c r="AF447" s="43" t="str">
        <f aca="false">IF($AE447="","",IF(AND(ReglesTransitoires="Oui",EDATE($AE447,AnciennePeriodiciteEDL*12)&lt;DateVigueur),EDATE($AE447,AnciennePeriodiciteEDL*12),EDATE($AE447,PeriodiciteEDL*12)))</f>
        <v/>
      </c>
      <c r="AG447" s="42" t="str">
        <f aca="false">IF($AF447="","",IF(AND($I447&lt;&gt;"",$I447&lt;=DateRef),"",IF($AF447&lt;DateRef,"En retard",IF($AF447-DateRef&lt;=SeuilAlerteEDL,"À prévoir","À jour"))))</f>
        <v/>
      </c>
      <c r="AH447" s="39"/>
      <c r="AI447" s="39"/>
      <c r="AJ447" s="42" t="str">
        <f aca="false">IF(OR($B447="",$H447=""),"",IF(AND($I447&lt;&gt;"",$I447&lt;=DateRef),"",IF(Effectif&lt;SeuilEffectif,"Non concerné (&lt; "&amp;SeuilEffectif&amp;" salariés)",IF($AH447="Oui","Pas de risque",IF(AND(OR($AI447="Non",$S447="En retard"),$AH447="Non"),"Risque abondement",IF(OR($AI447="Non",$S447="En retard"),"À vérifier (formation ?)",IF($AI447="Oui","Pas de risque","À compléter")))))))</f>
        <v/>
      </c>
      <c r="AK447" s="39"/>
    </row>
    <row r="448" customFormat="false" ht="15" hidden="false" customHeight="false" outlineLevel="0" collapsed="false">
      <c r="A448" s="39"/>
      <c r="B448" s="39"/>
      <c r="C448" s="39"/>
      <c r="D448" s="39"/>
      <c r="E448" s="39"/>
      <c r="F448" s="39"/>
      <c r="G448" s="40"/>
      <c r="H448" s="40"/>
      <c r="I448" s="40"/>
      <c r="J448" s="41" t="str">
        <f aca="false">IF(OR($B448="",$H448=""),"",IF($H448&gt;DateRef,0,YEARFRAC($H448,DateRef,1)))</f>
        <v/>
      </c>
      <c r="K448" s="42" t="str">
        <f aca="false">IF(OR($B448="",$H448=""),"",IF(EDATE($H448,12)&lt;=DateRef,"Plus d'un an","Moins d'un an"))</f>
        <v/>
      </c>
      <c r="L448" s="40"/>
      <c r="M448" s="43" t="str">
        <f aca="false">IF(OR($B448="",$A448=""),"",IF(SUMPRODUCT(MAX((Journal!$A$6:$A$1005=$A448)*Journal!$C$6:$C$1005))=0,"",SUMPRODUCT(MAX((Journal!$A$6:$A$1005=$A448)*Journal!$C$6:$C$1005))))</f>
        <v/>
      </c>
      <c r="N448" s="43" t="str">
        <f aca="false">IF($B448="","",IF(MAX($L448,$M448)=0,"",MAX($L448,$M448)))</f>
        <v/>
      </c>
      <c r="O448" s="44" t="str">
        <f aca="false">IF(OR($B448="",$H448=""),"",IF($N448="",IF(EDATE($H448,DelaiPremierEPP)&gt;DateRef,"1er EPP (1re année)","Aucun entretien renseigné"),IF(AND(ReglesTransitoires="Oui",EDATE($N448,AnciennePeriodiciteEP*12)&lt;DateVigueur),"Retard antérieur à la réforme","Périodicité "&amp;PeriodiciteEPP&amp;" ans")))</f>
        <v/>
      </c>
      <c r="P448" s="43" t="str">
        <f aca="false">IF(OR($B448="",$H448=""),"",IF($N448="",EDATE($H448,DelaiPremierEPP),IF(AND(ReglesTransitoires="Oui",EDATE($N448,AnciennePeriodiciteEP*12)&lt;DateVigueur),EDATE($N448,AnciennePeriodiciteEP*12),EDATE($N448,PeriodiciteEPP*12))))</f>
        <v/>
      </c>
      <c r="Q448" s="40"/>
      <c r="R448" s="45" t="str">
        <f aca="false">IF(OR($P448="",AND($I448&lt;&gt;"",$I448&lt;=DateRef)),"",$P448-DateRef)</f>
        <v/>
      </c>
      <c r="S448" s="42" t="str">
        <f aca="false">IF($B448="","",IF(AND($I448&lt;&gt;"",$I448&lt;=DateRef),"Sorti",IF($H448="","À compléter",IF(AND($Q448&lt;&gt;"",$Q448&gt;=DateRef,$Q448&lt;=$P448),"Planifié",IF($R448&lt;0,"En retard",IF($R448&lt;=SeuilAlerteEPP,"À planifier","À jour"))))))</f>
        <v/>
      </c>
      <c r="T448" s="46" t="str">
        <f aca="false">IF(OR($B448="",$S448="Sorti"),"",MID(IF($H448=""," | Date d'embauche manquante","")&amp;IF(AND($K448="Plus d'un an",$N448="")," | Précédent entretien à renseigner (ancienneté &gt; 1 an)","")&amp;IF($O448="Retard antérieur à la réforme"," | Ancien délai de 2 ans expiré avant la réforme","")&amp;IF(AND($N448&lt;&gt;"",$H448&lt;&gt;"",$N448&lt;$H448)," | Entretien antérieur à l'embauche ?","")&amp;IF(AND($N448&lt;&gt;"",$N448&gt;DateRef)," | Entretien daté dans le futur ?","")&amp;IF(AND($Q448&lt;&gt;"",$P448&lt;&gt;"",$Q448&gt;$P448)," | Date prévue après l'échéance","")&amp;IF(AND($Q448&lt;&gt;"",$Q448&lt;DateRef,OR($N448="",$N448&lt;$Q448))," | Entretien prévu passé : le consigner au Journal","")&amp;IF(AND($G448&lt;&gt;"",$X448="",YEAR(DateRef)-YEAR($G448)&gt;=AgeMiCarriere-1,YEAR(DateRef)-YEAR($G448)&lt;=AgeMiCarriere+1)," | Visite de mi-carrière à vérifier",""),4,1000))</f>
        <v/>
      </c>
      <c r="U448" s="39"/>
      <c r="V448" s="40"/>
      <c r="W448" s="42" t="str">
        <f aca="false">IF(OR($B448="",$V448=""),"",IF(AND($I448&lt;&gt;"",$I448&lt;=DateRef),"",IF(AND($N448&lt;&gt;"",$N448&gt;=$V448),"Réalisé",IF(AND($N448&lt;&gt;"",$N448&gt;=EDATE($V448,-FenetreRetour)),"Dispensé (EPP récent)",IF($V448&gt;DateRef,"À prévoir à la reprise","À proposer (reprise passée)")))))</f>
        <v/>
      </c>
      <c r="X448" s="40"/>
      <c r="Y448" s="43" t="str">
        <f aca="false">IF(OR($B448="",$X448=""),"",EDATE($X448,DelaiMiCarriere))</f>
        <v/>
      </c>
      <c r="Z448" s="42" t="str">
        <f aca="false">IF(OR($B448="",$X448=""),"",IF(AND($I448&lt;&gt;"",$I448&lt;=DateRef),"",IF(AND($N448&lt;&gt;"",$N448&gt;=$X448),"Réalisé",IF($Y448&lt;DateRef,"En retard","À planifier"))))</f>
        <v/>
      </c>
      <c r="AA448" s="47" t="str">
        <f aca="false">IF(OR($B448="",$G448=""),"",IF($G448&gt;DateRef,"",DATEDIF($G448,DateRef,"y")))</f>
        <v/>
      </c>
      <c r="AB448" s="43" t="str">
        <f aca="false">IF(OR($B448="",$G448=""),"",EDATE($G448,AgeFinCarriere*12))</f>
        <v/>
      </c>
      <c r="AC448" s="42" t="str">
        <f aca="false">IF(OR($B448="",$G448="",$H448=""),"",IF(AND($I448&lt;&gt;"",$I448&lt;=DateRef),"",IF($AB448&lt;DateVigueur,"Non concerné",IF(AND($N448&lt;&gt;"",$N448&gt;=MAX(EDATE($AB448,-FenetreFinCarriere*12),DateVigueur),$N448&lt;=$AB448),"Réalisé",IF(DateRef&gt;$AB448,"Non réalisé",IF(AND($Q448&lt;&gt;"",$Q448&gt;=EDATE($AB448,-FenetreFinCarriere*12),$Q448&lt;=$AB448),"Planifié dans la fenêtre",IF(AND(MAX($P448,DateRef)&gt;=EDATE($AB448,-FenetreFinCarriere*12),MAX($P448,DateRef)&lt;=$AB448),"Prochain EPP dans la fenêtre",IF(MAX($P448,DateRef)&gt;$AB448,"À programmer avant 60 ans",""))))))))</f>
        <v/>
      </c>
      <c r="AD448" s="40"/>
      <c r="AE448" s="43" t="str">
        <f aca="false">IF(OR($B448="",$H448="",AND($I448&lt;&gt;"",$I448&lt;=DateRef)),"",MAX($H448,$AD448,IF($A448="",0,SUMPRODUCT(MAX((Journal!$A$6:$A$1005=$A448)*((Journal!$D$6:$D$1005=TypeEDL)+(Journal!$D$6:$D$1005=TypeBilan6))*Journal!$C$6:$C$1005)))))</f>
        <v/>
      </c>
      <c r="AF448" s="43" t="str">
        <f aca="false">IF($AE448="","",IF(AND(ReglesTransitoires="Oui",EDATE($AE448,AnciennePeriodiciteEDL*12)&lt;DateVigueur),EDATE($AE448,AnciennePeriodiciteEDL*12),EDATE($AE448,PeriodiciteEDL*12)))</f>
        <v/>
      </c>
      <c r="AG448" s="42" t="str">
        <f aca="false">IF($AF448="","",IF(AND($I448&lt;&gt;"",$I448&lt;=DateRef),"",IF($AF448&lt;DateRef,"En retard",IF($AF448-DateRef&lt;=SeuilAlerteEDL,"À prévoir","À jour"))))</f>
        <v/>
      </c>
      <c r="AH448" s="39"/>
      <c r="AI448" s="39"/>
      <c r="AJ448" s="42" t="str">
        <f aca="false">IF(OR($B448="",$H448=""),"",IF(AND($I448&lt;&gt;"",$I448&lt;=DateRef),"",IF(Effectif&lt;SeuilEffectif,"Non concerné (&lt; "&amp;SeuilEffectif&amp;" salariés)",IF($AH448="Oui","Pas de risque",IF(AND(OR($AI448="Non",$S448="En retard"),$AH448="Non"),"Risque abondement",IF(OR($AI448="Non",$S448="En retard"),"À vérifier (formation ?)",IF($AI448="Oui","Pas de risque","À compléter")))))))</f>
        <v/>
      </c>
      <c r="AK448" s="39"/>
    </row>
    <row r="449" customFormat="false" ht="15" hidden="false" customHeight="false" outlineLevel="0" collapsed="false">
      <c r="A449" s="39"/>
      <c r="B449" s="39"/>
      <c r="C449" s="39"/>
      <c r="D449" s="39"/>
      <c r="E449" s="39"/>
      <c r="F449" s="39"/>
      <c r="G449" s="40"/>
      <c r="H449" s="40"/>
      <c r="I449" s="40"/>
      <c r="J449" s="41" t="str">
        <f aca="false">IF(OR($B449="",$H449=""),"",IF($H449&gt;DateRef,0,YEARFRAC($H449,DateRef,1)))</f>
        <v/>
      </c>
      <c r="K449" s="42" t="str">
        <f aca="false">IF(OR($B449="",$H449=""),"",IF(EDATE($H449,12)&lt;=DateRef,"Plus d'un an","Moins d'un an"))</f>
        <v/>
      </c>
      <c r="L449" s="40"/>
      <c r="M449" s="43" t="str">
        <f aca="false">IF(OR($B449="",$A449=""),"",IF(SUMPRODUCT(MAX((Journal!$A$6:$A$1005=$A449)*Journal!$C$6:$C$1005))=0,"",SUMPRODUCT(MAX((Journal!$A$6:$A$1005=$A449)*Journal!$C$6:$C$1005))))</f>
        <v/>
      </c>
      <c r="N449" s="43" t="str">
        <f aca="false">IF($B449="","",IF(MAX($L449,$M449)=0,"",MAX($L449,$M449)))</f>
        <v/>
      </c>
      <c r="O449" s="44" t="str">
        <f aca="false">IF(OR($B449="",$H449=""),"",IF($N449="",IF(EDATE($H449,DelaiPremierEPP)&gt;DateRef,"1er EPP (1re année)","Aucun entretien renseigné"),IF(AND(ReglesTransitoires="Oui",EDATE($N449,AnciennePeriodiciteEP*12)&lt;DateVigueur),"Retard antérieur à la réforme","Périodicité "&amp;PeriodiciteEPP&amp;" ans")))</f>
        <v/>
      </c>
      <c r="P449" s="43" t="str">
        <f aca="false">IF(OR($B449="",$H449=""),"",IF($N449="",EDATE($H449,DelaiPremierEPP),IF(AND(ReglesTransitoires="Oui",EDATE($N449,AnciennePeriodiciteEP*12)&lt;DateVigueur),EDATE($N449,AnciennePeriodiciteEP*12),EDATE($N449,PeriodiciteEPP*12))))</f>
        <v/>
      </c>
      <c r="Q449" s="40"/>
      <c r="R449" s="45" t="str">
        <f aca="false">IF(OR($P449="",AND($I449&lt;&gt;"",$I449&lt;=DateRef)),"",$P449-DateRef)</f>
        <v/>
      </c>
      <c r="S449" s="42" t="str">
        <f aca="false">IF($B449="","",IF(AND($I449&lt;&gt;"",$I449&lt;=DateRef),"Sorti",IF($H449="","À compléter",IF(AND($Q449&lt;&gt;"",$Q449&gt;=DateRef,$Q449&lt;=$P449),"Planifié",IF($R449&lt;0,"En retard",IF($R449&lt;=SeuilAlerteEPP,"À planifier","À jour"))))))</f>
        <v/>
      </c>
      <c r="T449" s="46" t="str">
        <f aca="false">IF(OR($B449="",$S449="Sorti"),"",MID(IF($H449=""," | Date d'embauche manquante","")&amp;IF(AND($K449="Plus d'un an",$N449="")," | Précédent entretien à renseigner (ancienneté &gt; 1 an)","")&amp;IF($O449="Retard antérieur à la réforme"," | Ancien délai de 2 ans expiré avant la réforme","")&amp;IF(AND($N449&lt;&gt;"",$H449&lt;&gt;"",$N449&lt;$H449)," | Entretien antérieur à l'embauche ?","")&amp;IF(AND($N449&lt;&gt;"",$N449&gt;DateRef)," | Entretien daté dans le futur ?","")&amp;IF(AND($Q449&lt;&gt;"",$P449&lt;&gt;"",$Q449&gt;$P449)," | Date prévue après l'échéance","")&amp;IF(AND($Q449&lt;&gt;"",$Q449&lt;DateRef,OR($N449="",$N449&lt;$Q449))," | Entretien prévu passé : le consigner au Journal","")&amp;IF(AND($G449&lt;&gt;"",$X449="",YEAR(DateRef)-YEAR($G449)&gt;=AgeMiCarriere-1,YEAR(DateRef)-YEAR($G449)&lt;=AgeMiCarriere+1)," | Visite de mi-carrière à vérifier",""),4,1000))</f>
        <v/>
      </c>
      <c r="U449" s="39"/>
      <c r="V449" s="40"/>
      <c r="W449" s="42" t="str">
        <f aca="false">IF(OR($B449="",$V449=""),"",IF(AND($I449&lt;&gt;"",$I449&lt;=DateRef),"",IF(AND($N449&lt;&gt;"",$N449&gt;=$V449),"Réalisé",IF(AND($N449&lt;&gt;"",$N449&gt;=EDATE($V449,-FenetreRetour)),"Dispensé (EPP récent)",IF($V449&gt;DateRef,"À prévoir à la reprise","À proposer (reprise passée)")))))</f>
        <v/>
      </c>
      <c r="X449" s="40"/>
      <c r="Y449" s="43" t="str">
        <f aca="false">IF(OR($B449="",$X449=""),"",EDATE($X449,DelaiMiCarriere))</f>
        <v/>
      </c>
      <c r="Z449" s="42" t="str">
        <f aca="false">IF(OR($B449="",$X449=""),"",IF(AND($I449&lt;&gt;"",$I449&lt;=DateRef),"",IF(AND($N449&lt;&gt;"",$N449&gt;=$X449),"Réalisé",IF($Y449&lt;DateRef,"En retard","À planifier"))))</f>
        <v/>
      </c>
      <c r="AA449" s="47" t="str">
        <f aca="false">IF(OR($B449="",$G449=""),"",IF($G449&gt;DateRef,"",DATEDIF($G449,DateRef,"y")))</f>
        <v/>
      </c>
      <c r="AB449" s="43" t="str">
        <f aca="false">IF(OR($B449="",$G449=""),"",EDATE($G449,AgeFinCarriere*12))</f>
        <v/>
      </c>
      <c r="AC449" s="42" t="str">
        <f aca="false">IF(OR($B449="",$G449="",$H449=""),"",IF(AND($I449&lt;&gt;"",$I449&lt;=DateRef),"",IF($AB449&lt;DateVigueur,"Non concerné",IF(AND($N449&lt;&gt;"",$N449&gt;=MAX(EDATE($AB449,-FenetreFinCarriere*12),DateVigueur),$N449&lt;=$AB449),"Réalisé",IF(DateRef&gt;$AB449,"Non réalisé",IF(AND($Q449&lt;&gt;"",$Q449&gt;=EDATE($AB449,-FenetreFinCarriere*12),$Q449&lt;=$AB449),"Planifié dans la fenêtre",IF(AND(MAX($P449,DateRef)&gt;=EDATE($AB449,-FenetreFinCarriere*12),MAX($P449,DateRef)&lt;=$AB449),"Prochain EPP dans la fenêtre",IF(MAX($P449,DateRef)&gt;$AB449,"À programmer avant 60 ans",""))))))))</f>
        <v/>
      </c>
      <c r="AD449" s="40"/>
      <c r="AE449" s="43" t="str">
        <f aca="false">IF(OR($B449="",$H449="",AND($I449&lt;&gt;"",$I449&lt;=DateRef)),"",MAX($H449,$AD449,IF($A449="",0,SUMPRODUCT(MAX((Journal!$A$6:$A$1005=$A449)*((Journal!$D$6:$D$1005=TypeEDL)+(Journal!$D$6:$D$1005=TypeBilan6))*Journal!$C$6:$C$1005)))))</f>
        <v/>
      </c>
      <c r="AF449" s="43" t="str">
        <f aca="false">IF($AE449="","",IF(AND(ReglesTransitoires="Oui",EDATE($AE449,AnciennePeriodiciteEDL*12)&lt;DateVigueur),EDATE($AE449,AnciennePeriodiciteEDL*12),EDATE($AE449,PeriodiciteEDL*12)))</f>
        <v/>
      </c>
      <c r="AG449" s="42" t="str">
        <f aca="false">IF($AF449="","",IF(AND($I449&lt;&gt;"",$I449&lt;=DateRef),"",IF($AF449&lt;DateRef,"En retard",IF($AF449-DateRef&lt;=SeuilAlerteEDL,"À prévoir","À jour"))))</f>
        <v/>
      </c>
      <c r="AH449" s="39"/>
      <c r="AI449" s="39"/>
      <c r="AJ449" s="42" t="str">
        <f aca="false">IF(OR($B449="",$H449=""),"",IF(AND($I449&lt;&gt;"",$I449&lt;=DateRef),"",IF(Effectif&lt;SeuilEffectif,"Non concerné (&lt; "&amp;SeuilEffectif&amp;" salariés)",IF($AH449="Oui","Pas de risque",IF(AND(OR($AI449="Non",$S449="En retard"),$AH449="Non"),"Risque abondement",IF(OR($AI449="Non",$S449="En retard"),"À vérifier (formation ?)",IF($AI449="Oui","Pas de risque","À compléter")))))))</f>
        <v/>
      </c>
      <c r="AK449" s="39"/>
    </row>
    <row r="450" customFormat="false" ht="15" hidden="false" customHeight="false" outlineLevel="0" collapsed="false">
      <c r="A450" s="39"/>
      <c r="B450" s="39"/>
      <c r="C450" s="39"/>
      <c r="D450" s="39"/>
      <c r="E450" s="39"/>
      <c r="F450" s="39"/>
      <c r="G450" s="40"/>
      <c r="H450" s="40"/>
      <c r="I450" s="40"/>
      <c r="J450" s="41" t="str">
        <f aca="false">IF(OR($B450="",$H450=""),"",IF($H450&gt;DateRef,0,YEARFRAC($H450,DateRef,1)))</f>
        <v/>
      </c>
      <c r="K450" s="42" t="str">
        <f aca="false">IF(OR($B450="",$H450=""),"",IF(EDATE($H450,12)&lt;=DateRef,"Plus d'un an","Moins d'un an"))</f>
        <v/>
      </c>
      <c r="L450" s="40"/>
      <c r="M450" s="43" t="str">
        <f aca="false">IF(OR($B450="",$A450=""),"",IF(SUMPRODUCT(MAX((Journal!$A$6:$A$1005=$A450)*Journal!$C$6:$C$1005))=0,"",SUMPRODUCT(MAX((Journal!$A$6:$A$1005=$A450)*Journal!$C$6:$C$1005))))</f>
        <v/>
      </c>
      <c r="N450" s="43" t="str">
        <f aca="false">IF($B450="","",IF(MAX($L450,$M450)=0,"",MAX($L450,$M450)))</f>
        <v/>
      </c>
      <c r="O450" s="44" t="str">
        <f aca="false">IF(OR($B450="",$H450=""),"",IF($N450="",IF(EDATE($H450,DelaiPremierEPP)&gt;DateRef,"1er EPP (1re année)","Aucun entretien renseigné"),IF(AND(ReglesTransitoires="Oui",EDATE($N450,AnciennePeriodiciteEP*12)&lt;DateVigueur),"Retard antérieur à la réforme","Périodicité "&amp;PeriodiciteEPP&amp;" ans")))</f>
        <v/>
      </c>
      <c r="P450" s="43" t="str">
        <f aca="false">IF(OR($B450="",$H450=""),"",IF($N450="",EDATE($H450,DelaiPremierEPP),IF(AND(ReglesTransitoires="Oui",EDATE($N450,AnciennePeriodiciteEP*12)&lt;DateVigueur),EDATE($N450,AnciennePeriodiciteEP*12),EDATE($N450,PeriodiciteEPP*12))))</f>
        <v/>
      </c>
      <c r="Q450" s="40"/>
      <c r="R450" s="45" t="str">
        <f aca="false">IF(OR($P450="",AND($I450&lt;&gt;"",$I450&lt;=DateRef)),"",$P450-DateRef)</f>
        <v/>
      </c>
      <c r="S450" s="42" t="str">
        <f aca="false">IF($B450="","",IF(AND($I450&lt;&gt;"",$I450&lt;=DateRef),"Sorti",IF($H450="","À compléter",IF(AND($Q450&lt;&gt;"",$Q450&gt;=DateRef,$Q450&lt;=$P450),"Planifié",IF($R450&lt;0,"En retard",IF($R450&lt;=SeuilAlerteEPP,"À planifier","À jour"))))))</f>
        <v/>
      </c>
      <c r="T450" s="46" t="str">
        <f aca="false">IF(OR($B450="",$S450="Sorti"),"",MID(IF($H450=""," | Date d'embauche manquante","")&amp;IF(AND($K450="Plus d'un an",$N450="")," | Précédent entretien à renseigner (ancienneté &gt; 1 an)","")&amp;IF($O450="Retard antérieur à la réforme"," | Ancien délai de 2 ans expiré avant la réforme","")&amp;IF(AND($N450&lt;&gt;"",$H450&lt;&gt;"",$N450&lt;$H450)," | Entretien antérieur à l'embauche ?","")&amp;IF(AND($N450&lt;&gt;"",$N450&gt;DateRef)," | Entretien daté dans le futur ?","")&amp;IF(AND($Q450&lt;&gt;"",$P450&lt;&gt;"",$Q450&gt;$P450)," | Date prévue après l'échéance","")&amp;IF(AND($Q450&lt;&gt;"",$Q450&lt;DateRef,OR($N450="",$N450&lt;$Q450))," | Entretien prévu passé : le consigner au Journal","")&amp;IF(AND($G450&lt;&gt;"",$X450="",YEAR(DateRef)-YEAR($G450)&gt;=AgeMiCarriere-1,YEAR(DateRef)-YEAR($G450)&lt;=AgeMiCarriere+1)," | Visite de mi-carrière à vérifier",""),4,1000))</f>
        <v/>
      </c>
      <c r="U450" s="39"/>
      <c r="V450" s="40"/>
      <c r="W450" s="42" t="str">
        <f aca="false">IF(OR($B450="",$V450=""),"",IF(AND($I450&lt;&gt;"",$I450&lt;=DateRef),"",IF(AND($N450&lt;&gt;"",$N450&gt;=$V450),"Réalisé",IF(AND($N450&lt;&gt;"",$N450&gt;=EDATE($V450,-FenetreRetour)),"Dispensé (EPP récent)",IF($V450&gt;DateRef,"À prévoir à la reprise","À proposer (reprise passée)")))))</f>
        <v/>
      </c>
      <c r="X450" s="40"/>
      <c r="Y450" s="43" t="str">
        <f aca="false">IF(OR($B450="",$X450=""),"",EDATE($X450,DelaiMiCarriere))</f>
        <v/>
      </c>
      <c r="Z450" s="42" t="str">
        <f aca="false">IF(OR($B450="",$X450=""),"",IF(AND($I450&lt;&gt;"",$I450&lt;=DateRef),"",IF(AND($N450&lt;&gt;"",$N450&gt;=$X450),"Réalisé",IF($Y450&lt;DateRef,"En retard","À planifier"))))</f>
        <v/>
      </c>
      <c r="AA450" s="47" t="str">
        <f aca="false">IF(OR($B450="",$G450=""),"",IF($G450&gt;DateRef,"",DATEDIF($G450,DateRef,"y")))</f>
        <v/>
      </c>
      <c r="AB450" s="43" t="str">
        <f aca="false">IF(OR($B450="",$G450=""),"",EDATE($G450,AgeFinCarriere*12))</f>
        <v/>
      </c>
      <c r="AC450" s="42" t="str">
        <f aca="false">IF(OR($B450="",$G450="",$H450=""),"",IF(AND($I450&lt;&gt;"",$I450&lt;=DateRef),"",IF($AB450&lt;DateVigueur,"Non concerné",IF(AND($N450&lt;&gt;"",$N450&gt;=MAX(EDATE($AB450,-FenetreFinCarriere*12),DateVigueur),$N450&lt;=$AB450),"Réalisé",IF(DateRef&gt;$AB450,"Non réalisé",IF(AND($Q450&lt;&gt;"",$Q450&gt;=EDATE($AB450,-FenetreFinCarriere*12),$Q450&lt;=$AB450),"Planifié dans la fenêtre",IF(AND(MAX($P450,DateRef)&gt;=EDATE($AB450,-FenetreFinCarriere*12),MAX($P450,DateRef)&lt;=$AB450),"Prochain EPP dans la fenêtre",IF(MAX($P450,DateRef)&gt;$AB450,"À programmer avant 60 ans",""))))))))</f>
        <v/>
      </c>
      <c r="AD450" s="40"/>
      <c r="AE450" s="43" t="str">
        <f aca="false">IF(OR($B450="",$H450="",AND($I450&lt;&gt;"",$I450&lt;=DateRef)),"",MAX($H450,$AD450,IF($A450="",0,SUMPRODUCT(MAX((Journal!$A$6:$A$1005=$A450)*((Journal!$D$6:$D$1005=TypeEDL)+(Journal!$D$6:$D$1005=TypeBilan6))*Journal!$C$6:$C$1005)))))</f>
        <v/>
      </c>
      <c r="AF450" s="43" t="str">
        <f aca="false">IF($AE450="","",IF(AND(ReglesTransitoires="Oui",EDATE($AE450,AnciennePeriodiciteEDL*12)&lt;DateVigueur),EDATE($AE450,AnciennePeriodiciteEDL*12),EDATE($AE450,PeriodiciteEDL*12)))</f>
        <v/>
      </c>
      <c r="AG450" s="42" t="str">
        <f aca="false">IF($AF450="","",IF(AND($I450&lt;&gt;"",$I450&lt;=DateRef),"",IF($AF450&lt;DateRef,"En retard",IF($AF450-DateRef&lt;=SeuilAlerteEDL,"À prévoir","À jour"))))</f>
        <v/>
      </c>
      <c r="AH450" s="39"/>
      <c r="AI450" s="39"/>
      <c r="AJ450" s="42" t="str">
        <f aca="false">IF(OR($B450="",$H450=""),"",IF(AND($I450&lt;&gt;"",$I450&lt;=DateRef),"",IF(Effectif&lt;SeuilEffectif,"Non concerné (&lt; "&amp;SeuilEffectif&amp;" salariés)",IF($AH450="Oui","Pas de risque",IF(AND(OR($AI450="Non",$S450="En retard"),$AH450="Non"),"Risque abondement",IF(OR($AI450="Non",$S450="En retard"),"À vérifier (formation ?)",IF($AI450="Oui","Pas de risque","À compléter")))))))</f>
        <v/>
      </c>
      <c r="AK450" s="39"/>
    </row>
    <row r="451" customFormat="false" ht="15" hidden="false" customHeight="false" outlineLevel="0" collapsed="false">
      <c r="A451" s="39"/>
      <c r="B451" s="39"/>
      <c r="C451" s="39"/>
      <c r="D451" s="39"/>
      <c r="E451" s="39"/>
      <c r="F451" s="39"/>
      <c r="G451" s="40"/>
      <c r="H451" s="40"/>
      <c r="I451" s="40"/>
      <c r="J451" s="41" t="str">
        <f aca="false">IF(OR($B451="",$H451=""),"",IF($H451&gt;DateRef,0,YEARFRAC($H451,DateRef,1)))</f>
        <v/>
      </c>
      <c r="K451" s="42" t="str">
        <f aca="false">IF(OR($B451="",$H451=""),"",IF(EDATE($H451,12)&lt;=DateRef,"Plus d'un an","Moins d'un an"))</f>
        <v/>
      </c>
      <c r="L451" s="40"/>
      <c r="M451" s="43" t="str">
        <f aca="false">IF(OR($B451="",$A451=""),"",IF(SUMPRODUCT(MAX((Journal!$A$6:$A$1005=$A451)*Journal!$C$6:$C$1005))=0,"",SUMPRODUCT(MAX((Journal!$A$6:$A$1005=$A451)*Journal!$C$6:$C$1005))))</f>
        <v/>
      </c>
      <c r="N451" s="43" t="str">
        <f aca="false">IF($B451="","",IF(MAX($L451,$M451)=0,"",MAX($L451,$M451)))</f>
        <v/>
      </c>
      <c r="O451" s="44" t="str">
        <f aca="false">IF(OR($B451="",$H451=""),"",IF($N451="",IF(EDATE($H451,DelaiPremierEPP)&gt;DateRef,"1er EPP (1re année)","Aucun entretien renseigné"),IF(AND(ReglesTransitoires="Oui",EDATE($N451,AnciennePeriodiciteEP*12)&lt;DateVigueur),"Retard antérieur à la réforme","Périodicité "&amp;PeriodiciteEPP&amp;" ans")))</f>
        <v/>
      </c>
      <c r="P451" s="43" t="str">
        <f aca="false">IF(OR($B451="",$H451=""),"",IF($N451="",EDATE($H451,DelaiPremierEPP),IF(AND(ReglesTransitoires="Oui",EDATE($N451,AnciennePeriodiciteEP*12)&lt;DateVigueur),EDATE($N451,AnciennePeriodiciteEP*12),EDATE($N451,PeriodiciteEPP*12))))</f>
        <v/>
      </c>
      <c r="Q451" s="40"/>
      <c r="R451" s="45" t="str">
        <f aca="false">IF(OR($P451="",AND($I451&lt;&gt;"",$I451&lt;=DateRef)),"",$P451-DateRef)</f>
        <v/>
      </c>
      <c r="S451" s="42" t="str">
        <f aca="false">IF($B451="","",IF(AND($I451&lt;&gt;"",$I451&lt;=DateRef),"Sorti",IF($H451="","À compléter",IF(AND($Q451&lt;&gt;"",$Q451&gt;=DateRef,$Q451&lt;=$P451),"Planifié",IF($R451&lt;0,"En retard",IF($R451&lt;=SeuilAlerteEPP,"À planifier","À jour"))))))</f>
        <v/>
      </c>
      <c r="T451" s="46" t="str">
        <f aca="false">IF(OR($B451="",$S451="Sorti"),"",MID(IF($H451=""," | Date d'embauche manquante","")&amp;IF(AND($K451="Plus d'un an",$N451="")," | Précédent entretien à renseigner (ancienneté &gt; 1 an)","")&amp;IF($O451="Retard antérieur à la réforme"," | Ancien délai de 2 ans expiré avant la réforme","")&amp;IF(AND($N451&lt;&gt;"",$H451&lt;&gt;"",$N451&lt;$H451)," | Entretien antérieur à l'embauche ?","")&amp;IF(AND($N451&lt;&gt;"",$N451&gt;DateRef)," | Entretien daté dans le futur ?","")&amp;IF(AND($Q451&lt;&gt;"",$P451&lt;&gt;"",$Q451&gt;$P451)," | Date prévue après l'échéance","")&amp;IF(AND($Q451&lt;&gt;"",$Q451&lt;DateRef,OR($N451="",$N451&lt;$Q451))," | Entretien prévu passé : le consigner au Journal","")&amp;IF(AND($G451&lt;&gt;"",$X451="",YEAR(DateRef)-YEAR($G451)&gt;=AgeMiCarriere-1,YEAR(DateRef)-YEAR($G451)&lt;=AgeMiCarriere+1)," | Visite de mi-carrière à vérifier",""),4,1000))</f>
        <v/>
      </c>
      <c r="U451" s="39"/>
      <c r="V451" s="40"/>
      <c r="W451" s="42" t="str">
        <f aca="false">IF(OR($B451="",$V451=""),"",IF(AND($I451&lt;&gt;"",$I451&lt;=DateRef),"",IF(AND($N451&lt;&gt;"",$N451&gt;=$V451),"Réalisé",IF(AND($N451&lt;&gt;"",$N451&gt;=EDATE($V451,-FenetreRetour)),"Dispensé (EPP récent)",IF($V451&gt;DateRef,"À prévoir à la reprise","À proposer (reprise passée)")))))</f>
        <v/>
      </c>
      <c r="X451" s="40"/>
      <c r="Y451" s="43" t="str">
        <f aca="false">IF(OR($B451="",$X451=""),"",EDATE($X451,DelaiMiCarriere))</f>
        <v/>
      </c>
      <c r="Z451" s="42" t="str">
        <f aca="false">IF(OR($B451="",$X451=""),"",IF(AND($I451&lt;&gt;"",$I451&lt;=DateRef),"",IF(AND($N451&lt;&gt;"",$N451&gt;=$X451),"Réalisé",IF($Y451&lt;DateRef,"En retard","À planifier"))))</f>
        <v/>
      </c>
      <c r="AA451" s="47" t="str">
        <f aca="false">IF(OR($B451="",$G451=""),"",IF($G451&gt;DateRef,"",DATEDIF($G451,DateRef,"y")))</f>
        <v/>
      </c>
      <c r="AB451" s="43" t="str">
        <f aca="false">IF(OR($B451="",$G451=""),"",EDATE($G451,AgeFinCarriere*12))</f>
        <v/>
      </c>
      <c r="AC451" s="42" t="str">
        <f aca="false">IF(OR($B451="",$G451="",$H451=""),"",IF(AND($I451&lt;&gt;"",$I451&lt;=DateRef),"",IF($AB451&lt;DateVigueur,"Non concerné",IF(AND($N451&lt;&gt;"",$N451&gt;=MAX(EDATE($AB451,-FenetreFinCarriere*12),DateVigueur),$N451&lt;=$AB451),"Réalisé",IF(DateRef&gt;$AB451,"Non réalisé",IF(AND($Q451&lt;&gt;"",$Q451&gt;=EDATE($AB451,-FenetreFinCarriere*12),$Q451&lt;=$AB451),"Planifié dans la fenêtre",IF(AND(MAX($P451,DateRef)&gt;=EDATE($AB451,-FenetreFinCarriere*12),MAX($P451,DateRef)&lt;=$AB451),"Prochain EPP dans la fenêtre",IF(MAX($P451,DateRef)&gt;$AB451,"À programmer avant 60 ans",""))))))))</f>
        <v/>
      </c>
      <c r="AD451" s="40"/>
      <c r="AE451" s="43" t="str">
        <f aca="false">IF(OR($B451="",$H451="",AND($I451&lt;&gt;"",$I451&lt;=DateRef)),"",MAX($H451,$AD451,IF($A451="",0,SUMPRODUCT(MAX((Journal!$A$6:$A$1005=$A451)*((Journal!$D$6:$D$1005=TypeEDL)+(Journal!$D$6:$D$1005=TypeBilan6))*Journal!$C$6:$C$1005)))))</f>
        <v/>
      </c>
      <c r="AF451" s="43" t="str">
        <f aca="false">IF($AE451="","",IF(AND(ReglesTransitoires="Oui",EDATE($AE451,AnciennePeriodiciteEDL*12)&lt;DateVigueur),EDATE($AE451,AnciennePeriodiciteEDL*12),EDATE($AE451,PeriodiciteEDL*12)))</f>
        <v/>
      </c>
      <c r="AG451" s="42" t="str">
        <f aca="false">IF($AF451="","",IF(AND($I451&lt;&gt;"",$I451&lt;=DateRef),"",IF($AF451&lt;DateRef,"En retard",IF($AF451-DateRef&lt;=SeuilAlerteEDL,"À prévoir","À jour"))))</f>
        <v/>
      </c>
      <c r="AH451" s="39"/>
      <c r="AI451" s="39"/>
      <c r="AJ451" s="42" t="str">
        <f aca="false">IF(OR($B451="",$H451=""),"",IF(AND($I451&lt;&gt;"",$I451&lt;=DateRef),"",IF(Effectif&lt;SeuilEffectif,"Non concerné (&lt; "&amp;SeuilEffectif&amp;" salariés)",IF($AH451="Oui","Pas de risque",IF(AND(OR($AI451="Non",$S451="En retard"),$AH451="Non"),"Risque abondement",IF(OR($AI451="Non",$S451="En retard"),"À vérifier (formation ?)",IF($AI451="Oui","Pas de risque","À compléter")))))))</f>
        <v/>
      </c>
      <c r="AK451" s="39"/>
    </row>
    <row r="452" customFormat="false" ht="15" hidden="false" customHeight="false" outlineLevel="0" collapsed="false">
      <c r="A452" s="39"/>
      <c r="B452" s="39"/>
      <c r="C452" s="39"/>
      <c r="D452" s="39"/>
      <c r="E452" s="39"/>
      <c r="F452" s="39"/>
      <c r="G452" s="40"/>
      <c r="H452" s="40"/>
      <c r="I452" s="40"/>
      <c r="J452" s="41" t="str">
        <f aca="false">IF(OR($B452="",$H452=""),"",IF($H452&gt;DateRef,0,YEARFRAC($H452,DateRef,1)))</f>
        <v/>
      </c>
      <c r="K452" s="42" t="str">
        <f aca="false">IF(OR($B452="",$H452=""),"",IF(EDATE($H452,12)&lt;=DateRef,"Plus d'un an","Moins d'un an"))</f>
        <v/>
      </c>
      <c r="L452" s="40"/>
      <c r="M452" s="43" t="str">
        <f aca="false">IF(OR($B452="",$A452=""),"",IF(SUMPRODUCT(MAX((Journal!$A$6:$A$1005=$A452)*Journal!$C$6:$C$1005))=0,"",SUMPRODUCT(MAX((Journal!$A$6:$A$1005=$A452)*Journal!$C$6:$C$1005))))</f>
        <v/>
      </c>
      <c r="N452" s="43" t="str">
        <f aca="false">IF($B452="","",IF(MAX($L452,$M452)=0,"",MAX($L452,$M452)))</f>
        <v/>
      </c>
      <c r="O452" s="44" t="str">
        <f aca="false">IF(OR($B452="",$H452=""),"",IF($N452="",IF(EDATE($H452,DelaiPremierEPP)&gt;DateRef,"1er EPP (1re année)","Aucun entretien renseigné"),IF(AND(ReglesTransitoires="Oui",EDATE($N452,AnciennePeriodiciteEP*12)&lt;DateVigueur),"Retard antérieur à la réforme","Périodicité "&amp;PeriodiciteEPP&amp;" ans")))</f>
        <v/>
      </c>
      <c r="P452" s="43" t="str">
        <f aca="false">IF(OR($B452="",$H452=""),"",IF($N452="",EDATE($H452,DelaiPremierEPP),IF(AND(ReglesTransitoires="Oui",EDATE($N452,AnciennePeriodiciteEP*12)&lt;DateVigueur),EDATE($N452,AnciennePeriodiciteEP*12),EDATE($N452,PeriodiciteEPP*12))))</f>
        <v/>
      </c>
      <c r="Q452" s="40"/>
      <c r="R452" s="45" t="str">
        <f aca="false">IF(OR($P452="",AND($I452&lt;&gt;"",$I452&lt;=DateRef)),"",$P452-DateRef)</f>
        <v/>
      </c>
      <c r="S452" s="42" t="str">
        <f aca="false">IF($B452="","",IF(AND($I452&lt;&gt;"",$I452&lt;=DateRef),"Sorti",IF($H452="","À compléter",IF(AND($Q452&lt;&gt;"",$Q452&gt;=DateRef,$Q452&lt;=$P452),"Planifié",IF($R452&lt;0,"En retard",IF($R452&lt;=SeuilAlerteEPP,"À planifier","À jour"))))))</f>
        <v/>
      </c>
      <c r="T452" s="46" t="str">
        <f aca="false">IF(OR($B452="",$S452="Sorti"),"",MID(IF($H452=""," | Date d'embauche manquante","")&amp;IF(AND($K452="Plus d'un an",$N452="")," | Précédent entretien à renseigner (ancienneté &gt; 1 an)","")&amp;IF($O452="Retard antérieur à la réforme"," | Ancien délai de 2 ans expiré avant la réforme","")&amp;IF(AND($N452&lt;&gt;"",$H452&lt;&gt;"",$N452&lt;$H452)," | Entretien antérieur à l'embauche ?","")&amp;IF(AND($N452&lt;&gt;"",$N452&gt;DateRef)," | Entretien daté dans le futur ?","")&amp;IF(AND($Q452&lt;&gt;"",$P452&lt;&gt;"",$Q452&gt;$P452)," | Date prévue après l'échéance","")&amp;IF(AND($Q452&lt;&gt;"",$Q452&lt;DateRef,OR($N452="",$N452&lt;$Q452))," | Entretien prévu passé : le consigner au Journal","")&amp;IF(AND($G452&lt;&gt;"",$X452="",YEAR(DateRef)-YEAR($G452)&gt;=AgeMiCarriere-1,YEAR(DateRef)-YEAR($G452)&lt;=AgeMiCarriere+1)," | Visite de mi-carrière à vérifier",""),4,1000))</f>
        <v/>
      </c>
      <c r="U452" s="39"/>
      <c r="V452" s="40"/>
      <c r="W452" s="42" t="str">
        <f aca="false">IF(OR($B452="",$V452=""),"",IF(AND($I452&lt;&gt;"",$I452&lt;=DateRef),"",IF(AND($N452&lt;&gt;"",$N452&gt;=$V452),"Réalisé",IF(AND($N452&lt;&gt;"",$N452&gt;=EDATE($V452,-FenetreRetour)),"Dispensé (EPP récent)",IF($V452&gt;DateRef,"À prévoir à la reprise","À proposer (reprise passée)")))))</f>
        <v/>
      </c>
      <c r="X452" s="40"/>
      <c r="Y452" s="43" t="str">
        <f aca="false">IF(OR($B452="",$X452=""),"",EDATE($X452,DelaiMiCarriere))</f>
        <v/>
      </c>
      <c r="Z452" s="42" t="str">
        <f aca="false">IF(OR($B452="",$X452=""),"",IF(AND($I452&lt;&gt;"",$I452&lt;=DateRef),"",IF(AND($N452&lt;&gt;"",$N452&gt;=$X452),"Réalisé",IF($Y452&lt;DateRef,"En retard","À planifier"))))</f>
        <v/>
      </c>
      <c r="AA452" s="47" t="str">
        <f aca="false">IF(OR($B452="",$G452=""),"",IF($G452&gt;DateRef,"",DATEDIF($G452,DateRef,"y")))</f>
        <v/>
      </c>
      <c r="AB452" s="43" t="str">
        <f aca="false">IF(OR($B452="",$G452=""),"",EDATE($G452,AgeFinCarriere*12))</f>
        <v/>
      </c>
      <c r="AC452" s="42" t="str">
        <f aca="false">IF(OR($B452="",$G452="",$H452=""),"",IF(AND($I452&lt;&gt;"",$I452&lt;=DateRef),"",IF($AB452&lt;DateVigueur,"Non concerné",IF(AND($N452&lt;&gt;"",$N452&gt;=MAX(EDATE($AB452,-FenetreFinCarriere*12),DateVigueur),$N452&lt;=$AB452),"Réalisé",IF(DateRef&gt;$AB452,"Non réalisé",IF(AND($Q452&lt;&gt;"",$Q452&gt;=EDATE($AB452,-FenetreFinCarriere*12),$Q452&lt;=$AB452),"Planifié dans la fenêtre",IF(AND(MAX($P452,DateRef)&gt;=EDATE($AB452,-FenetreFinCarriere*12),MAX($P452,DateRef)&lt;=$AB452),"Prochain EPP dans la fenêtre",IF(MAX($P452,DateRef)&gt;$AB452,"À programmer avant 60 ans",""))))))))</f>
        <v/>
      </c>
      <c r="AD452" s="40"/>
      <c r="AE452" s="43" t="str">
        <f aca="false">IF(OR($B452="",$H452="",AND($I452&lt;&gt;"",$I452&lt;=DateRef)),"",MAX($H452,$AD452,IF($A452="",0,SUMPRODUCT(MAX((Journal!$A$6:$A$1005=$A452)*((Journal!$D$6:$D$1005=TypeEDL)+(Journal!$D$6:$D$1005=TypeBilan6))*Journal!$C$6:$C$1005)))))</f>
        <v/>
      </c>
      <c r="AF452" s="43" t="str">
        <f aca="false">IF($AE452="","",IF(AND(ReglesTransitoires="Oui",EDATE($AE452,AnciennePeriodiciteEDL*12)&lt;DateVigueur),EDATE($AE452,AnciennePeriodiciteEDL*12),EDATE($AE452,PeriodiciteEDL*12)))</f>
        <v/>
      </c>
      <c r="AG452" s="42" t="str">
        <f aca="false">IF($AF452="","",IF(AND($I452&lt;&gt;"",$I452&lt;=DateRef),"",IF($AF452&lt;DateRef,"En retard",IF($AF452-DateRef&lt;=SeuilAlerteEDL,"À prévoir","À jour"))))</f>
        <v/>
      </c>
      <c r="AH452" s="39"/>
      <c r="AI452" s="39"/>
      <c r="AJ452" s="42" t="str">
        <f aca="false">IF(OR($B452="",$H452=""),"",IF(AND($I452&lt;&gt;"",$I452&lt;=DateRef),"",IF(Effectif&lt;SeuilEffectif,"Non concerné (&lt; "&amp;SeuilEffectif&amp;" salariés)",IF($AH452="Oui","Pas de risque",IF(AND(OR($AI452="Non",$S452="En retard"),$AH452="Non"),"Risque abondement",IF(OR($AI452="Non",$S452="En retard"),"À vérifier (formation ?)",IF($AI452="Oui","Pas de risque","À compléter")))))))</f>
        <v/>
      </c>
      <c r="AK452" s="39"/>
    </row>
    <row r="453" customFormat="false" ht="15" hidden="false" customHeight="false" outlineLevel="0" collapsed="false">
      <c r="A453" s="39"/>
      <c r="B453" s="39"/>
      <c r="C453" s="39"/>
      <c r="D453" s="39"/>
      <c r="E453" s="39"/>
      <c r="F453" s="39"/>
      <c r="G453" s="40"/>
      <c r="H453" s="40"/>
      <c r="I453" s="40"/>
      <c r="J453" s="41" t="str">
        <f aca="false">IF(OR($B453="",$H453=""),"",IF($H453&gt;DateRef,0,YEARFRAC($H453,DateRef,1)))</f>
        <v/>
      </c>
      <c r="K453" s="42" t="str">
        <f aca="false">IF(OR($B453="",$H453=""),"",IF(EDATE($H453,12)&lt;=DateRef,"Plus d'un an","Moins d'un an"))</f>
        <v/>
      </c>
      <c r="L453" s="40"/>
      <c r="M453" s="43" t="str">
        <f aca="false">IF(OR($B453="",$A453=""),"",IF(SUMPRODUCT(MAX((Journal!$A$6:$A$1005=$A453)*Journal!$C$6:$C$1005))=0,"",SUMPRODUCT(MAX((Journal!$A$6:$A$1005=$A453)*Journal!$C$6:$C$1005))))</f>
        <v/>
      </c>
      <c r="N453" s="43" t="str">
        <f aca="false">IF($B453="","",IF(MAX($L453,$M453)=0,"",MAX($L453,$M453)))</f>
        <v/>
      </c>
      <c r="O453" s="44" t="str">
        <f aca="false">IF(OR($B453="",$H453=""),"",IF($N453="",IF(EDATE($H453,DelaiPremierEPP)&gt;DateRef,"1er EPP (1re année)","Aucun entretien renseigné"),IF(AND(ReglesTransitoires="Oui",EDATE($N453,AnciennePeriodiciteEP*12)&lt;DateVigueur),"Retard antérieur à la réforme","Périodicité "&amp;PeriodiciteEPP&amp;" ans")))</f>
        <v/>
      </c>
      <c r="P453" s="43" t="str">
        <f aca="false">IF(OR($B453="",$H453=""),"",IF($N453="",EDATE($H453,DelaiPremierEPP),IF(AND(ReglesTransitoires="Oui",EDATE($N453,AnciennePeriodiciteEP*12)&lt;DateVigueur),EDATE($N453,AnciennePeriodiciteEP*12),EDATE($N453,PeriodiciteEPP*12))))</f>
        <v/>
      </c>
      <c r="Q453" s="40"/>
      <c r="R453" s="45" t="str">
        <f aca="false">IF(OR($P453="",AND($I453&lt;&gt;"",$I453&lt;=DateRef)),"",$P453-DateRef)</f>
        <v/>
      </c>
      <c r="S453" s="42" t="str">
        <f aca="false">IF($B453="","",IF(AND($I453&lt;&gt;"",$I453&lt;=DateRef),"Sorti",IF($H453="","À compléter",IF(AND($Q453&lt;&gt;"",$Q453&gt;=DateRef,$Q453&lt;=$P453),"Planifié",IF($R453&lt;0,"En retard",IF($R453&lt;=SeuilAlerteEPP,"À planifier","À jour"))))))</f>
        <v/>
      </c>
      <c r="T453" s="46" t="str">
        <f aca="false">IF(OR($B453="",$S453="Sorti"),"",MID(IF($H453=""," | Date d'embauche manquante","")&amp;IF(AND($K453="Plus d'un an",$N453="")," | Précédent entretien à renseigner (ancienneté &gt; 1 an)","")&amp;IF($O453="Retard antérieur à la réforme"," | Ancien délai de 2 ans expiré avant la réforme","")&amp;IF(AND($N453&lt;&gt;"",$H453&lt;&gt;"",$N453&lt;$H453)," | Entretien antérieur à l'embauche ?","")&amp;IF(AND($N453&lt;&gt;"",$N453&gt;DateRef)," | Entretien daté dans le futur ?","")&amp;IF(AND($Q453&lt;&gt;"",$P453&lt;&gt;"",$Q453&gt;$P453)," | Date prévue après l'échéance","")&amp;IF(AND($Q453&lt;&gt;"",$Q453&lt;DateRef,OR($N453="",$N453&lt;$Q453))," | Entretien prévu passé : le consigner au Journal","")&amp;IF(AND($G453&lt;&gt;"",$X453="",YEAR(DateRef)-YEAR($G453)&gt;=AgeMiCarriere-1,YEAR(DateRef)-YEAR($G453)&lt;=AgeMiCarriere+1)," | Visite de mi-carrière à vérifier",""),4,1000))</f>
        <v/>
      </c>
      <c r="U453" s="39"/>
      <c r="V453" s="40"/>
      <c r="W453" s="42" t="str">
        <f aca="false">IF(OR($B453="",$V453=""),"",IF(AND($I453&lt;&gt;"",$I453&lt;=DateRef),"",IF(AND($N453&lt;&gt;"",$N453&gt;=$V453),"Réalisé",IF(AND($N453&lt;&gt;"",$N453&gt;=EDATE($V453,-FenetreRetour)),"Dispensé (EPP récent)",IF($V453&gt;DateRef,"À prévoir à la reprise","À proposer (reprise passée)")))))</f>
        <v/>
      </c>
      <c r="X453" s="40"/>
      <c r="Y453" s="43" t="str">
        <f aca="false">IF(OR($B453="",$X453=""),"",EDATE($X453,DelaiMiCarriere))</f>
        <v/>
      </c>
      <c r="Z453" s="42" t="str">
        <f aca="false">IF(OR($B453="",$X453=""),"",IF(AND($I453&lt;&gt;"",$I453&lt;=DateRef),"",IF(AND($N453&lt;&gt;"",$N453&gt;=$X453),"Réalisé",IF($Y453&lt;DateRef,"En retard","À planifier"))))</f>
        <v/>
      </c>
      <c r="AA453" s="47" t="str">
        <f aca="false">IF(OR($B453="",$G453=""),"",IF($G453&gt;DateRef,"",DATEDIF($G453,DateRef,"y")))</f>
        <v/>
      </c>
      <c r="AB453" s="43" t="str">
        <f aca="false">IF(OR($B453="",$G453=""),"",EDATE($G453,AgeFinCarriere*12))</f>
        <v/>
      </c>
      <c r="AC453" s="42" t="str">
        <f aca="false">IF(OR($B453="",$G453="",$H453=""),"",IF(AND($I453&lt;&gt;"",$I453&lt;=DateRef),"",IF($AB453&lt;DateVigueur,"Non concerné",IF(AND($N453&lt;&gt;"",$N453&gt;=MAX(EDATE($AB453,-FenetreFinCarriere*12),DateVigueur),$N453&lt;=$AB453),"Réalisé",IF(DateRef&gt;$AB453,"Non réalisé",IF(AND($Q453&lt;&gt;"",$Q453&gt;=EDATE($AB453,-FenetreFinCarriere*12),$Q453&lt;=$AB453),"Planifié dans la fenêtre",IF(AND(MAX($P453,DateRef)&gt;=EDATE($AB453,-FenetreFinCarriere*12),MAX($P453,DateRef)&lt;=$AB453),"Prochain EPP dans la fenêtre",IF(MAX($P453,DateRef)&gt;$AB453,"À programmer avant 60 ans",""))))))))</f>
        <v/>
      </c>
      <c r="AD453" s="40"/>
      <c r="AE453" s="43" t="str">
        <f aca="false">IF(OR($B453="",$H453="",AND($I453&lt;&gt;"",$I453&lt;=DateRef)),"",MAX($H453,$AD453,IF($A453="",0,SUMPRODUCT(MAX((Journal!$A$6:$A$1005=$A453)*((Journal!$D$6:$D$1005=TypeEDL)+(Journal!$D$6:$D$1005=TypeBilan6))*Journal!$C$6:$C$1005)))))</f>
        <v/>
      </c>
      <c r="AF453" s="43" t="str">
        <f aca="false">IF($AE453="","",IF(AND(ReglesTransitoires="Oui",EDATE($AE453,AnciennePeriodiciteEDL*12)&lt;DateVigueur),EDATE($AE453,AnciennePeriodiciteEDL*12),EDATE($AE453,PeriodiciteEDL*12)))</f>
        <v/>
      </c>
      <c r="AG453" s="42" t="str">
        <f aca="false">IF($AF453="","",IF(AND($I453&lt;&gt;"",$I453&lt;=DateRef),"",IF($AF453&lt;DateRef,"En retard",IF($AF453-DateRef&lt;=SeuilAlerteEDL,"À prévoir","À jour"))))</f>
        <v/>
      </c>
      <c r="AH453" s="39"/>
      <c r="AI453" s="39"/>
      <c r="AJ453" s="42" t="str">
        <f aca="false">IF(OR($B453="",$H453=""),"",IF(AND($I453&lt;&gt;"",$I453&lt;=DateRef),"",IF(Effectif&lt;SeuilEffectif,"Non concerné (&lt; "&amp;SeuilEffectif&amp;" salariés)",IF($AH453="Oui","Pas de risque",IF(AND(OR($AI453="Non",$S453="En retard"),$AH453="Non"),"Risque abondement",IF(OR($AI453="Non",$S453="En retard"),"À vérifier (formation ?)",IF($AI453="Oui","Pas de risque","À compléter")))))))</f>
        <v/>
      </c>
      <c r="AK453" s="39"/>
    </row>
    <row r="454" customFormat="false" ht="15" hidden="false" customHeight="false" outlineLevel="0" collapsed="false">
      <c r="A454" s="39"/>
      <c r="B454" s="39"/>
      <c r="C454" s="39"/>
      <c r="D454" s="39"/>
      <c r="E454" s="39"/>
      <c r="F454" s="39"/>
      <c r="G454" s="40"/>
      <c r="H454" s="40"/>
      <c r="I454" s="40"/>
      <c r="J454" s="41" t="str">
        <f aca="false">IF(OR($B454="",$H454=""),"",IF($H454&gt;DateRef,0,YEARFRAC($H454,DateRef,1)))</f>
        <v/>
      </c>
      <c r="K454" s="42" t="str">
        <f aca="false">IF(OR($B454="",$H454=""),"",IF(EDATE($H454,12)&lt;=DateRef,"Plus d'un an","Moins d'un an"))</f>
        <v/>
      </c>
      <c r="L454" s="40"/>
      <c r="M454" s="43" t="str">
        <f aca="false">IF(OR($B454="",$A454=""),"",IF(SUMPRODUCT(MAX((Journal!$A$6:$A$1005=$A454)*Journal!$C$6:$C$1005))=0,"",SUMPRODUCT(MAX((Journal!$A$6:$A$1005=$A454)*Journal!$C$6:$C$1005))))</f>
        <v/>
      </c>
      <c r="N454" s="43" t="str">
        <f aca="false">IF($B454="","",IF(MAX($L454,$M454)=0,"",MAX($L454,$M454)))</f>
        <v/>
      </c>
      <c r="O454" s="44" t="str">
        <f aca="false">IF(OR($B454="",$H454=""),"",IF($N454="",IF(EDATE($H454,DelaiPremierEPP)&gt;DateRef,"1er EPP (1re année)","Aucun entretien renseigné"),IF(AND(ReglesTransitoires="Oui",EDATE($N454,AnciennePeriodiciteEP*12)&lt;DateVigueur),"Retard antérieur à la réforme","Périodicité "&amp;PeriodiciteEPP&amp;" ans")))</f>
        <v/>
      </c>
      <c r="P454" s="43" t="str">
        <f aca="false">IF(OR($B454="",$H454=""),"",IF($N454="",EDATE($H454,DelaiPremierEPP),IF(AND(ReglesTransitoires="Oui",EDATE($N454,AnciennePeriodiciteEP*12)&lt;DateVigueur),EDATE($N454,AnciennePeriodiciteEP*12),EDATE($N454,PeriodiciteEPP*12))))</f>
        <v/>
      </c>
      <c r="Q454" s="40"/>
      <c r="R454" s="45" t="str">
        <f aca="false">IF(OR($P454="",AND($I454&lt;&gt;"",$I454&lt;=DateRef)),"",$P454-DateRef)</f>
        <v/>
      </c>
      <c r="S454" s="42" t="str">
        <f aca="false">IF($B454="","",IF(AND($I454&lt;&gt;"",$I454&lt;=DateRef),"Sorti",IF($H454="","À compléter",IF(AND($Q454&lt;&gt;"",$Q454&gt;=DateRef,$Q454&lt;=$P454),"Planifié",IF($R454&lt;0,"En retard",IF($R454&lt;=SeuilAlerteEPP,"À planifier","À jour"))))))</f>
        <v/>
      </c>
      <c r="T454" s="46" t="str">
        <f aca="false">IF(OR($B454="",$S454="Sorti"),"",MID(IF($H454=""," | Date d'embauche manquante","")&amp;IF(AND($K454="Plus d'un an",$N454="")," | Précédent entretien à renseigner (ancienneté &gt; 1 an)","")&amp;IF($O454="Retard antérieur à la réforme"," | Ancien délai de 2 ans expiré avant la réforme","")&amp;IF(AND($N454&lt;&gt;"",$H454&lt;&gt;"",$N454&lt;$H454)," | Entretien antérieur à l'embauche ?","")&amp;IF(AND($N454&lt;&gt;"",$N454&gt;DateRef)," | Entretien daté dans le futur ?","")&amp;IF(AND($Q454&lt;&gt;"",$P454&lt;&gt;"",$Q454&gt;$P454)," | Date prévue après l'échéance","")&amp;IF(AND($Q454&lt;&gt;"",$Q454&lt;DateRef,OR($N454="",$N454&lt;$Q454))," | Entretien prévu passé : le consigner au Journal","")&amp;IF(AND($G454&lt;&gt;"",$X454="",YEAR(DateRef)-YEAR($G454)&gt;=AgeMiCarriere-1,YEAR(DateRef)-YEAR($G454)&lt;=AgeMiCarriere+1)," | Visite de mi-carrière à vérifier",""),4,1000))</f>
        <v/>
      </c>
      <c r="U454" s="39"/>
      <c r="V454" s="40"/>
      <c r="W454" s="42" t="str">
        <f aca="false">IF(OR($B454="",$V454=""),"",IF(AND($I454&lt;&gt;"",$I454&lt;=DateRef),"",IF(AND($N454&lt;&gt;"",$N454&gt;=$V454),"Réalisé",IF(AND($N454&lt;&gt;"",$N454&gt;=EDATE($V454,-FenetreRetour)),"Dispensé (EPP récent)",IF($V454&gt;DateRef,"À prévoir à la reprise","À proposer (reprise passée)")))))</f>
        <v/>
      </c>
      <c r="X454" s="40"/>
      <c r="Y454" s="43" t="str">
        <f aca="false">IF(OR($B454="",$X454=""),"",EDATE($X454,DelaiMiCarriere))</f>
        <v/>
      </c>
      <c r="Z454" s="42" t="str">
        <f aca="false">IF(OR($B454="",$X454=""),"",IF(AND($I454&lt;&gt;"",$I454&lt;=DateRef),"",IF(AND($N454&lt;&gt;"",$N454&gt;=$X454),"Réalisé",IF($Y454&lt;DateRef,"En retard","À planifier"))))</f>
        <v/>
      </c>
      <c r="AA454" s="47" t="str">
        <f aca="false">IF(OR($B454="",$G454=""),"",IF($G454&gt;DateRef,"",DATEDIF($G454,DateRef,"y")))</f>
        <v/>
      </c>
      <c r="AB454" s="43" t="str">
        <f aca="false">IF(OR($B454="",$G454=""),"",EDATE($G454,AgeFinCarriere*12))</f>
        <v/>
      </c>
      <c r="AC454" s="42" t="str">
        <f aca="false">IF(OR($B454="",$G454="",$H454=""),"",IF(AND($I454&lt;&gt;"",$I454&lt;=DateRef),"",IF($AB454&lt;DateVigueur,"Non concerné",IF(AND($N454&lt;&gt;"",$N454&gt;=MAX(EDATE($AB454,-FenetreFinCarriere*12),DateVigueur),$N454&lt;=$AB454),"Réalisé",IF(DateRef&gt;$AB454,"Non réalisé",IF(AND($Q454&lt;&gt;"",$Q454&gt;=EDATE($AB454,-FenetreFinCarriere*12),$Q454&lt;=$AB454),"Planifié dans la fenêtre",IF(AND(MAX($P454,DateRef)&gt;=EDATE($AB454,-FenetreFinCarriere*12),MAX($P454,DateRef)&lt;=$AB454),"Prochain EPP dans la fenêtre",IF(MAX($P454,DateRef)&gt;$AB454,"À programmer avant 60 ans",""))))))))</f>
        <v/>
      </c>
      <c r="AD454" s="40"/>
      <c r="AE454" s="43" t="str">
        <f aca="false">IF(OR($B454="",$H454="",AND($I454&lt;&gt;"",$I454&lt;=DateRef)),"",MAX($H454,$AD454,IF($A454="",0,SUMPRODUCT(MAX((Journal!$A$6:$A$1005=$A454)*((Journal!$D$6:$D$1005=TypeEDL)+(Journal!$D$6:$D$1005=TypeBilan6))*Journal!$C$6:$C$1005)))))</f>
        <v/>
      </c>
      <c r="AF454" s="43" t="str">
        <f aca="false">IF($AE454="","",IF(AND(ReglesTransitoires="Oui",EDATE($AE454,AnciennePeriodiciteEDL*12)&lt;DateVigueur),EDATE($AE454,AnciennePeriodiciteEDL*12),EDATE($AE454,PeriodiciteEDL*12)))</f>
        <v/>
      </c>
      <c r="AG454" s="42" t="str">
        <f aca="false">IF($AF454="","",IF(AND($I454&lt;&gt;"",$I454&lt;=DateRef),"",IF($AF454&lt;DateRef,"En retard",IF($AF454-DateRef&lt;=SeuilAlerteEDL,"À prévoir","À jour"))))</f>
        <v/>
      </c>
      <c r="AH454" s="39"/>
      <c r="AI454" s="39"/>
      <c r="AJ454" s="42" t="str">
        <f aca="false">IF(OR($B454="",$H454=""),"",IF(AND($I454&lt;&gt;"",$I454&lt;=DateRef),"",IF(Effectif&lt;SeuilEffectif,"Non concerné (&lt; "&amp;SeuilEffectif&amp;" salariés)",IF($AH454="Oui","Pas de risque",IF(AND(OR($AI454="Non",$S454="En retard"),$AH454="Non"),"Risque abondement",IF(OR($AI454="Non",$S454="En retard"),"À vérifier (formation ?)",IF($AI454="Oui","Pas de risque","À compléter")))))))</f>
        <v/>
      </c>
      <c r="AK454" s="39"/>
    </row>
    <row r="455" customFormat="false" ht="15" hidden="false" customHeight="false" outlineLevel="0" collapsed="false">
      <c r="A455" s="39"/>
      <c r="B455" s="39"/>
      <c r="C455" s="39"/>
      <c r="D455" s="39"/>
      <c r="E455" s="39"/>
      <c r="F455" s="39"/>
      <c r="G455" s="40"/>
      <c r="H455" s="40"/>
      <c r="I455" s="40"/>
      <c r="J455" s="41" t="str">
        <f aca="false">IF(OR($B455="",$H455=""),"",IF($H455&gt;DateRef,0,YEARFRAC($H455,DateRef,1)))</f>
        <v/>
      </c>
      <c r="K455" s="42" t="str">
        <f aca="false">IF(OR($B455="",$H455=""),"",IF(EDATE($H455,12)&lt;=DateRef,"Plus d'un an","Moins d'un an"))</f>
        <v/>
      </c>
      <c r="L455" s="40"/>
      <c r="M455" s="43" t="str">
        <f aca="false">IF(OR($B455="",$A455=""),"",IF(SUMPRODUCT(MAX((Journal!$A$6:$A$1005=$A455)*Journal!$C$6:$C$1005))=0,"",SUMPRODUCT(MAX((Journal!$A$6:$A$1005=$A455)*Journal!$C$6:$C$1005))))</f>
        <v/>
      </c>
      <c r="N455" s="43" t="str">
        <f aca="false">IF($B455="","",IF(MAX($L455,$M455)=0,"",MAX($L455,$M455)))</f>
        <v/>
      </c>
      <c r="O455" s="44" t="str">
        <f aca="false">IF(OR($B455="",$H455=""),"",IF($N455="",IF(EDATE($H455,DelaiPremierEPP)&gt;DateRef,"1er EPP (1re année)","Aucun entretien renseigné"),IF(AND(ReglesTransitoires="Oui",EDATE($N455,AnciennePeriodiciteEP*12)&lt;DateVigueur),"Retard antérieur à la réforme","Périodicité "&amp;PeriodiciteEPP&amp;" ans")))</f>
        <v/>
      </c>
      <c r="P455" s="43" t="str">
        <f aca="false">IF(OR($B455="",$H455=""),"",IF($N455="",EDATE($H455,DelaiPremierEPP),IF(AND(ReglesTransitoires="Oui",EDATE($N455,AnciennePeriodiciteEP*12)&lt;DateVigueur),EDATE($N455,AnciennePeriodiciteEP*12),EDATE($N455,PeriodiciteEPP*12))))</f>
        <v/>
      </c>
      <c r="Q455" s="40"/>
      <c r="R455" s="45" t="str">
        <f aca="false">IF(OR($P455="",AND($I455&lt;&gt;"",$I455&lt;=DateRef)),"",$P455-DateRef)</f>
        <v/>
      </c>
      <c r="S455" s="42" t="str">
        <f aca="false">IF($B455="","",IF(AND($I455&lt;&gt;"",$I455&lt;=DateRef),"Sorti",IF($H455="","À compléter",IF(AND($Q455&lt;&gt;"",$Q455&gt;=DateRef,$Q455&lt;=$P455),"Planifié",IF($R455&lt;0,"En retard",IF($R455&lt;=SeuilAlerteEPP,"À planifier","À jour"))))))</f>
        <v/>
      </c>
      <c r="T455" s="46" t="str">
        <f aca="false">IF(OR($B455="",$S455="Sorti"),"",MID(IF($H455=""," | Date d'embauche manquante","")&amp;IF(AND($K455="Plus d'un an",$N455="")," | Précédent entretien à renseigner (ancienneté &gt; 1 an)","")&amp;IF($O455="Retard antérieur à la réforme"," | Ancien délai de 2 ans expiré avant la réforme","")&amp;IF(AND($N455&lt;&gt;"",$H455&lt;&gt;"",$N455&lt;$H455)," | Entretien antérieur à l'embauche ?","")&amp;IF(AND($N455&lt;&gt;"",$N455&gt;DateRef)," | Entretien daté dans le futur ?","")&amp;IF(AND($Q455&lt;&gt;"",$P455&lt;&gt;"",$Q455&gt;$P455)," | Date prévue après l'échéance","")&amp;IF(AND($Q455&lt;&gt;"",$Q455&lt;DateRef,OR($N455="",$N455&lt;$Q455))," | Entretien prévu passé : le consigner au Journal","")&amp;IF(AND($G455&lt;&gt;"",$X455="",YEAR(DateRef)-YEAR($G455)&gt;=AgeMiCarriere-1,YEAR(DateRef)-YEAR($G455)&lt;=AgeMiCarriere+1)," | Visite de mi-carrière à vérifier",""),4,1000))</f>
        <v/>
      </c>
      <c r="U455" s="39"/>
      <c r="V455" s="40"/>
      <c r="W455" s="42" t="str">
        <f aca="false">IF(OR($B455="",$V455=""),"",IF(AND($I455&lt;&gt;"",$I455&lt;=DateRef),"",IF(AND($N455&lt;&gt;"",$N455&gt;=$V455),"Réalisé",IF(AND($N455&lt;&gt;"",$N455&gt;=EDATE($V455,-FenetreRetour)),"Dispensé (EPP récent)",IF($V455&gt;DateRef,"À prévoir à la reprise","À proposer (reprise passée)")))))</f>
        <v/>
      </c>
      <c r="X455" s="40"/>
      <c r="Y455" s="43" t="str">
        <f aca="false">IF(OR($B455="",$X455=""),"",EDATE($X455,DelaiMiCarriere))</f>
        <v/>
      </c>
      <c r="Z455" s="42" t="str">
        <f aca="false">IF(OR($B455="",$X455=""),"",IF(AND($I455&lt;&gt;"",$I455&lt;=DateRef),"",IF(AND($N455&lt;&gt;"",$N455&gt;=$X455),"Réalisé",IF($Y455&lt;DateRef,"En retard","À planifier"))))</f>
        <v/>
      </c>
      <c r="AA455" s="47" t="str">
        <f aca="false">IF(OR($B455="",$G455=""),"",IF($G455&gt;DateRef,"",DATEDIF($G455,DateRef,"y")))</f>
        <v/>
      </c>
      <c r="AB455" s="43" t="str">
        <f aca="false">IF(OR($B455="",$G455=""),"",EDATE($G455,AgeFinCarriere*12))</f>
        <v/>
      </c>
      <c r="AC455" s="42" t="str">
        <f aca="false">IF(OR($B455="",$G455="",$H455=""),"",IF(AND($I455&lt;&gt;"",$I455&lt;=DateRef),"",IF($AB455&lt;DateVigueur,"Non concerné",IF(AND($N455&lt;&gt;"",$N455&gt;=MAX(EDATE($AB455,-FenetreFinCarriere*12),DateVigueur),$N455&lt;=$AB455),"Réalisé",IF(DateRef&gt;$AB455,"Non réalisé",IF(AND($Q455&lt;&gt;"",$Q455&gt;=EDATE($AB455,-FenetreFinCarriere*12),$Q455&lt;=$AB455),"Planifié dans la fenêtre",IF(AND(MAX($P455,DateRef)&gt;=EDATE($AB455,-FenetreFinCarriere*12),MAX($P455,DateRef)&lt;=$AB455),"Prochain EPP dans la fenêtre",IF(MAX($P455,DateRef)&gt;$AB455,"À programmer avant 60 ans",""))))))))</f>
        <v/>
      </c>
      <c r="AD455" s="40"/>
      <c r="AE455" s="43" t="str">
        <f aca="false">IF(OR($B455="",$H455="",AND($I455&lt;&gt;"",$I455&lt;=DateRef)),"",MAX($H455,$AD455,IF($A455="",0,SUMPRODUCT(MAX((Journal!$A$6:$A$1005=$A455)*((Journal!$D$6:$D$1005=TypeEDL)+(Journal!$D$6:$D$1005=TypeBilan6))*Journal!$C$6:$C$1005)))))</f>
        <v/>
      </c>
      <c r="AF455" s="43" t="str">
        <f aca="false">IF($AE455="","",IF(AND(ReglesTransitoires="Oui",EDATE($AE455,AnciennePeriodiciteEDL*12)&lt;DateVigueur),EDATE($AE455,AnciennePeriodiciteEDL*12),EDATE($AE455,PeriodiciteEDL*12)))</f>
        <v/>
      </c>
      <c r="AG455" s="42" t="str">
        <f aca="false">IF($AF455="","",IF(AND($I455&lt;&gt;"",$I455&lt;=DateRef),"",IF($AF455&lt;DateRef,"En retard",IF($AF455-DateRef&lt;=SeuilAlerteEDL,"À prévoir","À jour"))))</f>
        <v/>
      </c>
      <c r="AH455" s="39"/>
      <c r="AI455" s="39"/>
      <c r="AJ455" s="42" t="str">
        <f aca="false">IF(OR($B455="",$H455=""),"",IF(AND($I455&lt;&gt;"",$I455&lt;=DateRef),"",IF(Effectif&lt;SeuilEffectif,"Non concerné (&lt; "&amp;SeuilEffectif&amp;" salariés)",IF($AH455="Oui","Pas de risque",IF(AND(OR($AI455="Non",$S455="En retard"),$AH455="Non"),"Risque abondement",IF(OR($AI455="Non",$S455="En retard"),"À vérifier (formation ?)",IF($AI455="Oui","Pas de risque","À compléter")))))))</f>
        <v/>
      </c>
      <c r="AK455" s="39"/>
    </row>
    <row r="456" customFormat="false" ht="15" hidden="false" customHeight="false" outlineLevel="0" collapsed="false">
      <c r="A456" s="39"/>
      <c r="B456" s="39"/>
      <c r="C456" s="39"/>
      <c r="D456" s="39"/>
      <c r="E456" s="39"/>
      <c r="F456" s="39"/>
      <c r="G456" s="40"/>
      <c r="H456" s="40"/>
      <c r="I456" s="40"/>
      <c r="J456" s="41" t="str">
        <f aca="false">IF(OR($B456="",$H456=""),"",IF($H456&gt;DateRef,0,YEARFRAC($H456,DateRef,1)))</f>
        <v/>
      </c>
      <c r="K456" s="42" t="str">
        <f aca="false">IF(OR($B456="",$H456=""),"",IF(EDATE($H456,12)&lt;=DateRef,"Plus d'un an","Moins d'un an"))</f>
        <v/>
      </c>
      <c r="L456" s="40"/>
      <c r="M456" s="43" t="str">
        <f aca="false">IF(OR($B456="",$A456=""),"",IF(SUMPRODUCT(MAX((Journal!$A$6:$A$1005=$A456)*Journal!$C$6:$C$1005))=0,"",SUMPRODUCT(MAX((Journal!$A$6:$A$1005=$A456)*Journal!$C$6:$C$1005))))</f>
        <v/>
      </c>
      <c r="N456" s="43" t="str">
        <f aca="false">IF($B456="","",IF(MAX($L456,$M456)=0,"",MAX($L456,$M456)))</f>
        <v/>
      </c>
      <c r="O456" s="44" t="str">
        <f aca="false">IF(OR($B456="",$H456=""),"",IF($N456="",IF(EDATE($H456,DelaiPremierEPP)&gt;DateRef,"1er EPP (1re année)","Aucun entretien renseigné"),IF(AND(ReglesTransitoires="Oui",EDATE($N456,AnciennePeriodiciteEP*12)&lt;DateVigueur),"Retard antérieur à la réforme","Périodicité "&amp;PeriodiciteEPP&amp;" ans")))</f>
        <v/>
      </c>
      <c r="P456" s="43" t="str">
        <f aca="false">IF(OR($B456="",$H456=""),"",IF($N456="",EDATE($H456,DelaiPremierEPP),IF(AND(ReglesTransitoires="Oui",EDATE($N456,AnciennePeriodiciteEP*12)&lt;DateVigueur),EDATE($N456,AnciennePeriodiciteEP*12),EDATE($N456,PeriodiciteEPP*12))))</f>
        <v/>
      </c>
      <c r="Q456" s="40"/>
      <c r="R456" s="45" t="str">
        <f aca="false">IF(OR($P456="",AND($I456&lt;&gt;"",$I456&lt;=DateRef)),"",$P456-DateRef)</f>
        <v/>
      </c>
      <c r="S456" s="42" t="str">
        <f aca="false">IF($B456="","",IF(AND($I456&lt;&gt;"",$I456&lt;=DateRef),"Sorti",IF($H456="","À compléter",IF(AND($Q456&lt;&gt;"",$Q456&gt;=DateRef,$Q456&lt;=$P456),"Planifié",IF($R456&lt;0,"En retard",IF($R456&lt;=SeuilAlerteEPP,"À planifier","À jour"))))))</f>
        <v/>
      </c>
      <c r="T456" s="46" t="str">
        <f aca="false">IF(OR($B456="",$S456="Sorti"),"",MID(IF($H456=""," | Date d'embauche manquante","")&amp;IF(AND($K456="Plus d'un an",$N456="")," | Précédent entretien à renseigner (ancienneté &gt; 1 an)","")&amp;IF($O456="Retard antérieur à la réforme"," | Ancien délai de 2 ans expiré avant la réforme","")&amp;IF(AND($N456&lt;&gt;"",$H456&lt;&gt;"",$N456&lt;$H456)," | Entretien antérieur à l'embauche ?","")&amp;IF(AND($N456&lt;&gt;"",$N456&gt;DateRef)," | Entretien daté dans le futur ?","")&amp;IF(AND($Q456&lt;&gt;"",$P456&lt;&gt;"",$Q456&gt;$P456)," | Date prévue après l'échéance","")&amp;IF(AND($Q456&lt;&gt;"",$Q456&lt;DateRef,OR($N456="",$N456&lt;$Q456))," | Entretien prévu passé : le consigner au Journal","")&amp;IF(AND($G456&lt;&gt;"",$X456="",YEAR(DateRef)-YEAR($G456)&gt;=AgeMiCarriere-1,YEAR(DateRef)-YEAR($G456)&lt;=AgeMiCarriere+1)," | Visite de mi-carrière à vérifier",""),4,1000))</f>
        <v/>
      </c>
      <c r="U456" s="39"/>
      <c r="V456" s="40"/>
      <c r="W456" s="42" t="str">
        <f aca="false">IF(OR($B456="",$V456=""),"",IF(AND($I456&lt;&gt;"",$I456&lt;=DateRef),"",IF(AND($N456&lt;&gt;"",$N456&gt;=$V456),"Réalisé",IF(AND($N456&lt;&gt;"",$N456&gt;=EDATE($V456,-FenetreRetour)),"Dispensé (EPP récent)",IF($V456&gt;DateRef,"À prévoir à la reprise","À proposer (reprise passée)")))))</f>
        <v/>
      </c>
      <c r="X456" s="40"/>
      <c r="Y456" s="43" t="str">
        <f aca="false">IF(OR($B456="",$X456=""),"",EDATE($X456,DelaiMiCarriere))</f>
        <v/>
      </c>
      <c r="Z456" s="42" t="str">
        <f aca="false">IF(OR($B456="",$X456=""),"",IF(AND($I456&lt;&gt;"",$I456&lt;=DateRef),"",IF(AND($N456&lt;&gt;"",$N456&gt;=$X456),"Réalisé",IF($Y456&lt;DateRef,"En retard","À planifier"))))</f>
        <v/>
      </c>
      <c r="AA456" s="47" t="str">
        <f aca="false">IF(OR($B456="",$G456=""),"",IF($G456&gt;DateRef,"",DATEDIF($G456,DateRef,"y")))</f>
        <v/>
      </c>
      <c r="AB456" s="43" t="str">
        <f aca="false">IF(OR($B456="",$G456=""),"",EDATE($G456,AgeFinCarriere*12))</f>
        <v/>
      </c>
      <c r="AC456" s="42" t="str">
        <f aca="false">IF(OR($B456="",$G456="",$H456=""),"",IF(AND($I456&lt;&gt;"",$I456&lt;=DateRef),"",IF($AB456&lt;DateVigueur,"Non concerné",IF(AND($N456&lt;&gt;"",$N456&gt;=MAX(EDATE($AB456,-FenetreFinCarriere*12),DateVigueur),$N456&lt;=$AB456),"Réalisé",IF(DateRef&gt;$AB456,"Non réalisé",IF(AND($Q456&lt;&gt;"",$Q456&gt;=EDATE($AB456,-FenetreFinCarriere*12),$Q456&lt;=$AB456),"Planifié dans la fenêtre",IF(AND(MAX($P456,DateRef)&gt;=EDATE($AB456,-FenetreFinCarriere*12),MAX($P456,DateRef)&lt;=$AB456),"Prochain EPP dans la fenêtre",IF(MAX($P456,DateRef)&gt;$AB456,"À programmer avant 60 ans",""))))))))</f>
        <v/>
      </c>
      <c r="AD456" s="40"/>
      <c r="AE456" s="43" t="str">
        <f aca="false">IF(OR($B456="",$H456="",AND($I456&lt;&gt;"",$I456&lt;=DateRef)),"",MAX($H456,$AD456,IF($A456="",0,SUMPRODUCT(MAX((Journal!$A$6:$A$1005=$A456)*((Journal!$D$6:$D$1005=TypeEDL)+(Journal!$D$6:$D$1005=TypeBilan6))*Journal!$C$6:$C$1005)))))</f>
        <v/>
      </c>
      <c r="AF456" s="43" t="str">
        <f aca="false">IF($AE456="","",IF(AND(ReglesTransitoires="Oui",EDATE($AE456,AnciennePeriodiciteEDL*12)&lt;DateVigueur),EDATE($AE456,AnciennePeriodiciteEDL*12),EDATE($AE456,PeriodiciteEDL*12)))</f>
        <v/>
      </c>
      <c r="AG456" s="42" t="str">
        <f aca="false">IF($AF456="","",IF(AND($I456&lt;&gt;"",$I456&lt;=DateRef),"",IF($AF456&lt;DateRef,"En retard",IF($AF456-DateRef&lt;=SeuilAlerteEDL,"À prévoir","À jour"))))</f>
        <v/>
      </c>
      <c r="AH456" s="39"/>
      <c r="AI456" s="39"/>
      <c r="AJ456" s="42" t="str">
        <f aca="false">IF(OR($B456="",$H456=""),"",IF(AND($I456&lt;&gt;"",$I456&lt;=DateRef),"",IF(Effectif&lt;SeuilEffectif,"Non concerné (&lt; "&amp;SeuilEffectif&amp;" salariés)",IF($AH456="Oui","Pas de risque",IF(AND(OR($AI456="Non",$S456="En retard"),$AH456="Non"),"Risque abondement",IF(OR($AI456="Non",$S456="En retard"),"À vérifier (formation ?)",IF($AI456="Oui","Pas de risque","À compléter")))))))</f>
        <v/>
      </c>
      <c r="AK456" s="39"/>
    </row>
    <row r="457" customFormat="false" ht="15" hidden="false" customHeight="false" outlineLevel="0" collapsed="false">
      <c r="A457" s="39"/>
      <c r="B457" s="39"/>
      <c r="C457" s="39"/>
      <c r="D457" s="39"/>
      <c r="E457" s="39"/>
      <c r="F457" s="39"/>
      <c r="G457" s="40"/>
      <c r="H457" s="40"/>
      <c r="I457" s="40"/>
      <c r="J457" s="41" t="str">
        <f aca="false">IF(OR($B457="",$H457=""),"",IF($H457&gt;DateRef,0,YEARFRAC($H457,DateRef,1)))</f>
        <v/>
      </c>
      <c r="K457" s="42" t="str">
        <f aca="false">IF(OR($B457="",$H457=""),"",IF(EDATE($H457,12)&lt;=DateRef,"Plus d'un an","Moins d'un an"))</f>
        <v/>
      </c>
      <c r="L457" s="40"/>
      <c r="M457" s="43" t="str">
        <f aca="false">IF(OR($B457="",$A457=""),"",IF(SUMPRODUCT(MAX((Journal!$A$6:$A$1005=$A457)*Journal!$C$6:$C$1005))=0,"",SUMPRODUCT(MAX((Journal!$A$6:$A$1005=$A457)*Journal!$C$6:$C$1005))))</f>
        <v/>
      </c>
      <c r="N457" s="43" t="str">
        <f aca="false">IF($B457="","",IF(MAX($L457,$M457)=0,"",MAX($L457,$M457)))</f>
        <v/>
      </c>
      <c r="O457" s="44" t="str">
        <f aca="false">IF(OR($B457="",$H457=""),"",IF($N457="",IF(EDATE($H457,DelaiPremierEPP)&gt;DateRef,"1er EPP (1re année)","Aucun entretien renseigné"),IF(AND(ReglesTransitoires="Oui",EDATE($N457,AnciennePeriodiciteEP*12)&lt;DateVigueur),"Retard antérieur à la réforme","Périodicité "&amp;PeriodiciteEPP&amp;" ans")))</f>
        <v/>
      </c>
      <c r="P457" s="43" t="str">
        <f aca="false">IF(OR($B457="",$H457=""),"",IF($N457="",EDATE($H457,DelaiPremierEPP),IF(AND(ReglesTransitoires="Oui",EDATE($N457,AnciennePeriodiciteEP*12)&lt;DateVigueur),EDATE($N457,AnciennePeriodiciteEP*12),EDATE($N457,PeriodiciteEPP*12))))</f>
        <v/>
      </c>
      <c r="Q457" s="40"/>
      <c r="R457" s="45" t="str">
        <f aca="false">IF(OR($P457="",AND($I457&lt;&gt;"",$I457&lt;=DateRef)),"",$P457-DateRef)</f>
        <v/>
      </c>
      <c r="S457" s="42" t="str">
        <f aca="false">IF($B457="","",IF(AND($I457&lt;&gt;"",$I457&lt;=DateRef),"Sorti",IF($H457="","À compléter",IF(AND($Q457&lt;&gt;"",$Q457&gt;=DateRef,$Q457&lt;=$P457),"Planifié",IF($R457&lt;0,"En retard",IF($R457&lt;=SeuilAlerteEPP,"À planifier","À jour"))))))</f>
        <v/>
      </c>
      <c r="T457" s="46" t="str">
        <f aca="false">IF(OR($B457="",$S457="Sorti"),"",MID(IF($H457=""," | Date d'embauche manquante","")&amp;IF(AND($K457="Plus d'un an",$N457="")," | Précédent entretien à renseigner (ancienneté &gt; 1 an)","")&amp;IF($O457="Retard antérieur à la réforme"," | Ancien délai de 2 ans expiré avant la réforme","")&amp;IF(AND($N457&lt;&gt;"",$H457&lt;&gt;"",$N457&lt;$H457)," | Entretien antérieur à l'embauche ?","")&amp;IF(AND($N457&lt;&gt;"",$N457&gt;DateRef)," | Entretien daté dans le futur ?","")&amp;IF(AND($Q457&lt;&gt;"",$P457&lt;&gt;"",$Q457&gt;$P457)," | Date prévue après l'échéance","")&amp;IF(AND($Q457&lt;&gt;"",$Q457&lt;DateRef,OR($N457="",$N457&lt;$Q457))," | Entretien prévu passé : le consigner au Journal","")&amp;IF(AND($G457&lt;&gt;"",$X457="",YEAR(DateRef)-YEAR($G457)&gt;=AgeMiCarriere-1,YEAR(DateRef)-YEAR($G457)&lt;=AgeMiCarriere+1)," | Visite de mi-carrière à vérifier",""),4,1000))</f>
        <v/>
      </c>
      <c r="U457" s="39"/>
      <c r="V457" s="40"/>
      <c r="W457" s="42" t="str">
        <f aca="false">IF(OR($B457="",$V457=""),"",IF(AND($I457&lt;&gt;"",$I457&lt;=DateRef),"",IF(AND($N457&lt;&gt;"",$N457&gt;=$V457),"Réalisé",IF(AND($N457&lt;&gt;"",$N457&gt;=EDATE($V457,-FenetreRetour)),"Dispensé (EPP récent)",IF($V457&gt;DateRef,"À prévoir à la reprise","À proposer (reprise passée)")))))</f>
        <v/>
      </c>
      <c r="X457" s="40"/>
      <c r="Y457" s="43" t="str">
        <f aca="false">IF(OR($B457="",$X457=""),"",EDATE($X457,DelaiMiCarriere))</f>
        <v/>
      </c>
      <c r="Z457" s="42" t="str">
        <f aca="false">IF(OR($B457="",$X457=""),"",IF(AND($I457&lt;&gt;"",$I457&lt;=DateRef),"",IF(AND($N457&lt;&gt;"",$N457&gt;=$X457),"Réalisé",IF($Y457&lt;DateRef,"En retard","À planifier"))))</f>
        <v/>
      </c>
      <c r="AA457" s="47" t="str">
        <f aca="false">IF(OR($B457="",$G457=""),"",IF($G457&gt;DateRef,"",DATEDIF($G457,DateRef,"y")))</f>
        <v/>
      </c>
      <c r="AB457" s="43" t="str">
        <f aca="false">IF(OR($B457="",$G457=""),"",EDATE($G457,AgeFinCarriere*12))</f>
        <v/>
      </c>
      <c r="AC457" s="42" t="str">
        <f aca="false">IF(OR($B457="",$G457="",$H457=""),"",IF(AND($I457&lt;&gt;"",$I457&lt;=DateRef),"",IF($AB457&lt;DateVigueur,"Non concerné",IF(AND($N457&lt;&gt;"",$N457&gt;=MAX(EDATE($AB457,-FenetreFinCarriere*12),DateVigueur),$N457&lt;=$AB457),"Réalisé",IF(DateRef&gt;$AB457,"Non réalisé",IF(AND($Q457&lt;&gt;"",$Q457&gt;=EDATE($AB457,-FenetreFinCarriere*12),$Q457&lt;=$AB457),"Planifié dans la fenêtre",IF(AND(MAX($P457,DateRef)&gt;=EDATE($AB457,-FenetreFinCarriere*12),MAX($P457,DateRef)&lt;=$AB457),"Prochain EPP dans la fenêtre",IF(MAX($P457,DateRef)&gt;$AB457,"À programmer avant 60 ans",""))))))))</f>
        <v/>
      </c>
      <c r="AD457" s="40"/>
      <c r="AE457" s="43" t="str">
        <f aca="false">IF(OR($B457="",$H457="",AND($I457&lt;&gt;"",$I457&lt;=DateRef)),"",MAX($H457,$AD457,IF($A457="",0,SUMPRODUCT(MAX((Journal!$A$6:$A$1005=$A457)*((Journal!$D$6:$D$1005=TypeEDL)+(Journal!$D$6:$D$1005=TypeBilan6))*Journal!$C$6:$C$1005)))))</f>
        <v/>
      </c>
      <c r="AF457" s="43" t="str">
        <f aca="false">IF($AE457="","",IF(AND(ReglesTransitoires="Oui",EDATE($AE457,AnciennePeriodiciteEDL*12)&lt;DateVigueur),EDATE($AE457,AnciennePeriodiciteEDL*12),EDATE($AE457,PeriodiciteEDL*12)))</f>
        <v/>
      </c>
      <c r="AG457" s="42" t="str">
        <f aca="false">IF($AF457="","",IF(AND($I457&lt;&gt;"",$I457&lt;=DateRef),"",IF($AF457&lt;DateRef,"En retard",IF($AF457-DateRef&lt;=SeuilAlerteEDL,"À prévoir","À jour"))))</f>
        <v/>
      </c>
      <c r="AH457" s="39"/>
      <c r="AI457" s="39"/>
      <c r="AJ457" s="42" t="str">
        <f aca="false">IF(OR($B457="",$H457=""),"",IF(AND($I457&lt;&gt;"",$I457&lt;=DateRef),"",IF(Effectif&lt;SeuilEffectif,"Non concerné (&lt; "&amp;SeuilEffectif&amp;" salariés)",IF($AH457="Oui","Pas de risque",IF(AND(OR($AI457="Non",$S457="En retard"),$AH457="Non"),"Risque abondement",IF(OR($AI457="Non",$S457="En retard"),"À vérifier (formation ?)",IF($AI457="Oui","Pas de risque","À compléter")))))))</f>
        <v/>
      </c>
      <c r="AK457" s="39"/>
    </row>
    <row r="458" customFormat="false" ht="15" hidden="false" customHeight="false" outlineLevel="0" collapsed="false">
      <c r="A458" s="39"/>
      <c r="B458" s="39"/>
      <c r="C458" s="39"/>
      <c r="D458" s="39"/>
      <c r="E458" s="39"/>
      <c r="F458" s="39"/>
      <c r="G458" s="40"/>
      <c r="H458" s="40"/>
      <c r="I458" s="40"/>
      <c r="J458" s="41" t="str">
        <f aca="false">IF(OR($B458="",$H458=""),"",IF($H458&gt;DateRef,0,YEARFRAC($H458,DateRef,1)))</f>
        <v/>
      </c>
      <c r="K458" s="42" t="str">
        <f aca="false">IF(OR($B458="",$H458=""),"",IF(EDATE($H458,12)&lt;=DateRef,"Plus d'un an","Moins d'un an"))</f>
        <v/>
      </c>
      <c r="L458" s="40"/>
      <c r="M458" s="43" t="str">
        <f aca="false">IF(OR($B458="",$A458=""),"",IF(SUMPRODUCT(MAX((Journal!$A$6:$A$1005=$A458)*Journal!$C$6:$C$1005))=0,"",SUMPRODUCT(MAX((Journal!$A$6:$A$1005=$A458)*Journal!$C$6:$C$1005))))</f>
        <v/>
      </c>
      <c r="N458" s="43" t="str">
        <f aca="false">IF($B458="","",IF(MAX($L458,$M458)=0,"",MAX($L458,$M458)))</f>
        <v/>
      </c>
      <c r="O458" s="44" t="str">
        <f aca="false">IF(OR($B458="",$H458=""),"",IF($N458="",IF(EDATE($H458,DelaiPremierEPP)&gt;DateRef,"1er EPP (1re année)","Aucun entretien renseigné"),IF(AND(ReglesTransitoires="Oui",EDATE($N458,AnciennePeriodiciteEP*12)&lt;DateVigueur),"Retard antérieur à la réforme","Périodicité "&amp;PeriodiciteEPP&amp;" ans")))</f>
        <v/>
      </c>
      <c r="P458" s="43" t="str">
        <f aca="false">IF(OR($B458="",$H458=""),"",IF($N458="",EDATE($H458,DelaiPremierEPP),IF(AND(ReglesTransitoires="Oui",EDATE($N458,AnciennePeriodiciteEP*12)&lt;DateVigueur),EDATE($N458,AnciennePeriodiciteEP*12),EDATE($N458,PeriodiciteEPP*12))))</f>
        <v/>
      </c>
      <c r="Q458" s="40"/>
      <c r="R458" s="45" t="str">
        <f aca="false">IF(OR($P458="",AND($I458&lt;&gt;"",$I458&lt;=DateRef)),"",$P458-DateRef)</f>
        <v/>
      </c>
      <c r="S458" s="42" t="str">
        <f aca="false">IF($B458="","",IF(AND($I458&lt;&gt;"",$I458&lt;=DateRef),"Sorti",IF($H458="","À compléter",IF(AND($Q458&lt;&gt;"",$Q458&gt;=DateRef,$Q458&lt;=$P458),"Planifié",IF($R458&lt;0,"En retard",IF($R458&lt;=SeuilAlerteEPP,"À planifier","À jour"))))))</f>
        <v/>
      </c>
      <c r="T458" s="46" t="str">
        <f aca="false">IF(OR($B458="",$S458="Sorti"),"",MID(IF($H458=""," | Date d'embauche manquante","")&amp;IF(AND($K458="Plus d'un an",$N458="")," | Précédent entretien à renseigner (ancienneté &gt; 1 an)","")&amp;IF($O458="Retard antérieur à la réforme"," | Ancien délai de 2 ans expiré avant la réforme","")&amp;IF(AND($N458&lt;&gt;"",$H458&lt;&gt;"",$N458&lt;$H458)," | Entretien antérieur à l'embauche ?","")&amp;IF(AND($N458&lt;&gt;"",$N458&gt;DateRef)," | Entretien daté dans le futur ?","")&amp;IF(AND($Q458&lt;&gt;"",$P458&lt;&gt;"",$Q458&gt;$P458)," | Date prévue après l'échéance","")&amp;IF(AND($Q458&lt;&gt;"",$Q458&lt;DateRef,OR($N458="",$N458&lt;$Q458))," | Entretien prévu passé : le consigner au Journal","")&amp;IF(AND($G458&lt;&gt;"",$X458="",YEAR(DateRef)-YEAR($G458)&gt;=AgeMiCarriere-1,YEAR(DateRef)-YEAR($G458)&lt;=AgeMiCarriere+1)," | Visite de mi-carrière à vérifier",""),4,1000))</f>
        <v/>
      </c>
      <c r="U458" s="39"/>
      <c r="V458" s="40"/>
      <c r="W458" s="42" t="str">
        <f aca="false">IF(OR($B458="",$V458=""),"",IF(AND($I458&lt;&gt;"",$I458&lt;=DateRef),"",IF(AND($N458&lt;&gt;"",$N458&gt;=$V458),"Réalisé",IF(AND($N458&lt;&gt;"",$N458&gt;=EDATE($V458,-FenetreRetour)),"Dispensé (EPP récent)",IF($V458&gt;DateRef,"À prévoir à la reprise","À proposer (reprise passée)")))))</f>
        <v/>
      </c>
      <c r="X458" s="40"/>
      <c r="Y458" s="43" t="str">
        <f aca="false">IF(OR($B458="",$X458=""),"",EDATE($X458,DelaiMiCarriere))</f>
        <v/>
      </c>
      <c r="Z458" s="42" t="str">
        <f aca="false">IF(OR($B458="",$X458=""),"",IF(AND($I458&lt;&gt;"",$I458&lt;=DateRef),"",IF(AND($N458&lt;&gt;"",$N458&gt;=$X458),"Réalisé",IF($Y458&lt;DateRef,"En retard","À planifier"))))</f>
        <v/>
      </c>
      <c r="AA458" s="47" t="str">
        <f aca="false">IF(OR($B458="",$G458=""),"",IF($G458&gt;DateRef,"",DATEDIF($G458,DateRef,"y")))</f>
        <v/>
      </c>
      <c r="AB458" s="43" t="str">
        <f aca="false">IF(OR($B458="",$G458=""),"",EDATE($G458,AgeFinCarriere*12))</f>
        <v/>
      </c>
      <c r="AC458" s="42" t="str">
        <f aca="false">IF(OR($B458="",$G458="",$H458=""),"",IF(AND($I458&lt;&gt;"",$I458&lt;=DateRef),"",IF($AB458&lt;DateVigueur,"Non concerné",IF(AND($N458&lt;&gt;"",$N458&gt;=MAX(EDATE($AB458,-FenetreFinCarriere*12),DateVigueur),$N458&lt;=$AB458),"Réalisé",IF(DateRef&gt;$AB458,"Non réalisé",IF(AND($Q458&lt;&gt;"",$Q458&gt;=EDATE($AB458,-FenetreFinCarriere*12),$Q458&lt;=$AB458),"Planifié dans la fenêtre",IF(AND(MAX($P458,DateRef)&gt;=EDATE($AB458,-FenetreFinCarriere*12),MAX($P458,DateRef)&lt;=$AB458),"Prochain EPP dans la fenêtre",IF(MAX($P458,DateRef)&gt;$AB458,"À programmer avant 60 ans",""))))))))</f>
        <v/>
      </c>
      <c r="AD458" s="40"/>
      <c r="AE458" s="43" t="str">
        <f aca="false">IF(OR($B458="",$H458="",AND($I458&lt;&gt;"",$I458&lt;=DateRef)),"",MAX($H458,$AD458,IF($A458="",0,SUMPRODUCT(MAX((Journal!$A$6:$A$1005=$A458)*((Journal!$D$6:$D$1005=TypeEDL)+(Journal!$D$6:$D$1005=TypeBilan6))*Journal!$C$6:$C$1005)))))</f>
        <v/>
      </c>
      <c r="AF458" s="43" t="str">
        <f aca="false">IF($AE458="","",IF(AND(ReglesTransitoires="Oui",EDATE($AE458,AnciennePeriodiciteEDL*12)&lt;DateVigueur),EDATE($AE458,AnciennePeriodiciteEDL*12),EDATE($AE458,PeriodiciteEDL*12)))</f>
        <v/>
      </c>
      <c r="AG458" s="42" t="str">
        <f aca="false">IF($AF458="","",IF(AND($I458&lt;&gt;"",$I458&lt;=DateRef),"",IF($AF458&lt;DateRef,"En retard",IF($AF458-DateRef&lt;=SeuilAlerteEDL,"À prévoir","À jour"))))</f>
        <v/>
      </c>
      <c r="AH458" s="39"/>
      <c r="AI458" s="39"/>
      <c r="AJ458" s="42" t="str">
        <f aca="false">IF(OR($B458="",$H458=""),"",IF(AND($I458&lt;&gt;"",$I458&lt;=DateRef),"",IF(Effectif&lt;SeuilEffectif,"Non concerné (&lt; "&amp;SeuilEffectif&amp;" salariés)",IF($AH458="Oui","Pas de risque",IF(AND(OR($AI458="Non",$S458="En retard"),$AH458="Non"),"Risque abondement",IF(OR($AI458="Non",$S458="En retard"),"À vérifier (formation ?)",IF($AI458="Oui","Pas de risque","À compléter")))))))</f>
        <v/>
      </c>
      <c r="AK458" s="39"/>
    </row>
    <row r="459" customFormat="false" ht="15" hidden="false" customHeight="false" outlineLevel="0" collapsed="false">
      <c r="A459" s="39"/>
      <c r="B459" s="39"/>
      <c r="C459" s="39"/>
      <c r="D459" s="39"/>
      <c r="E459" s="39"/>
      <c r="F459" s="39"/>
      <c r="G459" s="40"/>
      <c r="H459" s="40"/>
      <c r="I459" s="40"/>
      <c r="J459" s="41" t="str">
        <f aca="false">IF(OR($B459="",$H459=""),"",IF($H459&gt;DateRef,0,YEARFRAC($H459,DateRef,1)))</f>
        <v/>
      </c>
      <c r="K459" s="42" t="str">
        <f aca="false">IF(OR($B459="",$H459=""),"",IF(EDATE($H459,12)&lt;=DateRef,"Plus d'un an","Moins d'un an"))</f>
        <v/>
      </c>
      <c r="L459" s="40"/>
      <c r="M459" s="43" t="str">
        <f aca="false">IF(OR($B459="",$A459=""),"",IF(SUMPRODUCT(MAX((Journal!$A$6:$A$1005=$A459)*Journal!$C$6:$C$1005))=0,"",SUMPRODUCT(MAX((Journal!$A$6:$A$1005=$A459)*Journal!$C$6:$C$1005))))</f>
        <v/>
      </c>
      <c r="N459" s="43" t="str">
        <f aca="false">IF($B459="","",IF(MAX($L459,$M459)=0,"",MAX($L459,$M459)))</f>
        <v/>
      </c>
      <c r="O459" s="44" t="str">
        <f aca="false">IF(OR($B459="",$H459=""),"",IF($N459="",IF(EDATE($H459,DelaiPremierEPP)&gt;DateRef,"1er EPP (1re année)","Aucun entretien renseigné"),IF(AND(ReglesTransitoires="Oui",EDATE($N459,AnciennePeriodiciteEP*12)&lt;DateVigueur),"Retard antérieur à la réforme","Périodicité "&amp;PeriodiciteEPP&amp;" ans")))</f>
        <v/>
      </c>
      <c r="P459" s="43" t="str">
        <f aca="false">IF(OR($B459="",$H459=""),"",IF($N459="",EDATE($H459,DelaiPremierEPP),IF(AND(ReglesTransitoires="Oui",EDATE($N459,AnciennePeriodiciteEP*12)&lt;DateVigueur),EDATE($N459,AnciennePeriodiciteEP*12),EDATE($N459,PeriodiciteEPP*12))))</f>
        <v/>
      </c>
      <c r="Q459" s="40"/>
      <c r="R459" s="45" t="str">
        <f aca="false">IF(OR($P459="",AND($I459&lt;&gt;"",$I459&lt;=DateRef)),"",$P459-DateRef)</f>
        <v/>
      </c>
      <c r="S459" s="42" t="str">
        <f aca="false">IF($B459="","",IF(AND($I459&lt;&gt;"",$I459&lt;=DateRef),"Sorti",IF($H459="","À compléter",IF(AND($Q459&lt;&gt;"",$Q459&gt;=DateRef,$Q459&lt;=$P459),"Planifié",IF($R459&lt;0,"En retard",IF($R459&lt;=SeuilAlerteEPP,"À planifier","À jour"))))))</f>
        <v/>
      </c>
      <c r="T459" s="46" t="str">
        <f aca="false">IF(OR($B459="",$S459="Sorti"),"",MID(IF($H459=""," | Date d'embauche manquante","")&amp;IF(AND($K459="Plus d'un an",$N459="")," | Précédent entretien à renseigner (ancienneté &gt; 1 an)","")&amp;IF($O459="Retard antérieur à la réforme"," | Ancien délai de 2 ans expiré avant la réforme","")&amp;IF(AND($N459&lt;&gt;"",$H459&lt;&gt;"",$N459&lt;$H459)," | Entretien antérieur à l'embauche ?","")&amp;IF(AND($N459&lt;&gt;"",$N459&gt;DateRef)," | Entretien daté dans le futur ?","")&amp;IF(AND($Q459&lt;&gt;"",$P459&lt;&gt;"",$Q459&gt;$P459)," | Date prévue après l'échéance","")&amp;IF(AND($Q459&lt;&gt;"",$Q459&lt;DateRef,OR($N459="",$N459&lt;$Q459))," | Entretien prévu passé : le consigner au Journal","")&amp;IF(AND($G459&lt;&gt;"",$X459="",YEAR(DateRef)-YEAR($G459)&gt;=AgeMiCarriere-1,YEAR(DateRef)-YEAR($G459)&lt;=AgeMiCarriere+1)," | Visite de mi-carrière à vérifier",""),4,1000))</f>
        <v/>
      </c>
      <c r="U459" s="39"/>
      <c r="V459" s="40"/>
      <c r="W459" s="42" t="str">
        <f aca="false">IF(OR($B459="",$V459=""),"",IF(AND($I459&lt;&gt;"",$I459&lt;=DateRef),"",IF(AND($N459&lt;&gt;"",$N459&gt;=$V459),"Réalisé",IF(AND($N459&lt;&gt;"",$N459&gt;=EDATE($V459,-FenetreRetour)),"Dispensé (EPP récent)",IF($V459&gt;DateRef,"À prévoir à la reprise","À proposer (reprise passée)")))))</f>
        <v/>
      </c>
      <c r="X459" s="40"/>
      <c r="Y459" s="43" t="str">
        <f aca="false">IF(OR($B459="",$X459=""),"",EDATE($X459,DelaiMiCarriere))</f>
        <v/>
      </c>
      <c r="Z459" s="42" t="str">
        <f aca="false">IF(OR($B459="",$X459=""),"",IF(AND($I459&lt;&gt;"",$I459&lt;=DateRef),"",IF(AND($N459&lt;&gt;"",$N459&gt;=$X459),"Réalisé",IF($Y459&lt;DateRef,"En retard","À planifier"))))</f>
        <v/>
      </c>
      <c r="AA459" s="47" t="str">
        <f aca="false">IF(OR($B459="",$G459=""),"",IF($G459&gt;DateRef,"",DATEDIF($G459,DateRef,"y")))</f>
        <v/>
      </c>
      <c r="AB459" s="43" t="str">
        <f aca="false">IF(OR($B459="",$G459=""),"",EDATE($G459,AgeFinCarriere*12))</f>
        <v/>
      </c>
      <c r="AC459" s="42" t="str">
        <f aca="false">IF(OR($B459="",$G459="",$H459=""),"",IF(AND($I459&lt;&gt;"",$I459&lt;=DateRef),"",IF($AB459&lt;DateVigueur,"Non concerné",IF(AND($N459&lt;&gt;"",$N459&gt;=MAX(EDATE($AB459,-FenetreFinCarriere*12),DateVigueur),$N459&lt;=$AB459),"Réalisé",IF(DateRef&gt;$AB459,"Non réalisé",IF(AND($Q459&lt;&gt;"",$Q459&gt;=EDATE($AB459,-FenetreFinCarriere*12),$Q459&lt;=$AB459),"Planifié dans la fenêtre",IF(AND(MAX($P459,DateRef)&gt;=EDATE($AB459,-FenetreFinCarriere*12),MAX($P459,DateRef)&lt;=$AB459),"Prochain EPP dans la fenêtre",IF(MAX($P459,DateRef)&gt;$AB459,"À programmer avant 60 ans",""))))))))</f>
        <v/>
      </c>
      <c r="AD459" s="40"/>
      <c r="AE459" s="43" t="str">
        <f aca="false">IF(OR($B459="",$H459="",AND($I459&lt;&gt;"",$I459&lt;=DateRef)),"",MAX($H459,$AD459,IF($A459="",0,SUMPRODUCT(MAX((Journal!$A$6:$A$1005=$A459)*((Journal!$D$6:$D$1005=TypeEDL)+(Journal!$D$6:$D$1005=TypeBilan6))*Journal!$C$6:$C$1005)))))</f>
        <v/>
      </c>
      <c r="AF459" s="43" t="str">
        <f aca="false">IF($AE459="","",IF(AND(ReglesTransitoires="Oui",EDATE($AE459,AnciennePeriodiciteEDL*12)&lt;DateVigueur),EDATE($AE459,AnciennePeriodiciteEDL*12),EDATE($AE459,PeriodiciteEDL*12)))</f>
        <v/>
      </c>
      <c r="AG459" s="42" t="str">
        <f aca="false">IF($AF459="","",IF(AND($I459&lt;&gt;"",$I459&lt;=DateRef),"",IF($AF459&lt;DateRef,"En retard",IF($AF459-DateRef&lt;=SeuilAlerteEDL,"À prévoir","À jour"))))</f>
        <v/>
      </c>
      <c r="AH459" s="39"/>
      <c r="AI459" s="39"/>
      <c r="AJ459" s="42" t="str">
        <f aca="false">IF(OR($B459="",$H459=""),"",IF(AND($I459&lt;&gt;"",$I459&lt;=DateRef),"",IF(Effectif&lt;SeuilEffectif,"Non concerné (&lt; "&amp;SeuilEffectif&amp;" salariés)",IF($AH459="Oui","Pas de risque",IF(AND(OR($AI459="Non",$S459="En retard"),$AH459="Non"),"Risque abondement",IF(OR($AI459="Non",$S459="En retard"),"À vérifier (formation ?)",IF($AI459="Oui","Pas de risque","À compléter")))))))</f>
        <v/>
      </c>
      <c r="AK459" s="39"/>
    </row>
    <row r="460" customFormat="false" ht="15" hidden="false" customHeight="false" outlineLevel="0" collapsed="false">
      <c r="A460" s="39"/>
      <c r="B460" s="39"/>
      <c r="C460" s="39"/>
      <c r="D460" s="39"/>
      <c r="E460" s="39"/>
      <c r="F460" s="39"/>
      <c r="G460" s="40"/>
      <c r="H460" s="40"/>
      <c r="I460" s="40"/>
      <c r="J460" s="41" t="str">
        <f aca="false">IF(OR($B460="",$H460=""),"",IF($H460&gt;DateRef,0,YEARFRAC($H460,DateRef,1)))</f>
        <v/>
      </c>
      <c r="K460" s="42" t="str">
        <f aca="false">IF(OR($B460="",$H460=""),"",IF(EDATE($H460,12)&lt;=DateRef,"Plus d'un an","Moins d'un an"))</f>
        <v/>
      </c>
      <c r="L460" s="40"/>
      <c r="M460" s="43" t="str">
        <f aca="false">IF(OR($B460="",$A460=""),"",IF(SUMPRODUCT(MAX((Journal!$A$6:$A$1005=$A460)*Journal!$C$6:$C$1005))=0,"",SUMPRODUCT(MAX((Journal!$A$6:$A$1005=$A460)*Journal!$C$6:$C$1005))))</f>
        <v/>
      </c>
      <c r="N460" s="43" t="str">
        <f aca="false">IF($B460="","",IF(MAX($L460,$M460)=0,"",MAX($L460,$M460)))</f>
        <v/>
      </c>
      <c r="O460" s="44" t="str">
        <f aca="false">IF(OR($B460="",$H460=""),"",IF($N460="",IF(EDATE($H460,DelaiPremierEPP)&gt;DateRef,"1er EPP (1re année)","Aucun entretien renseigné"),IF(AND(ReglesTransitoires="Oui",EDATE($N460,AnciennePeriodiciteEP*12)&lt;DateVigueur),"Retard antérieur à la réforme","Périodicité "&amp;PeriodiciteEPP&amp;" ans")))</f>
        <v/>
      </c>
      <c r="P460" s="43" t="str">
        <f aca="false">IF(OR($B460="",$H460=""),"",IF($N460="",EDATE($H460,DelaiPremierEPP),IF(AND(ReglesTransitoires="Oui",EDATE($N460,AnciennePeriodiciteEP*12)&lt;DateVigueur),EDATE($N460,AnciennePeriodiciteEP*12),EDATE($N460,PeriodiciteEPP*12))))</f>
        <v/>
      </c>
      <c r="Q460" s="40"/>
      <c r="R460" s="45" t="str">
        <f aca="false">IF(OR($P460="",AND($I460&lt;&gt;"",$I460&lt;=DateRef)),"",$P460-DateRef)</f>
        <v/>
      </c>
      <c r="S460" s="42" t="str">
        <f aca="false">IF($B460="","",IF(AND($I460&lt;&gt;"",$I460&lt;=DateRef),"Sorti",IF($H460="","À compléter",IF(AND($Q460&lt;&gt;"",$Q460&gt;=DateRef,$Q460&lt;=$P460),"Planifié",IF($R460&lt;0,"En retard",IF($R460&lt;=SeuilAlerteEPP,"À planifier","À jour"))))))</f>
        <v/>
      </c>
      <c r="T460" s="46" t="str">
        <f aca="false">IF(OR($B460="",$S460="Sorti"),"",MID(IF($H460=""," | Date d'embauche manquante","")&amp;IF(AND($K460="Plus d'un an",$N460="")," | Précédent entretien à renseigner (ancienneté &gt; 1 an)","")&amp;IF($O460="Retard antérieur à la réforme"," | Ancien délai de 2 ans expiré avant la réforme","")&amp;IF(AND($N460&lt;&gt;"",$H460&lt;&gt;"",$N460&lt;$H460)," | Entretien antérieur à l'embauche ?","")&amp;IF(AND($N460&lt;&gt;"",$N460&gt;DateRef)," | Entretien daté dans le futur ?","")&amp;IF(AND($Q460&lt;&gt;"",$P460&lt;&gt;"",$Q460&gt;$P460)," | Date prévue après l'échéance","")&amp;IF(AND($Q460&lt;&gt;"",$Q460&lt;DateRef,OR($N460="",$N460&lt;$Q460))," | Entretien prévu passé : le consigner au Journal","")&amp;IF(AND($G460&lt;&gt;"",$X460="",YEAR(DateRef)-YEAR($G460)&gt;=AgeMiCarriere-1,YEAR(DateRef)-YEAR($G460)&lt;=AgeMiCarriere+1)," | Visite de mi-carrière à vérifier",""),4,1000))</f>
        <v/>
      </c>
      <c r="U460" s="39"/>
      <c r="V460" s="40"/>
      <c r="W460" s="42" t="str">
        <f aca="false">IF(OR($B460="",$V460=""),"",IF(AND($I460&lt;&gt;"",$I460&lt;=DateRef),"",IF(AND($N460&lt;&gt;"",$N460&gt;=$V460),"Réalisé",IF(AND($N460&lt;&gt;"",$N460&gt;=EDATE($V460,-FenetreRetour)),"Dispensé (EPP récent)",IF($V460&gt;DateRef,"À prévoir à la reprise","À proposer (reprise passée)")))))</f>
        <v/>
      </c>
      <c r="X460" s="40"/>
      <c r="Y460" s="43" t="str">
        <f aca="false">IF(OR($B460="",$X460=""),"",EDATE($X460,DelaiMiCarriere))</f>
        <v/>
      </c>
      <c r="Z460" s="42" t="str">
        <f aca="false">IF(OR($B460="",$X460=""),"",IF(AND($I460&lt;&gt;"",$I460&lt;=DateRef),"",IF(AND($N460&lt;&gt;"",$N460&gt;=$X460),"Réalisé",IF($Y460&lt;DateRef,"En retard","À planifier"))))</f>
        <v/>
      </c>
      <c r="AA460" s="47" t="str">
        <f aca="false">IF(OR($B460="",$G460=""),"",IF($G460&gt;DateRef,"",DATEDIF($G460,DateRef,"y")))</f>
        <v/>
      </c>
      <c r="AB460" s="43" t="str">
        <f aca="false">IF(OR($B460="",$G460=""),"",EDATE($G460,AgeFinCarriere*12))</f>
        <v/>
      </c>
      <c r="AC460" s="42" t="str">
        <f aca="false">IF(OR($B460="",$G460="",$H460=""),"",IF(AND($I460&lt;&gt;"",$I460&lt;=DateRef),"",IF($AB460&lt;DateVigueur,"Non concerné",IF(AND($N460&lt;&gt;"",$N460&gt;=MAX(EDATE($AB460,-FenetreFinCarriere*12),DateVigueur),$N460&lt;=$AB460),"Réalisé",IF(DateRef&gt;$AB460,"Non réalisé",IF(AND($Q460&lt;&gt;"",$Q460&gt;=EDATE($AB460,-FenetreFinCarriere*12),$Q460&lt;=$AB460),"Planifié dans la fenêtre",IF(AND(MAX($P460,DateRef)&gt;=EDATE($AB460,-FenetreFinCarriere*12),MAX($P460,DateRef)&lt;=$AB460),"Prochain EPP dans la fenêtre",IF(MAX($P460,DateRef)&gt;$AB460,"À programmer avant 60 ans",""))))))))</f>
        <v/>
      </c>
      <c r="AD460" s="40"/>
      <c r="AE460" s="43" t="str">
        <f aca="false">IF(OR($B460="",$H460="",AND($I460&lt;&gt;"",$I460&lt;=DateRef)),"",MAX($H460,$AD460,IF($A460="",0,SUMPRODUCT(MAX((Journal!$A$6:$A$1005=$A460)*((Journal!$D$6:$D$1005=TypeEDL)+(Journal!$D$6:$D$1005=TypeBilan6))*Journal!$C$6:$C$1005)))))</f>
        <v/>
      </c>
      <c r="AF460" s="43" t="str">
        <f aca="false">IF($AE460="","",IF(AND(ReglesTransitoires="Oui",EDATE($AE460,AnciennePeriodiciteEDL*12)&lt;DateVigueur),EDATE($AE460,AnciennePeriodiciteEDL*12),EDATE($AE460,PeriodiciteEDL*12)))</f>
        <v/>
      </c>
      <c r="AG460" s="42" t="str">
        <f aca="false">IF($AF460="","",IF(AND($I460&lt;&gt;"",$I460&lt;=DateRef),"",IF($AF460&lt;DateRef,"En retard",IF($AF460-DateRef&lt;=SeuilAlerteEDL,"À prévoir","À jour"))))</f>
        <v/>
      </c>
      <c r="AH460" s="39"/>
      <c r="AI460" s="39"/>
      <c r="AJ460" s="42" t="str">
        <f aca="false">IF(OR($B460="",$H460=""),"",IF(AND($I460&lt;&gt;"",$I460&lt;=DateRef),"",IF(Effectif&lt;SeuilEffectif,"Non concerné (&lt; "&amp;SeuilEffectif&amp;" salariés)",IF($AH460="Oui","Pas de risque",IF(AND(OR($AI460="Non",$S460="En retard"),$AH460="Non"),"Risque abondement",IF(OR($AI460="Non",$S460="En retard"),"À vérifier (formation ?)",IF($AI460="Oui","Pas de risque","À compléter")))))))</f>
        <v/>
      </c>
      <c r="AK460" s="39"/>
    </row>
    <row r="461" customFormat="false" ht="15" hidden="false" customHeight="false" outlineLevel="0" collapsed="false">
      <c r="A461" s="39"/>
      <c r="B461" s="39"/>
      <c r="C461" s="39"/>
      <c r="D461" s="39"/>
      <c r="E461" s="39"/>
      <c r="F461" s="39"/>
      <c r="G461" s="40"/>
      <c r="H461" s="40"/>
      <c r="I461" s="40"/>
      <c r="J461" s="41" t="str">
        <f aca="false">IF(OR($B461="",$H461=""),"",IF($H461&gt;DateRef,0,YEARFRAC($H461,DateRef,1)))</f>
        <v/>
      </c>
      <c r="K461" s="42" t="str">
        <f aca="false">IF(OR($B461="",$H461=""),"",IF(EDATE($H461,12)&lt;=DateRef,"Plus d'un an","Moins d'un an"))</f>
        <v/>
      </c>
      <c r="L461" s="40"/>
      <c r="M461" s="43" t="str">
        <f aca="false">IF(OR($B461="",$A461=""),"",IF(SUMPRODUCT(MAX((Journal!$A$6:$A$1005=$A461)*Journal!$C$6:$C$1005))=0,"",SUMPRODUCT(MAX((Journal!$A$6:$A$1005=$A461)*Journal!$C$6:$C$1005))))</f>
        <v/>
      </c>
      <c r="N461" s="43" t="str">
        <f aca="false">IF($B461="","",IF(MAX($L461,$M461)=0,"",MAX($L461,$M461)))</f>
        <v/>
      </c>
      <c r="O461" s="44" t="str">
        <f aca="false">IF(OR($B461="",$H461=""),"",IF($N461="",IF(EDATE($H461,DelaiPremierEPP)&gt;DateRef,"1er EPP (1re année)","Aucun entretien renseigné"),IF(AND(ReglesTransitoires="Oui",EDATE($N461,AnciennePeriodiciteEP*12)&lt;DateVigueur),"Retard antérieur à la réforme","Périodicité "&amp;PeriodiciteEPP&amp;" ans")))</f>
        <v/>
      </c>
      <c r="P461" s="43" t="str">
        <f aca="false">IF(OR($B461="",$H461=""),"",IF($N461="",EDATE($H461,DelaiPremierEPP),IF(AND(ReglesTransitoires="Oui",EDATE($N461,AnciennePeriodiciteEP*12)&lt;DateVigueur),EDATE($N461,AnciennePeriodiciteEP*12),EDATE($N461,PeriodiciteEPP*12))))</f>
        <v/>
      </c>
      <c r="Q461" s="40"/>
      <c r="R461" s="45" t="str">
        <f aca="false">IF(OR($P461="",AND($I461&lt;&gt;"",$I461&lt;=DateRef)),"",$P461-DateRef)</f>
        <v/>
      </c>
      <c r="S461" s="42" t="str">
        <f aca="false">IF($B461="","",IF(AND($I461&lt;&gt;"",$I461&lt;=DateRef),"Sorti",IF($H461="","À compléter",IF(AND($Q461&lt;&gt;"",$Q461&gt;=DateRef,$Q461&lt;=$P461),"Planifié",IF($R461&lt;0,"En retard",IF($R461&lt;=SeuilAlerteEPP,"À planifier","À jour"))))))</f>
        <v/>
      </c>
      <c r="T461" s="46" t="str">
        <f aca="false">IF(OR($B461="",$S461="Sorti"),"",MID(IF($H461=""," | Date d'embauche manquante","")&amp;IF(AND($K461="Plus d'un an",$N461="")," | Précédent entretien à renseigner (ancienneté &gt; 1 an)","")&amp;IF($O461="Retard antérieur à la réforme"," | Ancien délai de 2 ans expiré avant la réforme","")&amp;IF(AND($N461&lt;&gt;"",$H461&lt;&gt;"",$N461&lt;$H461)," | Entretien antérieur à l'embauche ?","")&amp;IF(AND($N461&lt;&gt;"",$N461&gt;DateRef)," | Entretien daté dans le futur ?","")&amp;IF(AND($Q461&lt;&gt;"",$P461&lt;&gt;"",$Q461&gt;$P461)," | Date prévue après l'échéance","")&amp;IF(AND($Q461&lt;&gt;"",$Q461&lt;DateRef,OR($N461="",$N461&lt;$Q461))," | Entretien prévu passé : le consigner au Journal","")&amp;IF(AND($G461&lt;&gt;"",$X461="",YEAR(DateRef)-YEAR($G461)&gt;=AgeMiCarriere-1,YEAR(DateRef)-YEAR($G461)&lt;=AgeMiCarriere+1)," | Visite de mi-carrière à vérifier",""),4,1000))</f>
        <v/>
      </c>
      <c r="U461" s="39"/>
      <c r="V461" s="40"/>
      <c r="W461" s="42" t="str">
        <f aca="false">IF(OR($B461="",$V461=""),"",IF(AND($I461&lt;&gt;"",$I461&lt;=DateRef),"",IF(AND($N461&lt;&gt;"",$N461&gt;=$V461),"Réalisé",IF(AND($N461&lt;&gt;"",$N461&gt;=EDATE($V461,-FenetreRetour)),"Dispensé (EPP récent)",IF($V461&gt;DateRef,"À prévoir à la reprise","À proposer (reprise passée)")))))</f>
        <v/>
      </c>
      <c r="X461" s="40"/>
      <c r="Y461" s="43" t="str">
        <f aca="false">IF(OR($B461="",$X461=""),"",EDATE($X461,DelaiMiCarriere))</f>
        <v/>
      </c>
      <c r="Z461" s="42" t="str">
        <f aca="false">IF(OR($B461="",$X461=""),"",IF(AND($I461&lt;&gt;"",$I461&lt;=DateRef),"",IF(AND($N461&lt;&gt;"",$N461&gt;=$X461),"Réalisé",IF($Y461&lt;DateRef,"En retard","À planifier"))))</f>
        <v/>
      </c>
      <c r="AA461" s="47" t="str">
        <f aca="false">IF(OR($B461="",$G461=""),"",IF($G461&gt;DateRef,"",DATEDIF($G461,DateRef,"y")))</f>
        <v/>
      </c>
      <c r="AB461" s="43" t="str">
        <f aca="false">IF(OR($B461="",$G461=""),"",EDATE($G461,AgeFinCarriere*12))</f>
        <v/>
      </c>
      <c r="AC461" s="42" t="str">
        <f aca="false">IF(OR($B461="",$G461="",$H461=""),"",IF(AND($I461&lt;&gt;"",$I461&lt;=DateRef),"",IF($AB461&lt;DateVigueur,"Non concerné",IF(AND($N461&lt;&gt;"",$N461&gt;=MAX(EDATE($AB461,-FenetreFinCarriere*12),DateVigueur),$N461&lt;=$AB461),"Réalisé",IF(DateRef&gt;$AB461,"Non réalisé",IF(AND($Q461&lt;&gt;"",$Q461&gt;=EDATE($AB461,-FenetreFinCarriere*12),$Q461&lt;=$AB461),"Planifié dans la fenêtre",IF(AND(MAX($P461,DateRef)&gt;=EDATE($AB461,-FenetreFinCarriere*12),MAX($P461,DateRef)&lt;=$AB461),"Prochain EPP dans la fenêtre",IF(MAX($P461,DateRef)&gt;$AB461,"À programmer avant 60 ans",""))))))))</f>
        <v/>
      </c>
      <c r="AD461" s="40"/>
      <c r="AE461" s="43" t="str">
        <f aca="false">IF(OR($B461="",$H461="",AND($I461&lt;&gt;"",$I461&lt;=DateRef)),"",MAX($H461,$AD461,IF($A461="",0,SUMPRODUCT(MAX((Journal!$A$6:$A$1005=$A461)*((Journal!$D$6:$D$1005=TypeEDL)+(Journal!$D$6:$D$1005=TypeBilan6))*Journal!$C$6:$C$1005)))))</f>
        <v/>
      </c>
      <c r="AF461" s="43" t="str">
        <f aca="false">IF($AE461="","",IF(AND(ReglesTransitoires="Oui",EDATE($AE461,AnciennePeriodiciteEDL*12)&lt;DateVigueur),EDATE($AE461,AnciennePeriodiciteEDL*12),EDATE($AE461,PeriodiciteEDL*12)))</f>
        <v/>
      </c>
      <c r="AG461" s="42" t="str">
        <f aca="false">IF($AF461="","",IF(AND($I461&lt;&gt;"",$I461&lt;=DateRef),"",IF($AF461&lt;DateRef,"En retard",IF($AF461-DateRef&lt;=SeuilAlerteEDL,"À prévoir","À jour"))))</f>
        <v/>
      </c>
      <c r="AH461" s="39"/>
      <c r="AI461" s="39"/>
      <c r="AJ461" s="42" t="str">
        <f aca="false">IF(OR($B461="",$H461=""),"",IF(AND($I461&lt;&gt;"",$I461&lt;=DateRef),"",IF(Effectif&lt;SeuilEffectif,"Non concerné (&lt; "&amp;SeuilEffectif&amp;" salariés)",IF($AH461="Oui","Pas de risque",IF(AND(OR($AI461="Non",$S461="En retard"),$AH461="Non"),"Risque abondement",IF(OR($AI461="Non",$S461="En retard"),"À vérifier (formation ?)",IF($AI461="Oui","Pas de risque","À compléter")))))))</f>
        <v/>
      </c>
      <c r="AK461" s="39"/>
    </row>
    <row r="462" customFormat="false" ht="15" hidden="false" customHeight="false" outlineLevel="0" collapsed="false">
      <c r="A462" s="39"/>
      <c r="B462" s="39"/>
      <c r="C462" s="39"/>
      <c r="D462" s="39"/>
      <c r="E462" s="39"/>
      <c r="F462" s="39"/>
      <c r="G462" s="40"/>
      <c r="H462" s="40"/>
      <c r="I462" s="40"/>
      <c r="J462" s="41" t="str">
        <f aca="false">IF(OR($B462="",$H462=""),"",IF($H462&gt;DateRef,0,YEARFRAC($H462,DateRef,1)))</f>
        <v/>
      </c>
      <c r="K462" s="42" t="str">
        <f aca="false">IF(OR($B462="",$H462=""),"",IF(EDATE($H462,12)&lt;=DateRef,"Plus d'un an","Moins d'un an"))</f>
        <v/>
      </c>
      <c r="L462" s="40"/>
      <c r="M462" s="43" t="str">
        <f aca="false">IF(OR($B462="",$A462=""),"",IF(SUMPRODUCT(MAX((Journal!$A$6:$A$1005=$A462)*Journal!$C$6:$C$1005))=0,"",SUMPRODUCT(MAX((Journal!$A$6:$A$1005=$A462)*Journal!$C$6:$C$1005))))</f>
        <v/>
      </c>
      <c r="N462" s="43" t="str">
        <f aca="false">IF($B462="","",IF(MAX($L462,$M462)=0,"",MAX($L462,$M462)))</f>
        <v/>
      </c>
      <c r="O462" s="44" t="str">
        <f aca="false">IF(OR($B462="",$H462=""),"",IF($N462="",IF(EDATE($H462,DelaiPremierEPP)&gt;DateRef,"1er EPP (1re année)","Aucun entretien renseigné"),IF(AND(ReglesTransitoires="Oui",EDATE($N462,AnciennePeriodiciteEP*12)&lt;DateVigueur),"Retard antérieur à la réforme","Périodicité "&amp;PeriodiciteEPP&amp;" ans")))</f>
        <v/>
      </c>
      <c r="P462" s="43" t="str">
        <f aca="false">IF(OR($B462="",$H462=""),"",IF($N462="",EDATE($H462,DelaiPremierEPP),IF(AND(ReglesTransitoires="Oui",EDATE($N462,AnciennePeriodiciteEP*12)&lt;DateVigueur),EDATE($N462,AnciennePeriodiciteEP*12),EDATE($N462,PeriodiciteEPP*12))))</f>
        <v/>
      </c>
      <c r="Q462" s="40"/>
      <c r="R462" s="45" t="str">
        <f aca="false">IF(OR($P462="",AND($I462&lt;&gt;"",$I462&lt;=DateRef)),"",$P462-DateRef)</f>
        <v/>
      </c>
      <c r="S462" s="42" t="str">
        <f aca="false">IF($B462="","",IF(AND($I462&lt;&gt;"",$I462&lt;=DateRef),"Sorti",IF($H462="","À compléter",IF(AND($Q462&lt;&gt;"",$Q462&gt;=DateRef,$Q462&lt;=$P462),"Planifié",IF($R462&lt;0,"En retard",IF($R462&lt;=SeuilAlerteEPP,"À planifier","À jour"))))))</f>
        <v/>
      </c>
      <c r="T462" s="46" t="str">
        <f aca="false">IF(OR($B462="",$S462="Sorti"),"",MID(IF($H462=""," | Date d'embauche manquante","")&amp;IF(AND($K462="Plus d'un an",$N462="")," | Précédent entretien à renseigner (ancienneté &gt; 1 an)","")&amp;IF($O462="Retard antérieur à la réforme"," | Ancien délai de 2 ans expiré avant la réforme","")&amp;IF(AND($N462&lt;&gt;"",$H462&lt;&gt;"",$N462&lt;$H462)," | Entretien antérieur à l'embauche ?","")&amp;IF(AND($N462&lt;&gt;"",$N462&gt;DateRef)," | Entretien daté dans le futur ?","")&amp;IF(AND($Q462&lt;&gt;"",$P462&lt;&gt;"",$Q462&gt;$P462)," | Date prévue après l'échéance","")&amp;IF(AND($Q462&lt;&gt;"",$Q462&lt;DateRef,OR($N462="",$N462&lt;$Q462))," | Entretien prévu passé : le consigner au Journal","")&amp;IF(AND($G462&lt;&gt;"",$X462="",YEAR(DateRef)-YEAR($G462)&gt;=AgeMiCarriere-1,YEAR(DateRef)-YEAR($G462)&lt;=AgeMiCarriere+1)," | Visite de mi-carrière à vérifier",""),4,1000))</f>
        <v/>
      </c>
      <c r="U462" s="39"/>
      <c r="V462" s="40"/>
      <c r="W462" s="42" t="str">
        <f aca="false">IF(OR($B462="",$V462=""),"",IF(AND($I462&lt;&gt;"",$I462&lt;=DateRef),"",IF(AND($N462&lt;&gt;"",$N462&gt;=$V462),"Réalisé",IF(AND($N462&lt;&gt;"",$N462&gt;=EDATE($V462,-FenetreRetour)),"Dispensé (EPP récent)",IF($V462&gt;DateRef,"À prévoir à la reprise","À proposer (reprise passée)")))))</f>
        <v/>
      </c>
      <c r="X462" s="40"/>
      <c r="Y462" s="43" t="str">
        <f aca="false">IF(OR($B462="",$X462=""),"",EDATE($X462,DelaiMiCarriere))</f>
        <v/>
      </c>
      <c r="Z462" s="42" t="str">
        <f aca="false">IF(OR($B462="",$X462=""),"",IF(AND($I462&lt;&gt;"",$I462&lt;=DateRef),"",IF(AND($N462&lt;&gt;"",$N462&gt;=$X462),"Réalisé",IF($Y462&lt;DateRef,"En retard","À planifier"))))</f>
        <v/>
      </c>
      <c r="AA462" s="47" t="str">
        <f aca="false">IF(OR($B462="",$G462=""),"",IF($G462&gt;DateRef,"",DATEDIF($G462,DateRef,"y")))</f>
        <v/>
      </c>
      <c r="AB462" s="43" t="str">
        <f aca="false">IF(OR($B462="",$G462=""),"",EDATE($G462,AgeFinCarriere*12))</f>
        <v/>
      </c>
      <c r="AC462" s="42" t="str">
        <f aca="false">IF(OR($B462="",$G462="",$H462=""),"",IF(AND($I462&lt;&gt;"",$I462&lt;=DateRef),"",IF($AB462&lt;DateVigueur,"Non concerné",IF(AND($N462&lt;&gt;"",$N462&gt;=MAX(EDATE($AB462,-FenetreFinCarriere*12),DateVigueur),$N462&lt;=$AB462),"Réalisé",IF(DateRef&gt;$AB462,"Non réalisé",IF(AND($Q462&lt;&gt;"",$Q462&gt;=EDATE($AB462,-FenetreFinCarriere*12),$Q462&lt;=$AB462),"Planifié dans la fenêtre",IF(AND(MAX($P462,DateRef)&gt;=EDATE($AB462,-FenetreFinCarriere*12),MAX($P462,DateRef)&lt;=$AB462),"Prochain EPP dans la fenêtre",IF(MAX($P462,DateRef)&gt;$AB462,"À programmer avant 60 ans",""))))))))</f>
        <v/>
      </c>
      <c r="AD462" s="40"/>
      <c r="AE462" s="43" t="str">
        <f aca="false">IF(OR($B462="",$H462="",AND($I462&lt;&gt;"",$I462&lt;=DateRef)),"",MAX($H462,$AD462,IF($A462="",0,SUMPRODUCT(MAX((Journal!$A$6:$A$1005=$A462)*((Journal!$D$6:$D$1005=TypeEDL)+(Journal!$D$6:$D$1005=TypeBilan6))*Journal!$C$6:$C$1005)))))</f>
        <v/>
      </c>
      <c r="AF462" s="43" t="str">
        <f aca="false">IF($AE462="","",IF(AND(ReglesTransitoires="Oui",EDATE($AE462,AnciennePeriodiciteEDL*12)&lt;DateVigueur),EDATE($AE462,AnciennePeriodiciteEDL*12),EDATE($AE462,PeriodiciteEDL*12)))</f>
        <v/>
      </c>
      <c r="AG462" s="42" t="str">
        <f aca="false">IF($AF462="","",IF(AND($I462&lt;&gt;"",$I462&lt;=DateRef),"",IF($AF462&lt;DateRef,"En retard",IF($AF462-DateRef&lt;=SeuilAlerteEDL,"À prévoir","À jour"))))</f>
        <v/>
      </c>
      <c r="AH462" s="39"/>
      <c r="AI462" s="39"/>
      <c r="AJ462" s="42" t="str">
        <f aca="false">IF(OR($B462="",$H462=""),"",IF(AND($I462&lt;&gt;"",$I462&lt;=DateRef),"",IF(Effectif&lt;SeuilEffectif,"Non concerné (&lt; "&amp;SeuilEffectif&amp;" salariés)",IF($AH462="Oui","Pas de risque",IF(AND(OR($AI462="Non",$S462="En retard"),$AH462="Non"),"Risque abondement",IF(OR($AI462="Non",$S462="En retard"),"À vérifier (formation ?)",IF($AI462="Oui","Pas de risque","À compléter")))))))</f>
        <v/>
      </c>
      <c r="AK462" s="39"/>
    </row>
    <row r="463" customFormat="false" ht="15" hidden="false" customHeight="false" outlineLevel="0" collapsed="false">
      <c r="A463" s="39"/>
      <c r="B463" s="39"/>
      <c r="C463" s="39"/>
      <c r="D463" s="39"/>
      <c r="E463" s="39"/>
      <c r="F463" s="39"/>
      <c r="G463" s="40"/>
      <c r="H463" s="40"/>
      <c r="I463" s="40"/>
      <c r="J463" s="41" t="str">
        <f aca="false">IF(OR($B463="",$H463=""),"",IF($H463&gt;DateRef,0,YEARFRAC($H463,DateRef,1)))</f>
        <v/>
      </c>
      <c r="K463" s="42" t="str">
        <f aca="false">IF(OR($B463="",$H463=""),"",IF(EDATE($H463,12)&lt;=DateRef,"Plus d'un an","Moins d'un an"))</f>
        <v/>
      </c>
      <c r="L463" s="40"/>
      <c r="M463" s="43" t="str">
        <f aca="false">IF(OR($B463="",$A463=""),"",IF(SUMPRODUCT(MAX((Journal!$A$6:$A$1005=$A463)*Journal!$C$6:$C$1005))=0,"",SUMPRODUCT(MAX((Journal!$A$6:$A$1005=$A463)*Journal!$C$6:$C$1005))))</f>
        <v/>
      </c>
      <c r="N463" s="43" t="str">
        <f aca="false">IF($B463="","",IF(MAX($L463,$M463)=0,"",MAX($L463,$M463)))</f>
        <v/>
      </c>
      <c r="O463" s="44" t="str">
        <f aca="false">IF(OR($B463="",$H463=""),"",IF($N463="",IF(EDATE($H463,DelaiPremierEPP)&gt;DateRef,"1er EPP (1re année)","Aucun entretien renseigné"),IF(AND(ReglesTransitoires="Oui",EDATE($N463,AnciennePeriodiciteEP*12)&lt;DateVigueur),"Retard antérieur à la réforme","Périodicité "&amp;PeriodiciteEPP&amp;" ans")))</f>
        <v/>
      </c>
      <c r="P463" s="43" t="str">
        <f aca="false">IF(OR($B463="",$H463=""),"",IF($N463="",EDATE($H463,DelaiPremierEPP),IF(AND(ReglesTransitoires="Oui",EDATE($N463,AnciennePeriodiciteEP*12)&lt;DateVigueur),EDATE($N463,AnciennePeriodiciteEP*12),EDATE($N463,PeriodiciteEPP*12))))</f>
        <v/>
      </c>
      <c r="Q463" s="40"/>
      <c r="R463" s="45" t="str">
        <f aca="false">IF(OR($P463="",AND($I463&lt;&gt;"",$I463&lt;=DateRef)),"",$P463-DateRef)</f>
        <v/>
      </c>
      <c r="S463" s="42" t="str">
        <f aca="false">IF($B463="","",IF(AND($I463&lt;&gt;"",$I463&lt;=DateRef),"Sorti",IF($H463="","À compléter",IF(AND($Q463&lt;&gt;"",$Q463&gt;=DateRef,$Q463&lt;=$P463),"Planifié",IF($R463&lt;0,"En retard",IF($R463&lt;=SeuilAlerteEPP,"À planifier","À jour"))))))</f>
        <v/>
      </c>
      <c r="T463" s="46" t="str">
        <f aca="false">IF(OR($B463="",$S463="Sorti"),"",MID(IF($H463=""," | Date d'embauche manquante","")&amp;IF(AND($K463="Plus d'un an",$N463="")," | Précédent entretien à renseigner (ancienneté &gt; 1 an)","")&amp;IF($O463="Retard antérieur à la réforme"," | Ancien délai de 2 ans expiré avant la réforme","")&amp;IF(AND($N463&lt;&gt;"",$H463&lt;&gt;"",$N463&lt;$H463)," | Entretien antérieur à l'embauche ?","")&amp;IF(AND($N463&lt;&gt;"",$N463&gt;DateRef)," | Entretien daté dans le futur ?","")&amp;IF(AND($Q463&lt;&gt;"",$P463&lt;&gt;"",$Q463&gt;$P463)," | Date prévue après l'échéance","")&amp;IF(AND($Q463&lt;&gt;"",$Q463&lt;DateRef,OR($N463="",$N463&lt;$Q463))," | Entretien prévu passé : le consigner au Journal","")&amp;IF(AND($G463&lt;&gt;"",$X463="",YEAR(DateRef)-YEAR($G463)&gt;=AgeMiCarriere-1,YEAR(DateRef)-YEAR($G463)&lt;=AgeMiCarriere+1)," | Visite de mi-carrière à vérifier",""),4,1000))</f>
        <v/>
      </c>
      <c r="U463" s="39"/>
      <c r="V463" s="40"/>
      <c r="W463" s="42" t="str">
        <f aca="false">IF(OR($B463="",$V463=""),"",IF(AND($I463&lt;&gt;"",$I463&lt;=DateRef),"",IF(AND($N463&lt;&gt;"",$N463&gt;=$V463),"Réalisé",IF(AND($N463&lt;&gt;"",$N463&gt;=EDATE($V463,-FenetreRetour)),"Dispensé (EPP récent)",IF($V463&gt;DateRef,"À prévoir à la reprise","À proposer (reprise passée)")))))</f>
        <v/>
      </c>
      <c r="X463" s="40"/>
      <c r="Y463" s="43" t="str">
        <f aca="false">IF(OR($B463="",$X463=""),"",EDATE($X463,DelaiMiCarriere))</f>
        <v/>
      </c>
      <c r="Z463" s="42" t="str">
        <f aca="false">IF(OR($B463="",$X463=""),"",IF(AND($I463&lt;&gt;"",$I463&lt;=DateRef),"",IF(AND($N463&lt;&gt;"",$N463&gt;=$X463),"Réalisé",IF($Y463&lt;DateRef,"En retard","À planifier"))))</f>
        <v/>
      </c>
      <c r="AA463" s="47" t="str">
        <f aca="false">IF(OR($B463="",$G463=""),"",IF($G463&gt;DateRef,"",DATEDIF($G463,DateRef,"y")))</f>
        <v/>
      </c>
      <c r="AB463" s="43" t="str">
        <f aca="false">IF(OR($B463="",$G463=""),"",EDATE($G463,AgeFinCarriere*12))</f>
        <v/>
      </c>
      <c r="AC463" s="42" t="str">
        <f aca="false">IF(OR($B463="",$G463="",$H463=""),"",IF(AND($I463&lt;&gt;"",$I463&lt;=DateRef),"",IF($AB463&lt;DateVigueur,"Non concerné",IF(AND($N463&lt;&gt;"",$N463&gt;=MAX(EDATE($AB463,-FenetreFinCarriere*12),DateVigueur),$N463&lt;=$AB463),"Réalisé",IF(DateRef&gt;$AB463,"Non réalisé",IF(AND($Q463&lt;&gt;"",$Q463&gt;=EDATE($AB463,-FenetreFinCarriere*12),$Q463&lt;=$AB463),"Planifié dans la fenêtre",IF(AND(MAX($P463,DateRef)&gt;=EDATE($AB463,-FenetreFinCarriere*12),MAX($P463,DateRef)&lt;=$AB463),"Prochain EPP dans la fenêtre",IF(MAX($P463,DateRef)&gt;$AB463,"À programmer avant 60 ans",""))))))))</f>
        <v/>
      </c>
      <c r="AD463" s="40"/>
      <c r="AE463" s="43" t="str">
        <f aca="false">IF(OR($B463="",$H463="",AND($I463&lt;&gt;"",$I463&lt;=DateRef)),"",MAX($H463,$AD463,IF($A463="",0,SUMPRODUCT(MAX((Journal!$A$6:$A$1005=$A463)*((Journal!$D$6:$D$1005=TypeEDL)+(Journal!$D$6:$D$1005=TypeBilan6))*Journal!$C$6:$C$1005)))))</f>
        <v/>
      </c>
      <c r="AF463" s="43" t="str">
        <f aca="false">IF($AE463="","",IF(AND(ReglesTransitoires="Oui",EDATE($AE463,AnciennePeriodiciteEDL*12)&lt;DateVigueur),EDATE($AE463,AnciennePeriodiciteEDL*12),EDATE($AE463,PeriodiciteEDL*12)))</f>
        <v/>
      </c>
      <c r="AG463" s="42" t="str">
        <f aca="false">IF($AF463="","",IF(AND($I463&lt;&gt;"",$I463&lt;=DateRef),"",IF($AF463&lt;DateRef,"En retard",IF($AF463-DateRef&lt;=SeuilAlerteEDL,"À prévoir","À jour"))))</f>
        <v/>
      </c>
      <c r="AH463" s="39"/>
      <c r="AI463" s="39"/>
      <c r="AJ463" s="42" t="str">
        <f aca="false">IF(OR($B463="",$H463=""),"",IF(AND($I463&lt;&gt;"",$I463&lt;=DateRef),"",IF(Effectif&lt;SeuilEffectif,"Non concerné (&lt; "&amp;SeuilEffectif&amp;" salariés)",IF($AH463="Oui","Pas de risque",IF(AND(OR($AI463="Non",$S463="En retard"),$AH463="Non"),"Risque abondement",IF(OR($AI463="Non",$S463="En retard"),"À vérifier (formation ?)",IF($AI463="Oui","Pas de risque","À compléter")))))))</f>
        <v/>
      </c>
      <c r="AK463" s="39"/>
    </row>
    <row r="464" customFormat="false" ht="15" hidden="false" customHeight="false" outlineLevel="0" collapsed="false">
      <c r="A464" s="39"/>
      <c r="B464" s="39"/>
      <c r="C464" s="39"/>
      <c r="D464" s="39"/>
      <c r="E464" s="39"/>
      <c r="F464" s="39"/>
      <c r="G464" s="40"/>
      <c r="H464" s="40"/>
      <c r="I464" s="40"/>
      <c r="J464" s="41" t="str">
        <f aca="false">IF(OR($B464="",$H464=""),"",IF($H464&gt;DateRef,0,YEARFRAC($H464,DateRef,1)))</f>
        <v/>
      </c>
      <c r="K464" s="42" t="str">
        <f aca="false">IF(OR($B464="",$H464=""),"",IF(EDATE($H464,12)&lt;=DateRef,"Plus d'un an","Moins d'un an"))</f>
        <v/>
      </c>
      <c r="L464" s="40"/>
      <c r="M464" s="43" t="str">
        <f aca="false">IF(OR($B464="",$A464=""),"",IF(SUMPRODUCT(MAX((Journal!$A$6:$A$1005=$A464)*Journal!$C$6:$C$1005))=0,"",SUMPRODUCT(MAX((Journal!$A$6:$A$1005=$A464)*Journal!$C$6:$C$1005))))</f>
        <v/>
      </c>
      <c r="N464" s="43" t="str">
        <f aca="false">IF($B464="","",IF(MAX($L464,$M464)=0,"",MAX($L464,$M464)))</f>
        <v/>
      </c>
      <c r="O464" s="44" t="str">
        <f aca="false">IF(OR($B464="",$H464=""),"",IF($N464="",IF(EDATE($H464,DelaiPremierEPP)&gt;DateRef,"1er EPP (1re année)","Aucun entretien renseigné"),IF(AND(ReglesTransitoires="Oui",EDATE($N464,AnciennePeriodiciteEP*12)&lt;DateVigueur),"Retard antérieur à la réforme","Périodicité "&amp;PeriodiciteEPP&amp;" ans")))</f>
        <v/>
      </c>
      <c r="P464" s="43" t="str">
        <f aca="false">IF(OR($B464="",$H464=""),"",IF($N464="",EDATE($H464,DelaiPremierEPP),IF(AND(ReglesTransitoires="Oui",EDATE($N464,AnciennePeriodiciteEP*12)&lt;DateVigueur),EDATE($N464,AnciennePeriodiciteEP*12),EDATE($N464,PeriodiciteEPP*12))))</f>
        <v/>
      </c>
      <c r="Q464" s="40"/>
      <c r="R464" s="45" t="str">
        <f aca="false">IF(OR($P464="",AND($I464&lt;&gt;"",$I464&lt;=DateRef)),"",$P464-DateRef)</f>
        <v/>
      </c>
      <c r="S464" s="42" t="str">
        <f aca="false">IF($B464="","",IF(AND($I464&lt;&gt;"",$I464&lt;=DateRef),"Sorti",IF($H464="","À compléter",IF(AND($Q464&lt;&gt;"",$Q464&gt;=DateRef,$Q464&lt;=$P464),"Planifié",IF($R464&lt;0,"En retard",IF($R464&lt;=SeuilAlerteEPP,"À planifier","À jour"))))))</f>
        <v/>
      </c>
      <c r="T464" s="46" t="str">
        <f aca="false">IF(OR($B464="",$S464="Sorti"),"",MID(IF($H464=""," | Date d'embauche manquante","")&amp;IF(AND($K464="Plus d'un an",$N464="")," | Précédent entretien à renseigner (ancienneté &gt; 1 an)","")&amp;IF($O464="Retard antérieur à la réforme"," | Ancien délai de 2 ans expiré avant la réforme","")&amp;IF(AND($N464&lt;&gt;"",$H464&lt;&gt;"",$N464&lt;$H464)," | Entretien antérieur à l'embauche ?","")&amp;IF(AND($N464&lt;&gt;"",$N464&gt;DateRef)," | Entretien daté dans le futur ?","")&amp;IF(AND($Q464&lt;&gt;"",$P464&lt;&gt;"",$Q464&gt;$P464)," | Date prévue après l'échéance","")&amp;IF(AND($Q464&lt;&gt;"",$Q464&lt;DateRef,OR($N464="",$N464&lt;$Q464))," | Entretien prévu passé : le consigner au Journal","")&amp;IF(AND($G464&lt;&gt;"",$X464="",YEAR(DateRef)-YEAR($G464)&gt;=AgeMiCarriere-1,YEAR(DateRef)-YEAR($G464)&lt;=AgeMiCarriere+1)," | Visite de mi-carrière à vérifier",""),4,1000))</f>
        <v/>
      </c>
      <c r="U464" s="39"/>
      <c r="V464" s="40"/>
      <c r="W464" s="42" t="str">
        <f aca="false">IF(OR($B464="",$V464=""),"",IF(AND($I464&lt;&gt;"",$I464&lt;=DateRef),"",IF(AND($N464&lt;&gt;"",$N464&gt;=$V464),"Réalisé",IF(AND($N464&lt;&gt;"",$N464&gt;=EDATE($V464,-FenetreRetour)),"Dispensé (EPP récent)",IF($V464&gt;DateRef,"À prévoir à la reprise","À proposer (reprise passée)")))))</f>
        <v/>
      </c>
      <c r="X464" s="40"/>
      <c r="Y464" s="43" t="str">
        <f aca="false">IF(OR($B464="",$X464=""),"",EDATE($X464,DelaiMiCarriere))</f>
        <v/>
      </c>
      <c r="Z464" s="42" t="str">
        <f aca="false">IF(OR($B464="",$X464=""),"",IF(AND($I464&lt;&gt;"",$I464&lt;=DateRef),"",IF(AND($N464&lt;&gt;"",$N464&gt;=$X464),"Réalisé",IF($Y464&lt;DateRef,"En retard","À planifier"))))</f>
        <v/>
      </c>
      <c r="AA464" s="47" t="str">
        <f aca="false">IF(OR($B464="",$G464=""),"",IF($G464&gt;DateRef,"",DATEDIF($G464,DateRef,"y")))</f>
        <v/>
      </c>
      <c r="AB464" s="43" t="str">
        <f aca="false">IF(OR($B464="",$G464=""),"",EDATE($G464,AgeFinCarriere*12))</f>
        <v/>
      </c>
      <c r="AC464" s="42" t="str">
        <f aca="false">IF(OR($B464="",$G464="",$H464=""),"",IF(AND($I464&lt;&gt;"",$I464&lt;=DateRef),"",IF($AB464&lt;DateVigueur,"Non concerné",IF(AND($N464&lt;&gt;"",$N464&gt;=MAX(EDATE($AB464,-FenetreFinCarriere*12),DateVigueur),$N464&lt;=$AB464),"Réalisé",IF(DateRef&gt;$AB464,"Non réalisé",IF(AND($Q464&lt;&gt;"",$Q464&gt;=EDATE($AB464,-FenetreFinCarriere*12),$Q464&lt;=$AB464),"Planifié dans la fenêtre",IF(AND(MAX($P464,DateRef)&gt;=EDATE($AB464,-FenetreFinCarriere*12),MAX($P464,DateRef)&lt;=$AB464),"Prochain EPP dans la fenêtre",IF(MAX($P464,DateRef)&gt;$AB464,"À programmer avant 60 ans",""))))))))</f>
        <v/>
      </c>
      <c r="AD464" s="40"/>
      <c r="AE464" s="43" t="str">
        <f aca="false">IF(OR($B464="",$H464="",AND($I464&lt;&gt;"",$I464&lt;=DateRef)),"",MAX($H464,$AD464,IF($A464="",0,SUMPRODUCT(MAX((Journal!$A$6:$A$1005=$A464)*((Journal!$D$6:$D$1005=TypeEDL)+(Journal!$D$6:$D$1005=TypeBilan6))*Journal!$C$6:$C$1005)))))</f>
        <v/>
      </c>
      <c r="AF464" s="43" t="str">
        <f aca="false">IF($AE464="","",IF(AND(ReglesTransitoires="Oui",EDATE($AE464,AnciennePeriodiciteEDL*12)&lt;DateVigueur),EDATE($AE464,AnciennePeriodiciteEDL*12),EDATE($AE464,PeriodiciteEDL*12)))</f>
        <v/>
      </c>
      <c r="AG464" s="42" t="str">
        <f aca="false">IF($AF464="","",IF(AND($I464&lt;&gt;"",$I464&lt;=DateRef),"",IF($AF464&lt;DateRef,"En retard",IF($AF464-DateRef&lt;=SeuilAlerteEDL,"À prévoir","À jour"))))</f>
        <v/>
      </c>
      <c r="AH464" s="39"/>
      <c r="AI464" s="39"/>
      <c r="AJ464" s="42" t="str">
        <f aca="false">IF(OR($B464="",$H464=""),"",IF(AND($I464&lt;&gt;"",$I464&lt;=DateRef),"",IF(Effectif&lt;SeuilEffectif,"Non concerné (&lt; "&amp;SeuilEffectif&amp;" salariés)",IF($AH464="Oui","Pas de risque",IF(AND(OR($AI464="Non",$S464="En retard"),$AH464="Non"),"Risque abondement",IF(OR($AI464="Non",$S464="En retard"),"À vérifier (formation ?)",IF($AI464="Oui","Pas de risque","À compléter")))))))</f>
        <v/>
      </c>
      <c r="AK464" s="39"/>
    </row>
    <row r="465" customFormat="false" ht="15" hidden="false" customHeight="false" outlineLevel="0" collapsed="false">
      <c r="A465" s="39"/>
      <c r="B465" s="39"/>
      <c r="C465" s="39"/>
      <c r="D465" s="39"/>
      <c r="E465" s="39"/>
      <c r="F465" s="39"/>
      <c r="G465" s="40"/>
      <c r="H465" s="40"/>
      <c r="I465" s="40"/>
      <c r="J465" s="41" t="str">
        <f aca="false">IF(OR($B465="",$H465=""),"",IF($H465&gt;DateRef,0,YEARFRAC($H465,DateRef,1)))</f>
        <v/>
      </c>
      <c r="K465" s="42" t="str">
        <f aca="false">IF(OR($B465="",$H465=""),"",IF(EDATE($H465,12)&lt;=DateRef,"Plus d'un an","Moins d'un an"))</f>
        <v/>
      </c>
      <c r="L465" s="40"/>
      <c r="M465" s="43" t="str">
        <f aca="false">IF(OR($B465="",$A465=""),"",IF(SUMPRODUCT(MAX((Journal!$A$6:$A$1005=$A465)*Journal!$C$6:$C$1005))=0,"",SUMPRODUCT(MAX((Journal!$A$6:$A$1005=$A465)*Journal!$C$6:$C$1005))))</f>
        <v/>
      </c>
      <c r="N465" s="43" t="str">
        <f aca="false">IF($B465="","",IF(MAX($L465,$M465)=0,"",MAX($L465,$M465)))</f>
        <v/>
      </c>
      <c r="O465" s="44" t="str">
        <f aca="false">IF(OR($B465="",$H465=""),"",IF($N465="",IF(EDATE($H465,DelaiPremierEPP)&gt;DateRef,"1er EPP (1re année)","Aucun entretien renseigné"),IF(AND(ReglesTransitoires="Oui",EDATE($N465,AnciennePeriodiciteEP*12)&lt;DateVigueur),"Retard antérieur à la réforme","Périodicité "&amp;PeriodiciteEPP&amp;" ans")))</f>
        <v/>
      </c>
      <c r="P465" s="43" t="str">
        <f aca="false">IF(OR($B465="",$H465=""),"",IF($N465="",EDATE($H465,DelaiPremierEPP),IF(AND(ReglesTransitoires="Oui",EDATE($N465,AnciennePeriodiciteEP*12)&lt;DateVigueur),EDATE($N465,AnciennePeriodiciteEP*12),EDATE($N465,PeriodiciteEPP*12))))</f>
        <v/>
      </c>
      <c r="Q465" s="40"/>
      <c r="R465" s="45" t="str">
        <f aca="false">IF(OR($P465="",AND($I465&lt;&gt;"",$I465&lt;=DateRef)),"",$P465-DateRef)</f>
        <v/>
      </c>
      <c r="S465" s="42" t="str">
        <f aca="false">IF($B465="","",IF(AND($I465&lt;&gt;"",$I465&lt;=DateRef),"Sorti",IF($H465="","À compléter",IF(AND($Q465&lt;&gt;"",$Q465&gt;=DateRef,$Q465&lt;=$P465),"Planifié",IF($R465&lt;0,"En retard",IF($R465&lt;=SeuilAlerteEPP,"À planifier","À jour"))))))</f>
        <v/>
      </c>
      <c r="T465" s="46" t="str">
        <f aca="false">IF(OR($B465="",$S465="Sorti"),"",MID(IF($H465=""," | Date d'embauche manquante","")&amp;IF(AND($K465="Plus d'un an",$N465="")," | Précédent entretien à renseigner (ancienneté &gt; 1 an)","")&amp;IF($O465="Retard antérieur à la réforme"," | Ancien délai de 2 ans expiré avant la réforme","")&amp;IF(AND($N465&lt;&gt;"",$H465&lt;&gt;"",$N465&lt;$H465)," | Entretien antérieur à l'embauche ?","")&amp;IF(AND($N465&lt;&gt;"",$N465&gt;DateRef)," | Entretien daté dans le futur ?","")&amp;IF(AND($Q465&lt;&gt;"",$P465&lt;&gt;"",$Q465&gt;$P465)," | Date prévue après l'échéance","")&amp;IF(AND($Q465&lt;&gt;"",$Q465&lt;DateRef,OR($N465="",$N465&lt;$Q465))," | Entretien prévu passé : le consigner au Journal","")&amp;IF(AND($G465&lt;&gt;"",$X465="",YEAR(DateRef)-YEAR($G465)&gt;=AgeMiCarriere-1,YEAR(DateRef)-YEAR($G465)&lt;=AgeMiCarriere+1)," | Visite de mi-carrière à vérifier",""),4,1000))</f>
        <v/>
      </c>
      <c r="U465" s="39"/>
      <c r="V465" s="40"/>
      <c r="W465" s="42" t="str">
        <f aca="false">IF(OR($B465="",$V465=""),"",IF(AND($I465&lt;&gt;"",$I465&lt;=DateRef),"",IF(AND($N465&lt;&gt;"",$N465&gt;=$V465),"Réalisé",IF(AND($N465&lt;&gt;"",$N465&gt;=EDATE($V465,-FenetreRetour)),"Dispensé (EPP récent)",IF($V465&gt;DateRef,"À prévoir à la reprise","À proposer (reprise passée)")))))</f>
        <v/>
      </c>
      <c r="X465" s="40"/>
      <c r="Y465" s="43" t="str">
        <f aca="false">IF(OR($B465="",$X465=""),"",EDATE($X465,DelaiMiCarriere))</f>
        <v/>
      </c>
      <c r="Z465" s="42" t="str">
        <f aca="false">IF(OR($B465="",$X465=""),"",IF(AND($I465&lt;&gt;"",$I465&lt;=DateRef),"",IF(AND($N465&lt;&gt;"",$N465&gt;=$X465),"Réalisé",IF($Y465&lt;DateRef,"En retard","À planifier"))))</f>
        <v/>
      </c>
      <c r="AA465" s="47" t="str">
        <f aca="false">IF(OR($B465="",$G465=""),"",IF($G465&gt;DateRef,"",DATEDIF($G465,DateRef,"y")))</f>
        <v/>
      </c>
      <c r="AB465" s="43" t="str">
        <f aca="false">IF(OR($B465="",$G465=""),"",EDATE($G465,AgeFinCarriere*12))</f>
        <v/>
      </c>
      <c r="AC465" s="42" t="str">
        <f aca="false">IF(OR($B465="",$G465="",$H465=""),"",IF(AND($I465&lt;&gt;"",$I465&lt;=DateRef),"",IF($AB465&lt;DateVigueur,"Non concerné",IF(AND($N465&lt;&gt;"",$N465&gt;=MAX(EDATE($AB465,-FenetreFinCarriere*12),DateVigueur),$N465&lt;=$AB465),"Réalisé",IF(DateRef&gt;$AB465,"Non réalisé",IF(AND($Q465&lt;&gt;"",$Q465&gt;=EDATE($AB465,-FenetreFinCarriere*12),$Q465&lt;=$AB465),"Planifié dans la fenêtre",IF(AND(MAX($P465,DateRef)&gt;=EDATE($AB465,-FenetreFinCarriere*12),MAX($P465,DateRef)&lt;=$AB465),"Prochain EPP dans la fenêtre",IF(MAX($P465,DateRef)&gt;$AB465,"À programmer avant 60 ans",""))))))))</f>
        <v/>
      </c>
      <c r="AD465" s="40"/>
      <c r="AE465" s="43" t="str">
        <f aca="false">IF(OR($B465="",$H465="",AND($I465&lt;&gt;"",$I465&lt;=DateRef)),"",MAX($H465,$AD465,IF($A465="",0,SUMPRODUCT(MAX((Journal!$A$6:$A$1005=$A465)*((Journal!$D$6:$D$1005=TypeEDL)+(Journal!$D$6:$D$1005=TypeBilan6))*Journal!$C$6:$C$1005)))))</f>
        <v/>
      </c>
      <c r="AF465" s="43" t="str">
        <f aca="false">IF($AE465="","",IF(AND(ReglesTransitoires="Oui",EDATE($AE465,AnciennePeriodiciteEDL*12)&lt;DateVigueur),EDATE($AE465,AnciennePeriodiciteEDL*12),EDATE($AE465,PeriodiciteEDL*12)))</f>
        <v/>
      </c>
      <c r="AG465" s="42" t="str">
        <f aca="false">IF($AF465="","",IF(AND($I465&lt;&gt;"",$I465&lt;=DateRef),"",IF($AF465&lt;DateRef,"En retard",IF($AF465-DateRef&lt;=SeuilAlerteEDL,"À prévoir","À jour"))))</f>
        <v/>
      </c>
      <c r="AH465" s="39"/>
      <c r="AI465" s="39"/>
      <c r="AJ465" s="42" t="str">
        <f aca="false">IF(OR($B465="",$H465=""),"",IF(AND($I465&lt;&gt;"",$I465&lt;=DateRef),"",IF(Effectif&lt;SeuilEffectif,"Non concerné (&lt; "&amp;SeuilEffectif&amp;" salariés)",IF($AH465="Oui","Pas de risque",IF(AND(OR($AI465="Non",$S465="En retard"),$AH465="Non"),"Risque abondement",IF(OR($AI465="Non",$S465="En retard"),"À vérifier (formation ?)",IF($AI465="Oui","Pas de risque","À compléter")))))))</f>
        <v/>
      </c>
      <c r="AK465" s="39"/>
    </row>
    <row r="466" customFormat="false" ht="15" hidden="false" customHeight="false" outlineLevel="0" collapsed="false">
      <c r="A466" s="39"/>
      <c r="B466" s="39"/>
      <c r="C466" s="39"/>
      <c r="D466" s="39"/>
      <c r="E466" s="39"/>
      <c r="F466" s="39"/>
      <c r="G466" s="40"/>
      <c r="H466" s="40"/>
      <c r="I466" s="40"/>
      <c r="J466" s="41" t="str">
        <f aca="false">IF(OR($B466="",$H466=""),"",IF($H466&gt;DateRef,0,YEARFRAC($H466,DateRef,1)))</f>
        <v/>
      </c>
      <c r="K466" s="42" t="str">
        <f aca="false">IF(OR($B466="",$H466=""),"",IF(EDATE($H466,12)&lt;=DateRef,"Plus d'un an","Moins d'un an"))</f>
        <v/>
      </c>
      <c r="L466" s="40"/>
      <c r="M466" s="43" t="str">
        <f aca="false">IF(OR($B466="",$A466=""),"",IF(SUMPRODUCT(MAX((Journal!$A$6:$A$1005=$A466)*Journal!$C$6:$C$1005))=0,"",SUMPRODUCT(MAX((Journal!$A$6:$A$1005=$A466)*Journal!$C$6:$C$1005))))</f>
        <v/>
      </c>
      <c r="N466" s="43" t="str">
        <f aca="false">IF($B466="","",IF(MAX($L466,$M466)=0,"",MAX($L466,$M466)))</f>
        <v/>
      </c>
      <c r="O466" s="44" t="str">
        <f aca="false">IF(OR($B466="",$H466=""),"",IF($N466="",IF(EDATE($H466,DelaiPremierEPP)&gt;DateRef,"1er EPP (1re année)","Aucun entretien renseigné"),IF(AND(ReglesTransitoires="Oui",EDATE($N466,AnciennePeriodiciteEP*12)&lt;DateVigueur),"Retard antérieur à la réforme","Périodicité "&amp;PeriodiciteEPP&amp;" ans")))</f>
        <v/>
      </c>
      <c r="P466" s="43" t="str">
        <f aca="false">IF(OR($B466="",$H466=""),"",IF($N466="",EDATE($H466,DelaiPremierEPP),IF(AND(ReglesTransitoires="Oui",EDATE($N466,AnciennePeriodiciteEP*12)&lt;DateVigueur),EDATE($N466,AnciennePeriodiciteEP*12),EDATE($N466,PeriodiciteEPP*12))))</f>
        <v/>
      </c>
      <c r="Q466" s="40"/>
      <c r="R466" s="45" t="str">
        <f aca="false">IF(OR($P466="",AND($I466&lt;&gt;"",$I466&lt;=DateRef)),"",$P466-DateRef)</f>
        <v/>
      </c>
      <c r="S466" s="42" t="str">
        <f aca="false">IF($B466="","",IF(AND($I466&lt;&gt;"",$I466&lt;=DateRef),"Sorti",IF($H466="","À compléter",IF(AND($Q466&lt;&gt;"",$Q466&gt;=DateRef,$Q466&lt;=$P466),"Planifié",IF($R466&lt;0,"En retard",IF($R466&lt;=SeuilAlerteEPP,"À planifier","À jour"))))))</f>
        <v/>
      </c>
      <c r="T466" s="46" t="str">
        <f aca="false">IF(OR($B466="",$S466="Sorti"),"",MID(IF($H466=""," | Date d'embauche manquante","")&amp;IF(AND($K466="Plus d'un an",$N466="")," | Précédent entretien à renseigner (ancienneté &gt; 1 an)","")&amp;IF($O466="Retard antérieur à la réforme"," | Ancien délai de 2 ans expiré avant la réforme","")&amp;IF(AND($N466&lt;&gt;"",$H466&lt;&gt;"",$N466&lt;$H466)," | Entretien antérieur à l'embauche ?","")&amp;IF(AND($N466&lt;&gt;"",$N466&gt;DateRef)," | Entretien daté dans le futur ?","")&amp;IF(AND($Q466&lt;&gt;"",$P466&lt;&gt;"",$Q466&gt;$P466)," | Date prévue après l'échéance","")&amp;IF(AND($Q466&lt;&gt;"",$Q466&lt;DateRef,OR($N466="",$N466&lt;$Q466))," | Entretien prévu passé : le consigner au Journal","")&amp;IF(AND($G466&lt;&gt;"",$X466="",YEAR(DateRef)-YEAR($G466)&gt;=AgeMiCarriere-1,YEAR(DateRef)-YEAR($G466)&lt;=AgeMiCarriere+1)," | Visite de mi-carrière à vérifier",""),4,1000))</f>
        <v/>
      </c>
      <c r="U466" s="39"/>
      <c r="V466" s="40"/>
      <c r="W466" s="42" t="str">
        <f aca="false">IF(OR($B466="",$V466=""),"",IF(AND($I466&lt;&gt;"",$I466&lt;=DateRef),"",IF(AND($N466&lt;&gt;"",$N466&gt;=$V466),"Réalisé",IF(AND($N466&lt;&gt;"",$N466&gt;=EDATE($V466,-FenetreRetour)),"Dispensé (EPP récent)",IF($V466&gt;DateRef,"À prévoir à la reprise","À proposer (reprise passée)")))))</f>
        <v/>
      </c>
      <c r="X466" s="40"/>
      <c r="Y466" s="43" t="str">
        <f aca="false">IF(OR($B466="",$X466=""),"",EDATE($X466,DelaiMiCarriere))</f>
        <v/>
      </c>
      <c r="Z466" s="42" t="str">
        <f aca="false">IF(OR($B466="",$X466=""),"",IF(AND($I466&lt;&gt;"",$I466&lt;=DateRef),"",IF(AND($N466&lt;&gt;"",$N466&gt;=$X466),"Réalisé",IF($Y466&lt;DateRef,"En retard","À planifier"))))</f>
        <v/>
      </c>
      <c r="AA466" s="47" t="str">
        <f aca="false">IF(OR($B466="",$G466=""),"",IF($G466&gt;DateRef,"",DATEDIF($G466,DateRef,"y")))</f>
        <v/>
      </c>
      <c r="AB466" s="43" t="str">
        <f aca="false">IF(OR($B466="",$G466=""),"",EDATE($G466,AgeFinCarriere*12))</f>
        <v/>
      </c>
      <c r="AC466" s="42" t="str">
        <f aca="false">IF(OR($B466="",$G466="",$H466=""),"",IF(AND($I466&lt;&gt;"",$I466&lt;=DateRef),"",IF($AB466&lt;DateVigueur,"Non concerné",IF(AND($N466&lt;&gt;"",$N466&gt;=MAX(EDATE($AB466,-FenetreFinCarriere*12),DateVigueur),$N466&lt;=$AB466),"Réalisé",IF(DateRef&gt;$AB466,"Non réalisé",IF(AND($Q466&lt;&gt;"",$Q466&gt;=EDATE($AB466,-FenetreFinCarriere*12),$Q466&lt;=$AB466),"Planifié dans la fenêtre",IF(AND(MAX($P466,DateRef)&gt;=EDATE($AB466,-FenetreFinCarriere*12),MAX($P466,DateRef)&lt;=$AB466),"Prochain EPP dans la fenêtre",IF(MAX($P466,DateRef)&gt;$AB466,"À programmer avant 60 ans",""))))))))</f>
        <v/>
      </c>
      <c r="AD466" s="40"/>
      <c r="AE466" s="43" t="str">
        <f aca="false">IF(OR($B466="",$H466="",AND($I466&lt;&gt;"",$I466&lt;=DateRef)),"",MAX($H466,$AD466,IF($A466="",0,SUMPRODUCT(MAX((Journal!$A$6:$A$1005=$A466)*((Journal!$D$6:$D$1005=TypeEDL)+(Journal!$D$6:$D$1005=TypeBilan6))*Journal!$C$6:$C$1005)))))</f>
        <v/>
      </c>
      <c r="AF466" s="43" t="str">
        <f aca="false">IF($AE466="","",IF(AND(ReglesTransitoires="Oui",EDATE($AE466,AnciennePeriodiciteEDL*12)&lt;DateVigueur),EDATE($AE466,AnciennePeriodiciteEDL*12),EDATE($AE466,PeriodiciteEDL*12)))</f>
        <v/>
      </c>
      <c r="AG466" s="42" t="str">
        <f aca="false">IF($AF466="","",IF(AND($I466&lt;&gt;"",$I466&lt;=DateRef),"",IF($AF466&lt;DateRef,"En retard",IF($AF466-DateRef&lt;=SeuilAlerteEDL,"À prévoir","À jour"))))</f>
        <v/>
      </c>
      <c r="AH466" s="39"/>
      <c r="AI466" s="39"/>
      <c r="AJ466" s="42" t="str">
        <f aca="false">IF(OR($B466="",$H466=""),"",IF(AND($I466&lt;&gt;"",$I466&lt;=DateRef),"",IF(Effectif&lt;SeuilEffectif,"Non concerné (&lt; "&amp;SeuilEffectif&amp;" salariés)",IF($AH466="Oui","Pas de risque",IF(AND(OR($AI466="Non",$S466="En retard"),$AH466="Non"),"Risque abondement",IF(OR($AI466="Non",$S466="En retard"),"À vérifier (formation ?)",IF($AI466="Oui","Pas de risque","À compléter")))))))</f>
        <v/>
      </c>
      <c r="AK466" s="39"/>
    </row>
    <row r="467" customFormat="false" ht="15" hidden="false" customHeight="false" outlineLevel="0" collapsed="false">
      <c r="A467" s="39"/>
      <c r="B467" s="39"/>
      <c r="C467" s="39"/>
      <c r="D467" s="39"/>
      <c r="E467" s="39"/>
      <c r="F467" s="39"/>
      <c r="G467" s="40"/>
      <c r="H467" s="40"/>
      <c r="I467" s="40"/>
      <c r="J467" s="41" t="str">
        <f aca="false">IF(OR($B467="",$H467=""),"",IF($H467&gt;DateRef,0,YEARFRAC($H467,DateRef,1)))</f>
        <v/>
      </c>
      <c r="K467" s="42" t="str">
        <f aca="false">IF(OR($B467="",$H467=""),"",IF(EDATE($H467,12)&lt;=DateRef,"Plus d'un an","Moins d'un an"))</f>
        <v/>
      </c>
      <c r="L467" s="40"/>
      <c r="M467" s="43" t="str">
        <f aca="false">IF(OR($B467="",$A467=""),"",IF(SUMPRODUCT(MAX((Journal!$A$6:$A$1005=$A467)*Journal!$C$6:$C$1005))=0,"",SUMPRODUCT(MAX((Journal!$A$6:$A$1005=$A467)*Journal!$C$6:$C$1005))))</f>
        <v/>
      </c>
      <c r="N467" s="43" t="str">
        <f aca="false">IF($B467="","",IF(MAX($L467,$M467)=0,"",MAX($L467,$M467)))</f>
        <v/>
      </c>
      <c r="O467" s="44" t="str">
        <f aca="false">IF(OR($B467="",$H467=""),"",IF($N467="",IF(EDATE($H467,DelaiPremierEPP)&gt;DateRef,"1er EPP (1re année)","Aucun entretien renseigné"),IF(AND(ReglesTransitoires="Oui",EDATE($N467,AnciennePeriodiciteEP*12)&lt;DateVigueur),"Retard antérieur à la réforme","Périodicité "&amp;PeriodiciteEPP&amp;" ans")))</f>
        <v/>
      </c>
      <c r="P467" s="43" t="str">
        <f aca="false">IF(OR($B467="",$H467=""),"",IF($N467="",EDATE($H467,DelaiPremierEPP),IF(AND(ReglesTransitoires="Oui",EDATE($N467,AnciennePeriodiciteEP*12)&lt;DateVigueur),EDATE($N467,AnciennePeriodiciteEP*12),EDATE($N467,PeriodiciteEPP*12))))</f>
        <v/>
      </c>
      <c r="Q467" s="40"/>
      <c r="R467" s="45" t="str">
        <f aca="false">IF(OR($P467="",AND($I467&lt;&gt;"",$I467&lt;=DateRef)),"",$P467-DateRef)</f>
        <v/>
      </c>
      <c r="S467" s="42" t="str">
        <f aca="false">IF($B467="","",IF(AND($I467&lt;&gt;"",$I467&lt;=DateRef),"Sorti",IF($H467="","À compléter",IF(AND($Q467&lt;&gt;"",$Q467&gt;=DateRef,$Q467&lt;=$P467),"Planifié",IF($R467&lt;0,"En retard",IF($R467&lt;=SeuilAlerteEPP,"À planifier","À jour"))))))</f>
        <v/>
      </c>
      <c r="T467" s="46" t="str">
        <f aca="false">IF(OR($B467="",$S467="Sorti"),"",MID(IF($H467=""," | Date d'embauche manquante","")&amp;IF(AND($K467="Plus d'un an",$N467="")," | Précédent entretien à renseigner (ancienneté &gt; 1 an)","")&amp;IF($O467="Retard antérieur à la réforme"," | Ancien délai de 2 ans expiré avant la réforme","")&amp;IF(AND($N467&lt;&gt;"",$H467&lt;&gt;"",$N467&lt;$H467)," | Entretien antérieur à l'embauche ?","")&amp;IF(AND($N467&lt;&gt;"",$N467&gt;DateRef)," | Entretien daté dans le futur ?","")&amp;IF(AND($Q467&lt;&gt;"",$P467&lt;&gt;"",$Q467&gt;$P467)," | Date prévue après l'échéance","")&amp;IF(AND($Q467&lt;&gt;"",$Q467&lt;DateRef,OR($N467="",$N467&lt;$Q467))," | Entretien prévu passé : le consigner au Journal","")&amp;IF(AND($G467&lt;&gt;"",$X467="",YEAR(DateRef)-YEAR($G467)&gt;=AgeMiCarriere-1,YEAR(DateRef)-YEAR($G467)&lt;=AgeMiCarriere+1)," | Visite de mi-carrière à vérifier",""),4,1000))</f>
        <v/>
      </c>
      <c r="U467" s="39"/>
      <c r="V467" s="40"/>
      <c r="W467" s="42" t="str">
        <f aca="false">IF(OR($B467="",$V467=""),"",IF(AND($I467&lt;&gt;"",$I467&lt;=DateRef),"",IF(AND($N467&lt;&gt;"",$N467&gt;=$V467),"Réalisé",IF(AND($N467&lt;&gt;"",$N467&gt;=EDATE($V467,-FenetreRetour)),"Dispensé (EPP récent)",IF($V467&gt;DateRef,"À prévoir à la reprise","À proposer (reprise passée)")))))</f>
        <v/>
      </c>
      <c r="X467" s="40"/>
      <c r="Y467" s="43" t="str">
        <f aca="false">IF(OR($B467="",$X467=""),"",EDATE($X467,DelaiMiCarriere))</f>
        <v/>
      </c>
      <c r="Z467" s="42" t="str">
        <f aca="false">IF(OR($B467="",$X467=""),"",IF(AND($I467&lt;&gt;"",$I467&lt;=DateRef),"",IF(AND($N467&lt;&gt;"",$N467&gt;=$X467),"Réalisé",IF($Y467&lt;DateRef,"En retard","À planifier"))))</f>
        <v/>
      </c>
      <c r="AA467" s="47" t="str">
        <f aca="false">IF(OR($B467="",$G467=""),"",IF($G467&gt;DateRef,"",DATEDIF($G467,DateRef,"y")))</f>
        <v/>
      </c>
      <c r="AB467" s="43" t="str">
        <f aca="false">IF(OR($B467="",$G467=""),"",EDATE($G467,AgeFinCarriere*12))</f>
        <v/>
      </c>
      <c r="AC467" s="42" t="str">
        <f aca="false">IF(OR($B467="",$G467="",$H467=""),"",IF(AND($I467&lt;&gt;"",$I467&lt;=DateRef),"",IF($AB467&lt;DateVigueur,"Non concerné",IF(AND($N467&lt;&gt;"",$N467&gt;=MAX(EDATE($AB467,-FenetreFinCarriere*12),DateVigueur),$N467&lt;=$AB467),"Réalisé",IF(DateRef&gt;$AB467,"Non réalisé",IF(AND($Q467&lt;&gt;"",$Q467&gt;=EDATE($AB467,-FenetreFinCarriere*12),$Q467&lt;=$AB467),"Planifié dans la fenêtre",IF(AND(MAX($P467,DateRef)&gt;=EDATE($AB467,-FenetreFinCarriere*12),MAX($P467,DateRef)&lt;=$AB467),"Prochain EPP dans la fenêtre",IF(MAX($P467,DateRef)&gt;$AB467,"À programmer avant 60 ans",""))))))))</f>
        <v/>
      </c>
      <c r="AD467" s="40"/>
      <c r="AE467" s="43" t="str">
        <f aca="false">IF(OR($B467="",$H467="",AND($I467&lt;&gt;"",$I467&lt;=DateRef)),"",MAX($H467,$AD467,IF($A467="",0,SUMPRODUCT(MAX((Journal!$A$6:$A$1005=$A467)*((Journal!$D$6:$D$1005=TypeEDL)+(Journal!$D$6:$D$1005=TypeBilan6))*Journal!$C$6:$C$1005)))))</f>
        <v/>
      </c>
      <c r="AF467" s="43" t="str">
        <f aca="false">IF($AE467="","",IF(AND(ReglesTransitoires="Oui",EDATE($AE467,AnciennePeriodiciteEDL*12)&lt;DateVigueur),EDATE($AE467,AnciennePeriodiciteEDL*12),EDATE($AE467,PeriodiciteEDL*12)))</f>
        <v/>
      </c>
      <c r="AG467" s="42" t="str">
        <f aca="false">IF($AF467="","",IF(AND($I467&lt;&gt;"",$I467&lt;=DateRef),"",IF($AF467&lt;DateRef,"En retard",IF($AF467-DateRef&lt;=SeuilAlerteEDL,"À prévoir","À jour"))))</f>
        <v/>
      </c>
      <c r="AH467" s="39"/>
      <c r="AI467" s="39"/>
      <c r="AJ467" s="42" t="str">
        <f aca="false">IF(OR($B467="",$H467=""),"",IF(AND($I467&lt;&gt;"",$I467&lt;=DateRef),"",IF(Effectif&lt;SeuilEffectif,"Non concerné (&lt; "&amp;SeuilEffectif&amp;" salariés)",IF($AH467="Oui","Pas de risque",IF(AND(OR($AI467="Non",$S467="En retard"),$AH467="Non"),"Risque abondement",IF(OR($AI467="Non",$S467="En retard"),"À vérifier (formation ?)",IF($AI467="Oui","Pas de risque","À compléter")))))))</f>
        <v/>
      </c>
      <c r="AK467" s="39"/>
    </row>
    <row r="468" customFormat="false" ht="15" hidden="false" customHeight="false" outlineLevel="0" collapsed="false">
      <c r="A468" s="39"/>
      <c r="B468" s="39"/>
      <c r="C468" s="39"/>
      <c r="D468" s="39"/>
      <c r="E468" s="39"/>
      <c r="F468" s="39"/>
      <c r="G468" s="40"/>
      <c r="H468" s="40"/>
      <c r="I468" s="40"/>
      <c r="J468" s="41" t="str">
        <f aca="false">IF(OR($B468="",$H468=""),"",IF($H468&gt;DateRef,0,YEARFRAC($H468,DateRef,1)))</f>
        <v/>
      </c>
      <c r="K468" s="42" t="str">
        <f aca="false">IF(OR($B468="",$H468=""),"",IF(EDATE($H468,12)&lt;=DateRef,"Plus d'un an","Moins d'un an"))</f>
        <v/>
      </c>
      <c r="L468" s="40"/>
      <c r="M468" s="43" t="str">
        <f aca="false">IF(OR($B468="",$A468=""),"",IF(SUMPRODUCT(MAX((Journal!$A$6:$A$1005=$A468)*Journal!$C$6:$C$1005))=0,"",SUMPRODUCT(MAX((Journal!$A$6:$A$1005=$A468)*Journal!$C$6:$C$1005))))</f>
        <v/>
      </c>
      <c r="N468" s="43" t="str">
        <f aca="false">IF($B468="","",IF(MAX($L468,$M468)=0,"",MAX($L468,$M468)))</f>
        <v/>
      </c>
      <c r="O468" s="44" t="str">
        <f aca="false">IF(OR($B468="",$H468=""),"",IF($N468="",IF(EDATE($H468,DelaiPremierEPP)&gt;DateRef,"1er EPP (1re année)","Aucun entretien renseigné"),IF(AND(ReglesTransitoires="Oui",EDATE($N468,AnciennePeriodiciteEP*12)&lt;DateVigueur),"Retard antérieur à la réforme","Périodicité "&amp;PeriodiciteEPP&amp;" ans")))</f>
        <v/>
      </c>
      <c r="P468" s="43" t="str">
        <f aca="false">IF(OR($B468="",$H468=""),"",IF($N468="",EDATE($H468,DelaiPremierEPP),IF(AND(ReglesTransitoires="Oui",EDATE($N468,AnciennePeriodiciteEP*12)&lt;DateVigueur),EDATE($N468,AnciennePeriodiciteEP*12),EDATE($N468,PeriodiciteEPP*12))))</f>
        <v/>
      </c>
      <c r="Q468" s="40"/>
      <c r="R468" s="45" t="str">
        <f aca="false">IF(OR($P468="",AND($I468&lt;&gt;"",$I468&lt;=DateRef)),"",$P468-DateRef)</f>
        <v/>
      </c>
      <c r="S468" s="42" t="str">
        <f aca="false">IF($B468="","",IF(AND($I468&lt;&gt;"",$I468&lt;=DateRef),"Sorti",IF($H468="","À compléter",IF(AND($Q468&lt;&gt;"",$Q468&gt;=DateRef,$Q468&lt;=$P468),"Planifié",IF($R468&lt;0,"En retard",IF($R468&lt;=SeuilAlerteEPP,"À planifier","À jour"))))))</f>
        <v/>
      </c>
      <c r="T468" s="46" t="str">
        <f aca="false">IF(OR($B468="",$S468="Sorti"),"",MID(IF($H468=""," | Date d'embauche manquante","")&amp;IF(AND($K468="Plus d'un an",$N468="")," | Précédent entretien à renseigner (ancienneté &gt; 1 an)","")&amp;IF($O468="Retard antérieur à la réforme"," | Ancien délai de 2 ans expiré avant la réforme","")&amp;IF(AND($N468&lt;&gt;"",$H468&lt;&gt;"",$N468&lt;$H468)," | Entretien antérieur à l'embauche ?","")&amp;IF(AND($N468&lt;&gt;"",$N468&gt;DateRef)," | Entretien daté dans le futur ?","")&amp;IF(AND($Q468&lt;&gt;"",$P468&lt;&gt;"",$Q468&gt;$P468)," | Date prévue après l'échéance","")&amp;IF(AND($Q468&lt;&gt;"",$Q468&lt;DateRef,OR($N468="",$N468&lt;$Q468))," | Entretien prévu passé : le consigner au Journal","")&amp;IF(AND($G468&lt;&gt;"",$X468="",YEAR(DateRef)-YEAR($G468)&gt;=AgeMiCarriere-1,YEAR(DateRef)-YEAR($G468)&lt;=AgeMiCarriere+1)," | Visite de mi-carrière à vérifier",""),4,1000))</f>
        <v/>
      </c>
      <c r="U468" s="39"/>
      <c r="V468" s="40"/>
      <c r="W468" s="42" t="str">
        <f aca="false">IF(OR($B468="",$V468=""),"",IF(AND($I468&lt;&gt;"",$I468&lt;=DateRef),"",IF(AND($N468&lt;&gt;"",$N468&gt;=$V468),"Réalisé",IF(AND($N468&lt;&gt;"",$N468&gt;=EDATE($V468,-FenetreRetour)),"Dispensé (EPP récent)",IF($V468&gt;DateRef,"À prévoir à la reprise","À proposer (reprise passée)")))))</f>
        <v/>
      </c>
      <c r="X468" s="40"/>
      <c r="Y468" s="43" t="str">
        <f aca="false">IF(OR($B468="",$X468=""),"",EDATE($X468,DelaiMiCarriere))</f>
        <v/>
      </c>
      <c r="Z468" s="42" t="str">
        <f aca="false">IF(OR($B468="",$X468=""),"",IF(AND($I468&lt;&gt;"",$I468&lt;=DateRef),"",IF(AND($N468&lt;&gt;"",$N468&gt;=$X468),"Réalisé",IF($Y468&lt;DateRef,"En retard","À planifier"))))</f>
        <v/>
      </c>
      <c r="AA468" s="47" t="str">
        <f aca="false">IF(OR($B468="",$G468=""),"",IF($G468&gt;DateRef,"",DATEDIF($G468,DateRef,"y")))</f>
        <v/>
      </c>
      <c r="AB468" s="43" t="str">
        <f aca="false">IF(OR($B468="",$G468=""),"",EDATE($G468,AgeFinCarriere*12))</f>
        <v/>
      </c>
      <c r="AC468" s="42" t="str">
        <f aca="false">IF(OR($B468="",$G468="",$H468=""),"",IF(AND($I468&lt;&gt;"",$I468&lt;=DateRef),"",IF($AB468&lt;DateVigueur,"Non concerné",IF(AND($N468&lt;&gt;"",$N468&gt;=MAX(EDATE($AB468,-FenetreFinCarriere*12),DateVigueur),$N468&lt;=$AB468),"Réalisé",IF(DateRef&gt;$AB468,"Non réalisé",IF(AND($Q468&lt;&gt;"",$Q468&gt;=EDATE($AB468,-FenetreFinCarriere*12),$Q468&lt;=$AB468),"Planifié dans la fenêtre",IF(AND(MAX($P468,DateRef)&gt;=EDATE($AB468,-FenetreFinCarriere*12),MAX($P468,DateRef)&lt;=$AB468),"Prochain EPP dans la fenêtre",IF(MAX($P468,DateRef)&gt;$AB468,"À programmer avant 60 ans",""))))))))</f>
        <v/>
      </c>
      <c r="AD468" s="40"/>
      <c r="AE468" s="43" t="str">
        <f aca="false">IF(OR($B468="",$H468="",AND($I468&lt;&gt;"",$I468&lt;=DateRef)),"",MAX($H468,$AD468,IF($A468="",0,SUMPRODUCT(MAX((Journal!$A$6:$A$1005=$A468)*((Journal!$D$6:$D$1005=TypeEDL)+(Journal!$D$6:$D$1005=TypeBilan6))*Journal!$C$6:$C$1005)))))</f>
        <v/>
      </c>
      <c r="AF468" s="43" t="str">
        <f aca="false">IF($AE468="","",IF(AND(ReglesTransitoires="Oui",EDATE($AE468,AnciennePeriodiciteEDL*12)&lt;DateVigueur),EDATE($AE468,AnciennePeriodiciteEDL*12),EDATE($AE468,PeriodiciteEDL*12)))</f>
        <v/>
      </c>
      <c r="AG468" s="42" t="str">
        <f aca="false">IF($AF468="","",IF(AND($I468&lt;&gt;"",$I468&lt;=DateRef),"",IF($AF468&lt;DateRef,"En retard",IF($AF468-DateRef&lt;=SeuilAlerteEDL,"À prévoir","À jour"))))</f>
        <v/>
      </c>
      <c r="AH468" s="39"/>
      <c r="AI468" s="39"/>
      <c r="AJ468" s="42" t="str">
        <f aca="false">IF(OR($B468="",$H468=""),"",IF(AND($I468&lt;&gt;"",$I468&lt;=DateRef),"",IF(Effectif&lt;SeuilEffectif,"Non concerné (&lt; "&amp;SeuilEffectif&amp;" salariés)",IF($AH468="Oui","Pas de risque",IF(AND(OR($AI468="Non",$S468="En retard"),$AH468="Non"),"Risque abondement",IF(OR($AI468="Non",$S468="En retard"),"À vérifier (formation ?)",IF($AI468="Oui","Pas de risque","À compléter")))))))</f>
        <v/>
      </c>
      <c r="AK468" s="39"/>
    </row>
    <row r="469" customFormat="false" ht="15" hidden="false" customHeight="false" outlineLevel="0" collapsed="false">
      <c r="A469" s="39"/>
      <c r="B469" s="39"/>
      <c r="C469" s="39"/>
      <c r="D469" s="39"/>
      <c r="E469" s="39"/>
      <c r="F469" s="39"/>
      <c r="G469" s="40"/>
      <c r="H469" s="40"/>
      <c r="I469" s="40"/>
      <c r="J469" s="41" t="str">
        <f aca="false">IF(OR($B469="",$H469=""),"",IF($H469&gt;DateRef,0,YEARFRAC($H469,DateRef,1)))</f>
        <v/>
      </c>
      <c r="K469" s="42" t="str">
        <f aca="false">IF(OR($B469="",$H469=""),"",IF(EDATE($H469,12)&lt;=DateRef,"Plus d'un an","Moins d'un an"))</f>
        <v/>
      </c>
      <c r="L469" s="40"/>
      <c r="M469" s="43" t="str">
        <f aca="false">IF(OR($B469="",$A469=""),"",IF(SUMPRODUCT(MAX((Journal!$A$6:$A$1005=$A469)*Journal!$C$6:$C$1005))=0,"",SUMPRODUCT(MAX((Journal!$A$6:$A$1005=$A469)*Journal!$C$6:$C$1005))))</f>
        <v/>
      </c>
      <c r="N469" s="43" t="str">
        <f aca="false">IF($B469="","",IF(MAX($L469,$M469)=0,"",MAX($L469,$M469)))</f>
        <v/>
      </c>
      <c r="O469" s="44" t="str">
        <f aca="false">IF(OR($B469="",$H469=""),"",IF($N469="",IF(EDATE($H469,DelaiPremierEPP)&gt;DateRef,"1er EPP (1re année)","Aucun entretien renseigné"),IF(AND(ReglesTransitoires="Oui",EDATE($N469,AnciennePeriodiciteEP*12)&lt;DateVigueur),"Retard antérieur à la réforme","Périodicité "&amp;PeriodiciteEPP&amp;" ans")))</f>
        <v/>
      </c>
      <c r="P469" s="43" t="str">
        <f aca="false">IF(OR($B469="",$H469=""),"",IF($N469="",EDATE($H469,DelaiPremierEPP),IF(AND(ReglesTransitoires="Oui",EDATE($N469,AnciennePeriodiciteEP*12)&lt;DateVigueur),EDATE($N469,AnciennePeriodiciteEP*12),EDATE($N469,PeriodiciteEPP*12))))</f>
        <v/>
      </c>
      <c r="Q469" s="40"/>
      <c r="R469" s="45" t="str">
        <f aca="false">IF(OR($P469="",AND($I469&lt;&gt;"",$I469&lt;=DateRef)),"",$P469-DateRef)</f>
        <v/>
      </c>
      <c r="S469" s="42" t="str">
        <f aca="false">IF($B469="","",IF(AND($I469&lt;&gt;"",$I469&lt;=DateRef),"Sorti",IF($H469="","À compléter",IF(AND($Q469&lt;&gt;"",$Q469&gt;=DateRef,$Q469&lt;=$P469),"Planifié",IF($R469&lt;0,"En retard",IF($R469&lt;=SeuilAlerteEPP,"À planifier","À jour"))))))</f>
        <v/>
      </c>
      <c r="T469" s="46" t="str">
        <f aca="false">IF(OR($B469="",$S469="Sorti"),"",MID(IF($H469=""," | Date d'embauche manquante","")&amp;IF(AND($K469="Plus d'un an",$N469="")," | Précédent entretien à renseigner (ancienneté &gt; 1 an)","")&amp;IF($O469="Retard antérieur à la réforme"," | Ancien délai de 2 ans expiré avant la réforme","")&amp;IF(AND($N469&lt;&gt;"",$H469&lt;&gt;"",$N469&lt;$H469)," | Entretien antérieur à l'embauche ?","")&amp;IF(AND($N469&lt;&gt;"",$N469&gt;DateRef)," | Entretien daté dans le futur ?","")&amp;IF(AND($Q469&lt;&gt;"",$P469&lt;&gt;"",$Q469&gt;$P469)," | Date prévue après l'échéance","")&amp;IF(AND($Q469&lt;&gt;"",$Q469&lt;DateRef,OR($N469="",$N469&lt;$Q469))," | Entretien prévu passé : le consigner au Journal","")&amp;IF(AND($G469&lt;&gt;"",$X469="",YEAR(DateRef)-YEAR($G469)&gt;=AgeMiCarriere-1,YEAR(DateRef)-YEAR($G469)&lt;=AgeMiCarriere+1)," | Visite de mi-carrière à vérifier",""),4,1000))</f>
        <v/>
      </c>
      <c r="U469" s="39"/>
      <c r="V469" s="40"/>
      <c r="W469" s="42" t="str">
        <f aca="false">IF(OR($B469="",$V469=""),"",IF(AND($I469&lt;&gt;"",$I469&lt;=DateRef),"",IF(AND($N469&lt;&gt;"",$N469&gt;=$V469),"Réalisé",IF(AND($N469&lt;&gt;"",$N469&gt;=EDATE($V469,-FenetreRetour)),"Dispensé (EPP récent)",IF($V469&gt;DateRef,"À prévoir à la reprise","À proposer (reprise passée)")))))</f>
        <v/>
      </c>
      <c r="X469" s="40"/>
      <c r="Y469" s="43" t="str">
        <f aca="false">IF(OR($B469="",$X469=""),"",EDATE($X469,DelaiMiCarriere))</f>
        <v/>
      </c>
      <c r="Z469" s="42" t="str">
        <f aca="false">IF(OR($B469="",$X469=""),"",IF(AND($I469&lt;&gt;"",$I469&lt;=DateRef),"",IF(AND($N469&lt;&gt;"",$N469&gt;=$X469),"Réalisé",IF($Y469&lt;DateRef,"En retard","À planifier"))))</f>
        <v/>
      </c>
      <c r="AA469" s="47" t="str">
        <f aca="false">IF(OR($B469="",$G469=""),"",IF($G469&gt;DateRef,"",DATEDIF($G469,DateRef,"y")))</f>
        <v/>
      </c>
      <c r="AB469" s="43" t="str">
        <f aca="false">IF(OR($B469="",$G469=""),"",EDATE($G469,AgeFinCarriere*12))</f>
        <v/>
      </c>
      <c r="AC469" s="42" t="str">
        <f aca="false">IF(OR($B469="",$G469="",$H469=""),"",IF(AND($I469&lt;&gt;"",$I469&lt;=DateRef),"",IF($AB469&lt;DateVigueur,"Non concerné",IF(AND($N469&lt;&gt;"",$N469&gt;=MAX(EDATE($AB469,-FenetreFinCarriere*12),DateVigueur),$N469&lt;=$AB469),"Réalisé",IF(DateRef&gt;$AB469,"Non réalisé",IF(AND($Q469&lt;&gt;"",$Q469&gt;=EDATE($AB469,-FenetreFinCarriere*12),$Q469&lt;=$AB469),"Planifié dans la fenêtre",IF(AND(MAX($P469,DateRef)&gt;=EDATE($AB469,-FenetreFinCarriere*12),MAX($P469,DateRef)&lt;=$AB469),"Prochain EPP dans la fenêtre",IF(MAX($P469,DateRef)&gt;$AB469,"À programmer avant 60 ans",""))))))))</f>
        <v/>
      </c>
      <c r="AD469" s="40"/>
      <c r="AE469" s="43" t="str">
        <f aca="false">IF(OR($B469="",$H469="",AND($I469&lt;&gt;"",$I469&lt;=DateRef)),"",MAX($H469,$AD469,IF($A469="",0,SUMPRODUCT(MAX((Journal!$A$6:$A$1005=$A469)*((Journal!$D$6:$D$1005=TypeEDL)+(Journal!$D$6:$D$1005=TypeBilan6))*Journal!$C$6:$C$1005)))))</f>
        <v/>
      </c>
      <c r="AF469" s="43" t="str">
        <f aca="false">IF($AE469="","",IF(AND(ReglesTransitoires="Oui",EDATE($AE469,AnciennePeriodiciteEDL*12)&lt;DateVigueur),EDATE($AE469,AnciennePeriodiciteEDL*12),EDATE($AE469,PeriodiciteEDL*12)))</f>
        <v/>
      </c>
      <c r="AG469" s="42" t="str">
        <f aca="false">IF($AF469="","",IF(AND($I469&lt;&gt;"",$I469&lt;=DateRef),"",IF($AF469&lt;DateRef,"En retard",IF($AF469-DateRef&lt;=SeuilAlerteEDL,"À prévoir","À jour"))))</f>
        <v/>
      </c>
      <c r="AH469" s="39"/>
      <c r="AI469" s="39"/>
      <c r="AJ469" s="42" t="str">
        <f aca="false">IF(OR($B469="",$H469=""),"",IF(AND($I469&lt;&gt;"",$I469&lt;=DateRef),"",IF(Effectif&lt;SeuilEffectif,"Non concerné (&lt; "&amp;SeuilEffectif&amp;" salariés)",IF($AH469="Oui","Pas de risque",IF(AND(OR($AI469="Non",$S469="En retard"),$AH469="Non"),"Risque abondement",IF(OR($AI469="Non",$S469="En retard"),"À vérifier (formation ?)",IF($AI469="Oui","Pas de risque","À compléter")))))))</f>
        <v/>
      </c>
      <c r="AK469" s="39"/>
    </row>
    <row r="470" customFormat="false" ht="15" hidden="false" customHeight="false" outlineLevel="0" collapsed="false">
      <c r="A470" s="39"/>
      <c r="B470" s="39"/>
      <c r="C470" s="39"/>
      <c r="D470" s="39"/>
      <c r="E470" s="39"/>
      <c r="F470" s="39"/>
      <c r="G470" s="40"/>
      <c r="H470" s="40"/>
      <c r="I470" s="40"/>
      <c r="J470" s="41" t="str">
        <f aca="false">IF(OR($B470="",$H470=""),"",IF($H470&gt;DateRef,0,YEARFRAC($H470,DateRef,1)))</f>
        <v/>
      </c>
      <c r="K470" s="42" t="str">
        <f aca="false">IF(OR($B470="",$H470=""),"",IF(EDATE($H470,12)&lt;=DateRef,"Plus d'un an","Moins d'un an"))</f>
        <v/>
      </c>
      <c r="L470" s="40"/>
      <c r="M470" s="43" t="str">
        <f aca="false">IF(OR($B470="",$A470=""),"",IF(SUMPRODUCT(MAX((Journal!$A$6:$A$1005=$A470)*Journal!$C$6:$C$1005))=0,"",SUMPRODUCT(MAX((Journal!$A$6:$A$1005=$A470)*Journal!$C$6:$C$1005))))</f>
        <v/>
      </c>
      <c r="N470" s="43" t="str">
        <f aca="false">IF($B470="","",IF(MAX($L470,$M470)=0,"",MAX($L470,$M470)))</f>
        <v/>
      </c>
      <c r="O470" s="44" t="str">
        <f aca="false">IF(OR($B470="",$H470=""),"",IF($N470="",IF(EDATE($H470,DelaiPremierEPP)&gt;DateRef,"1er EPP (1re année)","Aucun entretien renseigné"),IF(AND(ReglesTransitoires="Oui",EDATE($N470,AnciennePeriodiciteEP*12)&lt;DateVigueur),"Retard antérieur à la réforme","Périodicité "&amp;PeriodiciteEPP&amp;" ans")))</f>
        <v/>
      </c>
      <c r="P470" s="43" t="str">
        <f aca="false">IF(OR($B470="",$H470=""),"",IF($N470="",EDATE($H470,DelaiPremierEPP),IF(AND(ReglesTransitoires="Oui",EDATE($N470,AnciennePeriodiciteEP*12)&lt;DateVigueur),EDATE($N470,AnciennePeriodiciteEP*12),EDATE($N470,PeriodiciteEPP*12))))</f>
        <v/>
      </c>
      <c r="Q470" s="40"/>
      <c r="R470" s="45" t="str">
        <f aca="false">IF(OR($P470="",AND($I470&lt;&gt;"",$I470&lt;=DateRef)),"",$P470-DateRef)</f>
        <v/>
      </c>
      <c r="S470" s="42" t="str">
        <f aca="false">IF($B470="","",IF(AND($I470&lt;&gt;"",$I470&lt;=DateRef),"Sorti",IF($H470="","À compléter",IF(AND($Q470&lt;&gt;"",$Q470&gt;=DateRef,$Q470&lt;=$P470),"Planifié",IF($R470&lt;0,"En retard",IF($R470&lt;=SeuilAlerteEPP,"À planifier","À jour"))))))</f>
        <v/>
      </c>
      <c r="T470" s="46" t="str">
        <f aca="false">IF(OR($B470="",$S470="Sorti"),"",MID(IF($H470=""," | Date d'embauche manquante","")&amp;IF(AND($K470="Plus d'un an",$N470="")," | Précédent entretien à renseigner (ancienneté &gt; 1 an)","")&amp;IF($O470="Retard antérieur à la réforme"," | Ancien délai de 2 ans expiré avant la réforme","")&amp;IF(AND($N470&lt;&gt;"",$H470&lt;&gt;"",$N470&lt;$H470)," | Entretien antérieur à l'embauche ?","")&amp;IF(AND($N470&lt;&gt;"",$N470&gt;DateRef)," | Entretien daté dans le futur ?","")&amp;IF(AND($Q470&lt;&gt;"",$P470&lt;&gt;"",$Q470&gt;$P470)," | Date prévue après l'échéance","")&amp;IF(AND($Q470&lt;&gt;"",$Q470&lt;DateRef,OR($N470="",$N470&lt;$Q470))," | Entretien prévu passé : le consigner au Journal","")&amp;IF(AND($G470&lt;&gt;"",$X470="",YEAR(DateRef)-YEAR($G470)&gt;=AgeMiCarriere-1,YEAR(DateRef)-YEAR($G470)&lt;=AgeMiCarriere+1)," | Visite de mi-carrière à vérifier",""),4,1000))</f>
        <v/>
      </c>
      <c r="U470" s="39"/>
      <c r="V470" s="40"/>
      <c r="W470" s="42" t="str">
        <f aca="false">IF(OR($B470="",$V470=""),"",IF(AND($I470&lt;&gt;"",$I470&lt;=DateRef),"",IF(AND($N470&lt;&gt;"",$N470&gt;=$V470),"Réalisé",IF(AND($N470&lt;&gt;"",$N470&gt;=EDATE($V470,-FenetreRetour)),"Dispensé (EPP récent)",IF($V470&gt;DateRef,"À prévoir à la reprise","À proposer (reprise passée)")))))</f>
        <v/>
      </c>
      <c r="X470" s="40"/>
      <c r="Y470" s="43" t="str">
        <f aca="false">IF(OR($B470="",$X470=""),"",EDATE($X470,DelaiMiCarriere))</f>
        <v/>
      </c>
      <c r="Z470" s="42" t="str">
        <f aca="false">IF(OR($B470="",$X470=""),"",IF(AND($I470&lt;&gt;"",$I470&lt;=DateRef),"",IF(AND($N470&lt;&gt;"",$N470&gt;=$X470),"Réalisé",IF($Y470&lt;DateRef,"En retard","À planifier"))))</f>
        <v/>
      </c>
      <c r="AA470" s="47" t="str">
        <f aca="false">IF(OR($B470="",$G470=""),"",IF($G470&gt;DateRef,"",DATEDIF($G470,DateRef,"y")))</f>
        <v/>
      </c>
      <c r="AB470" s="43" t="str">
        <f aca="false">IF(OR($B470="",$G470=""),"",EDATE($G470,AgeFinCarriere*12))</f>
        <v/>
      </c>
      <c r="AC470" s="42" t="str">
        <f aca="false">IF(OR($B470="",$G470="",$H470=""),"",IF(AND($I470&lt;&gt;"",$I470&lt;=DateRef),"",IF($AB470&lt;DateVigueur,"Non concerné",IF(AND($N470&lt;&gt;"",$N470&gt;=MAX(EDATE($AB470,-FenetreFinCarriere*12),DateVigueur),$N470&lt;=$AB470),"Réalisé",IF(DateRef&gt;$AB470,"Non réalisé",IF(AND($Q470&lt;&gt;"",$Q470&gt;=EDATE($AB470,-FenetreFinCarriere*12),$Q470&lt;=$AB470),"Planifié dans la fenêtre",IF(AND(MAX($P470,DateRef)&gt;=EDATE($AB470,-FenetreFinCarriere*12),MAX($P470,DateRef)&lt;=$AB470),"Prochain EPP dans la fenêtre",IF(MAX($P470,DateRef)&gt;$AB470,"À programmer avant 60 ans",""))))))))</f>
        <v/>
      </c>
      <c r="AD470" s="40"/>
      <c r="AE470" s="43" t="str">
        <f aca="false">IF(OR($B470="",$H470="",AND($I470&lt;&gt;"",$I470&lt;=DateRef)),"",MAX($H470,$AD470,IF($A470="",0,SUMPRODUCT(MAX((Journal!$A$6:$A$1005=$A470)*((Journal!$D$6:$D$1005=TypeEDL)+(Journal!$D$6:$D$1005=TypeBilan6))*Journal!$C$6:$C$1005)))))</f>
        <v/>
      </c>
      <c r="AF470" s="43" t="str">
        <f aca="false">IF($AE470="","",IF(AND(ReglesTransitoires="Oui",EDATE($AE470,AnciennePeriodiciteEDL*12)&lt;DateVigueur),EDATE($AE470,AnciennePeriodiciteEDL*12),EDATE($AE470,PeriodiciteEDL*12)))</f>
        <v/>
      </c>
      <c r="AG470" s="42" t="str">
        <f aca="false">IF($AF470="","",IF(AND($I470&lt;&gt;"",$I470&lt;=DateRef),"",IF($AF470&lt;DateRef,"En retard",IF($AF470-DateRef&lt;=SeuilAlerteEDL,"À prévoir","À jour"))))</f>
        <v/>
      </c>
      <c r="AH470" s="39"/>
      <c r="AI470" s="39"/>
      <c r="AJ470" s="42" t="str">
        <f aca="false">IF(OR($B470="",$H470=""),"",IF(AND($I470&lt;&gt;"",$I470&lt;=DateRef),"",IF(Effectif&lt;SeuilEffectif,"Non concerné (&lt; "&amp;SeuilEffectif&amp;" salariés)",IF($AH470="Oui","Pas de risque",IF(AND(OR($AI470="Non",$S470="En retard"),$AH470="Non"),"Risque abondement",IF(OR($AI470="Non",$S470="En retard"),"À vérifier (formation ?)",IF($AI470="Oui","Pas de risque","À compléter")))))))</f>
        <v/>
      </c>
      <c r="AK470" s="39"/>
    </row>
    <row r="471" customFormat="false" ht="15" hidden="false" customHeight="false" outlineLevel="0" collapsed="false">
      <c r="A471" s="39"/>
      <c r="B471" s="39"/>
      <c r="C471" s="39"/>
      <c r="D471" s="39"/>
      <c r="E471" s="39"/>
      <c r="F471" s="39"/>
      <c r="G471" s="40"/>
      <c r="H471" s="40"/>
      <c r="I471" s="40"/>
      <c r="J471" s="41" t="str">
        <f aca="false">IF(OR($B471="",$H471=""),"",IF($H471&gt;DateRef,0,YEARFRAC($H471,DateRef,1)))</f>
        <v/>
      </c>
      <c r="K471" s="42" t="str">
        <f aca="false">IF(OR($B471="",$H471=""),"",IF(EDATE($H471,12)&lt;=DateRef,"Plus d'un an","Moins d'un an"))</f>
        <v/>
      </c>
      <c r="L471" s="40"/>
      <c r="M471" s="43" t="str">
        <f aca="false">IF(OR($B471="",$A471=""),"",IF(SUMPRODUCT(MAX((Journal!$A$6:$A$1005=$A471)*Journal!$C$6:$C$1005))=0,"",SUMPRODUCT(MAX((Journal!$A$6:$A$1005=$A471)*Journal!$C$6:$C$1005))))</f>
        <v/>
      </c>
      <c r="N471" s="43" t="str">
        <f aca="false">IF($B471="","",IF(MAX($L471,$M471)=0,"",MAX($L471,$M471)))</f>
        <v/>
      </c>
      <c r="O471" s="44" t="str">
        <f aca="false">IF(OR($B471="",$H471=""),"",IF($N471="",IF(EDATE($H471,DelaiPremierEPP)&gt;DateRef,"1er EPP (1re année)","Aucun entretien renseigné"),IF(AND(ReglesTransitoires="Oui",EDATE($N471,AnciennePeriodiciteEP*12)&lt;DateVigueur),"Retard antérieur à la réforme","Périodicité "&amp;PeriodiciteEPP&amp;" ans")))</f>
        <v/>
      </c>
      <c r="P471" s="43" t="str">
        <f aca="false">IF(OR($B471="",$H471=""),"",IF($N471="",EDATE($H471,DelaiPremierEPP),IF(AND(ReglesTransitoires="Oui",EDATE($N471,AnciennePeriodiciteEP*12)&lt;DateVigueur),EDATE($N471,AnciennePeriodiciteEP*12),EDATE($N471,PeriodiciteEPP*12))))</f>
        <v/>
      </c>
      <c r="Q471" s="40"/>
      <c r="R471" s="45" t="str">
        <f aca="false">IF(OR($P471="",AND($I471&lt;&gt;"",$I471&lt;=DateRef)),"",$P471-DateRef)</f>
        <v/>
      </c>
      <c r="S471" s="42" t="str">
        <f aca="false">IF($B471="","",IF(AND($I471&lt;&gt;"",$I471&lt;=DateRef),"Sorti",IF($H471="","À compléter",IF(AND($Q471&lt;&gt;"",$Q471&gt;=DateRef,$Q471&lt;=$P471),"Planifié",IF($R471&lt;0,"En retard",IF($R471&lt;=SeuilAlerteEPP,"À planifier","À jour"))))))</f>
        <v/>
      </c>
      <c r="T471" s="46" t="str">
        <f aca="false">IF(OR($B471="",$S471="Sorti"),"",MID(IF($H471=""," | Date d'embauche manquante","")&amp;IF(AND($K471="Plus d'un an",$N471="")," | Précédent entretien à renseigner (ancienneté &gt; 1 an)","")&amp;IF($O471="Retard antérieur à la réforme"," | Ancien délai de 2 ans expiré avant la réforme","")&amp;IF(AND($N471&lt;&gt;"",$H471&lt;&gt;"",$N471&lt;$H471)," | Entretien antérieur à l'embauche ?","")&amp;IF(AND($N471&lt;&gt;"",$N471&gt;DateRef)," | Entretien daté dans le futur ?","")&amp;IF(AND($Q471&lt;&gt;"",$P471&lt;&gt;"",$Q471&gt;$P471)," | Date prévue après l'échéance","")&amp;IF(AND($Q471&lt;&gt;"",$Q471&lt;DateRef,OR($N471="",$N471&lt;$Q471))," | Entretien prévu passé : le consigner au Journal","")&amp;IF(AND($G471&lt;&gt;"",$X471="",YEAR(DateRef)-YEAR($G471)&gt;=AgeMiCarriere-1,YEAR(DateRef)-YEAR($G471)&lt;=AgeMiCarriere+1)," | Visite de mi-carrière à vérifier",""),4,1000))</f>
        <v/>
      </c>
      <c r="U471" s="39"/>
      <c r="V471" s="40"/>
      <c r="W471" s="42" t="str">
        <f aca="false">IF(OR($B471="",$V471=""),"",IF(AND($I471&lt;&gt;"",$I471&lt;=DateRef),"",IF(AND($N471&lt;&gt;"",$N471&gt;=$V471),"Réalisé",IF(AND($N471&lt;&gt;"",$N471&gt;=EDATE($V471,-FenetreRetour)),"Dispensé (EPP récent)",IF($V471&gt;DateRef,"À prévoir à la reprise","À proposer (reprise passée)")))))</f>
        <v/>
      </c>
      <c r="X471" s="40"/>
      <c r="Y471" s="43" t="str">
        <f aca="false">IF(OR($B471="",$X471=""),"",EDATE($X471,DelaiMiCarriere))</f>
        <v/>
      </c>
      <c r="Z471" s="42" t="str">
        <f aca="false">IF(OR($B471="",$X471=""),"",IF(AND($I471&lt;&gt;"",$I471&lt;=DateRef),"",IF(AND($N471&lt;&gt;"",$N471&gt;=$X471),"Réalisé",IF($Y471&lt;DateRef,"En retard","À planifier"))))</f>
        <v/>
      </c>
      <c r="AA471" s="47" t="str">
        <f aca="false">IF(OR($B471="",$G471=""),"",IF($G471&gt;DateRef,"",DATEDIF($G471,DateRef,"y")))</f>
        <v/>
      </c>
      <c r="AB471" s="43" t="str">
        <f aca="false">IF(OR($B471="",$G471=""),"",EDATE($G471,AgeFinCarriere*12))</f>
        <v/>
      </c>
      <c r="AC471" s="42" t="str">
        <f aca="false">IF(OR($B471="",$G471="",$H471=""),"",IF(AND($I471&lt;&gt;"",$I471&lt;=DateRef),"",IF($AB471&lt;DateVigueur,"Non concerné",IF(AND($N471&lt;&gt;"",$N471&gt;=MAX(EDATE($AB471,-FenetreFinCarriere*12),DateVigueur),$N471&lt;=$AB471),"Réalisé",IF(DateRef&gt;$AB471,"Non réalisé",IF(AND($Q471&lt;&gt;"",$Q471&gt;=EDATE($AB471,-FenetreFinCarriere*12),$Q471&lt;=$AB471),"Planifié dans la fenêtre",IF(AND(MAX($P471,DateRef)&gt;=EDATE($AB471,-FenetreFinCarriere*12),MAX($P471,DateRef)&lt;=$AB471),"Prochain EPP dans la fenêtre",IF(MAX($P471,DateRef)&gt;$AB471,"À programmer avant 60 ans",""))))))))</f>
        <v/>
      </c>
      <c r="AD471" s="40"/>
      <c r="AE471" s="43" t="str">
        <f aca="false">IF(OR($B471="",$H471="",AND($I471&lt;&gt;"",$I471&lt;=DateRef)),"",MAX($H471,$AD471,IF($A471="",0,SUMPRODUCT(MAX((Journal!$A$6:$A$1005=$A471)*((Journal!$D$6:$D$1005=TypeEDL)+(Journal!$D$6:$D$1005=TypeBilan6))*Journal!$C$6:$C$1005)))))</f>
        <v/>
      </c>
      <c r="AF471" s="43" t="str">
        <f aca="false">IF($AE471="","",IF(AND(ReglesTransitoires="Oui",EDATE($AE471,AnciennePeriodiciteEDL*12)&lt;DateVigueur),EDATE($AE471,AnciennePeriodiciteEDL*12),EDATE($AE471,PeriodiciteEDL*12)))</f>
        <v/>
      </c>
      <c r="AG471" s="42" t="str">
        <f aca="false">IF($AF471="","",IF(AND($I471&lt;&gt;"",$I471&lt;=DateRef),"",IF($AF471&lt;DateRef,"En retard",IF($AF471-DateRef&lt;=SeuilAlerteEDL,"À prévoir","À jour"))))</f>
        <v/>
      </c>
      <c r="AH471" s="39"/>
      <c r="AI471" s="39"/>
      <c r="AJ471" s="42" t="str">
        <f aca="false">IF(OR($B471="",$H471=""),"",IF(AND($I471&lt;&gt;"",$I471&lt;=DateRef),"",IF(Effectif&lt;SeuilEffectif,"Non concerné (&lt; "&amp;SeuilEffectif&amp;" salariés)",IF($AH471="Oui","Pas de risque",IF(AND(OR($AI471="Non",$S471="En retard"),$AH471="Non"),"Risque abondement",IF(OR($AI471="Non",$S471="En retard"),"À vérifier (formation ?)",IF($AI471="Oui","Pas de risque","À compléter")))))))</f>
        <v/>
      </c>
      <c r="AK471" s="39"/>
    </row>
    <row r="472" customFormat="false" ht="15" hidden="false" customHeight="false" outlineLevel="0" collapsed="false">
      <c r="A472" s="39"/>
      <c r="B472" s="39"/>
      <c r="C472" s="39"/>
      <c r="D472" s="39"/>
      <c r="E472" s="39"/>
      <c r="F472" s="39"/>
      <c r="G472" s="40"/>
      <c r="H472" s="40"/>
      <c r="I472" s="40"/>
      <c r="J472" s="41" t="str">
        <f aca="false">IF(OR($B472="",$H472=""),"",IF($H472&gt;DateRef,0,YEARFRAC($H472,DateRef,1)))</f>
        <v/>
      </c>
      <c r="K472" s="42" t="str">
        <f aca="false">IF(OR($B472="",$H472=""),"",IF(EDATE($H472,12)&lt;=DateRef,"Plus d'un an","Moins d'un an"))</f>
        <v/>
      </c>
      <c r="L472" s="40"/>
      <c r="M472" s="43" t="str">
        <f aca="false">IF(OR($B472="",$A472=""),"",IF(SUMPRODUCT(MAX((Journal!$A$6:$A$1005=$A472)*Journal!$C$6:$C$1005))=0,"",SUMPRODUCT(MAX((Journal!$A$6:$A$1005=$A472)*Journal!$C$6:$C$1005))))</f>
        <v/>
      </c>
      <c r="N472" s="43" t="str">
        <f aca="false">IF($B472="","",IF(MAX($L472,$M472)=0,"",MAX($L472,$M472)))</f>
        <v/>
      </c>
      <c r="O472" s="44" t="str">
        <f aca="false">IF(OR($B472="",$H472=""),"",IF($N472="",IF(EDATE($H472,DelaiPremierEPP)&gt;DateRef,"1er EPP (1re année)","Aucun entretien renseigné"),IF(AND(ReglesTransitoires="Oui",EDATE($N472,AnciennePeriodiciteEP*12)&lt;DateVigueur),"Retard antérieur à la réforme","Périodicité "&amp;PeriodiciteEPP&amp;" ans")))</f>
        <v/>
      </c>
      <c r="P472" s="43" t="str">
        <f aca="false">IF(OR($B472="",$H472=""),"",IF($N472="",EDATE($H472,DelaiPremierEPP),IF(AND(ReglesTransitoires="Oui",EDATE($N472,AnciennePeriodiciteEP*12)&lt;DateVigueur),EDATE($N472,AnciennePeriodiciteEP*12),EDATE($N472,PeriodiciteEPP*12))))</f>
        <v/>
      </c>
      <c r="Q472" s="40"/>
      <c r="R472" s="45" t="str">
        <f aca="false">IF(OR($P472="",AND($I472&lt;&gt;"",$I472&lt;=DateRef)),"",$P472-DateRef)</f>
        <v/>
      </c>
      <c r="S472" s="42" t="str">
        <f aca="false">IF($B472="","",IF(AND($I472&lt;&gt;"",$I472&lt;=DateRef),"Sorti",IF($H472="","À compléter",IF(AND($Q472&lt;&gt;"",$Q472&gt;=DateRef,$Q472&lt;=$P472),"Planifié",IF($R472&lt;0,"En retard",IF($R472&lt;=SeuilAlerteEPP,"À planifier","À jour"))))))</f>
        <v/>
      </c>
      <c r="T472" s="46" t="str">
        <f aca="false">IF(OR($B472="",$S472="Sorti"),"",MID(IF($H472=""," | Date d'embauche manquante","")&amp;IF(AND($K472="Plus d'un an",$N472="")," | Précédent entretien à renseigner (ancienneté &gt; 1 an)","")&amp;IF($O472="Retard antérieur à la réforme"," | Ancien délai de 2 ans expiré avant la réforme","")&amp;IF(AND($N472&lt;&gt;"",$H472&lt;&gt;"",$N472&lt;$H472)," | Entretien antérieur à l'embauche ?","")&amp;IF(AND($N472&lt;&gt;"",$N472&gt;DateRef)," | Entretien daté dans le futur ?","")&amp;IF(AND($Q472&lt;&gt;"",$P472&lt;&gt;"",$Q472&gt;$P472)," | Date prévue après l'échéance","")&amp;IF(AND($Q472&lt;&gt;"",$Q472&lt;DateRef,OR($N472="",$N472&lt;$Q472))," | Entretien prévu passé : le consigner au Journal","")&amp;IF(AND($G472&lt;&gt;"",$X472="",YEAR(DateRef)-YEAR($G472)&gt;=AgeMiCarriere-1,YEAR(DateRef)-YEAR($G472)&lt;=AgeMiCarriere+1)," | Visite de mi-carrière à vérifier",""),4,1000))</f>
        <v/>
      </c>
      <c r="U472" s="39"/>
      <c r="V472" s="40"/>
      <c r="W472" s="42" t="str">
        <f aca="false">IF(OR($B472="",$V472=""),"",IF(AND($I472&lt;&gt;"",$I472&lt;=DateRef),"",IF(AND($N472&lt;&gt;"",$N472&gt;=$V472),"Réalisé",IF(AND($N472&lt;&gt;"",$N472&gt;=EDATE($V472,-FenetreRetour)),"Dispensé (EPP récent)",IF($V472&gt;DateRef,"À prévoir à la reprise","À proposer (reprise passée)")))))</f>
        <v/>
      </c>
      <c r="X472" s="40"/>
      <c r="Y472" s="43" t="str">
        <f aca="false">IF(OR($B472="",$X472=""),"",EDATE($X472,DelaiMiCarriere))</f>
        <v/>
      </c>
      <c r="Z472" s="42" t="str">
        <f aca="false">IF(OR($B472="",$X472=""),"",IF(AND($I472&lt;&gt;"",$I472&lt;=DateRef),"",IF(AND($N472&lt;&gt;"",$N472&gt;=$X472),"Réalisé",IF($Y472&lt;DateRef,"En retard","À planifier"))))</f>
        <v/>
      </c>
      <c r="AA472" s="47" t="str">
        <f aca="false">IF(OR($B472="",$G472=""),"",IF($G472&gt;DateRef,"",DATEDIF($G472,DateRef,"y")))</f>
        <v/>
      </c>
      <c r="AB472" s="43" t="str">
        <f aca="false">IF(OR($B472="",$G472=""),"",EDATE($G472,AgeFinCarriere*12))</f>
        <v/>
      </c>
      <c r="AC472" s="42" t="str">
        <f aca="false">IF(OR($B472="",$G472="",$H472=""),"",IF(AND($I472&lt;&gt;"",$I472&lt;=DateRef),"",IF($AB472&lt;DateVigueur,"Non concerné",IF(AND($N472&lt;&gt;"",$N472&gt;=MAX(EDATE($AB472,-FenetreFinCarriere*12),DateVigueur),$N472&lt;=$AB472),"Réalisé",IF(DateRef&gt;$AB472,"Non réalisé",IF(AND($Q472&lt;&gt;"",$Q472&gt;=EDATE($AB472,-FenetreFinCarriere*12),$Q472&lt;=$AB472),"Planifié dans la fenêtre",IF(AND(MAX($P472,DateRef)&gt;=EDATE($AB472,-FenetreFinCarriere*12),MAX($P472,DateRef)&lt;=$AB472),"Prochain EPP dans la fenêtre",IF(MAX($P472,DateRef)&gt;$AB472,"À programmer avant 60 ans",""))))))))</f>
        <v/>
      </c>
      <c r="AD472" s="40"/>
      <c r="AE472" s="43" t="str">
        <f aca="false">IF(OR($B472="",$H472="",AND($I472&lt;&gt;"",$I472&lt;=DateRef)),"",MAX($H472,$AD472,IF($A472="",0,SUMPRODUCT(MAX((Journal!$A$6:$A$1005=$A472)*((Journal!$D$6:$D$1005=TypeEDL)+(Journal!$D$6:$D$1005=TypeBilan6))*Journal!$C$6:$C$1005)))))</f>
        <v/>
      </c>
      <c r="AF472" s="43" t="str">
        <f aca="false">IF($AE472="","",IF(AND(ReglesTransitoires="Oui",EDATE($AE472,AnciennePeriodiciteEDL*12)&lt;DateVigueur),EDATE($AE472,AnciennePeriodiciteEDL*12),EDATE($AE472,PeriodiciteEDL*12)))</f>
        <v/>
      </c>
      <c r="AG472" s="42" t="str">
        <f aca="false">IF($AF472="","",IF(AND($I472&lt;&gt;"",$I472&lt;=DateRef),"",IF($AF472&lt;DateRef,"En retard",IF($AF472-DateRef&lt;=SeuilAlerteEDL,"À prévoir","À jour"))))</f>
        <v/>
      </c>
      <c r="AH472" s="39"/>
      <c r="AI472" s="39"/>
      <c r="AJ472" s="42" t="str">
        <f aca="false">IF(OR($B472="",$H472=""),"",IF(AND($I472&lt;&gt;"",$I472&lt;=DateRef),"",IF(Effectif&lt;SeuilEffectif,"Non concerné (&lt; "&amp;SeuilEffectif&amp;" salariés)",IF($AH472="Oui","Pas de risque",IF(AND(OR($AI472="Non",$S472="En retard"),$AH472="Non"),"Risque abondement",IF(OR($AI472="Non",$S472="En retard"),"À vérifier (formation ?)",IF($AI472="Oui","Pas de risque","À compléter")))))))</f>
        <v/>
      </c>
      <c r="AK472" s="39"/>
    </row>
    <row r="473" customFormat="false" ht="15" hidden="false" customHeight="false" outlineLevel="0" collapsed="false">
      <c r="A473" s="39"/>
      <c r="B473" s="39"/>
      <c r="C473" s="39"/>
      <c r="D473" s="39"/>
      <c r="E473" s="39"/>
      <c r="F473" s="39"/>
      <c r="G473" s="40"/>
      <c r="H473" s="40"/>
      <c r="I473" s="40"/>
      <c r="J473" s="41" t="str">
        <f aca="false">IF(OR($B473="",$H473=""),"",IF($H473&gt;DateRef,0,YEARFRAC($H473,DateRef,1)))</f>
        <v/>
      </c>
      <c r="K473" s="42" t="str">
        <f aca="false">IF(OR($B473="",$H473=""),"",IF(EDATE($H473,12)&lt;=DateRef,"Plus d'un an","Moins d'un an"))</f>
        <v/>
      </c>
      <c r="L473" s="40"/>
      <c r="M473" s="43" t="str">
        <f aca="false">IF(OR($B473="",$A473=""),"",IF(SUMPRODUCT(MAX((Journal!$A$6:$A$1005=$A473)*Journal!$C$6:$C$1005))=0,"",SUMPRODUCT(MAX((Journal!$A$6:$A$1005=$A473)*Journal!$C$6:$C$1005))))</f>
        <v/>
      </c>
      <c r="N473" s="43" t="str">
        <f aca="false">IF($B473="","",IF(MAX($L473,$M473)=0,"",MAX($L473,$M473)))</f>
        <v/>
      </c>
      <c r="O473" s="44" t="str">
        <f aca="false">IF(OR($B473="",$H473=""),"",IF($N473="",IF(EDATE($H473,DelaiPremierEPP)&gt;DateRef,"1er EPP (1re année)","Aucun entretien renseigné"),IF(AND(ReglesTransitoires="Oui",EDATE($N473,AnciennePeriodiciteEP*12)&lt;DateVigueur),"Retard antérieur à la réforme","Périodicité "&amp;PeriodiciteEPP&amp;" ans")))</f>
        <v/>
      </c>
      <c r="P473" s="43" t="str">
        <f aca="false">IF(OR($B473="",$H473=""),"",IF($N473="",EDATE($H473,DelaiPremierEPP),IF(AND(ReglesTransitoires="Oui",EDATE($N473,AnciennePeriodiciteEP*12)&lt;DateVigueur),EDATE($N473,AnciennePeriodiciteEP*12),EDATE($N473,PeriodiciteEPP*12))))</f>
        <v/>
      </c>
      <c r="Q473" s="40"/>
      <c r="R473" s="45" t="str">
        <f aca="false">IF(OR($P473="",AND($I473&lt;&gt;"",$I473&lt;=DateRef)),"",$P473-DateRef)</f>
        <v/>
      </c>
      <c r="S473" s="42" t="str">
        <f aca="false">IF($B473="","",IF(AND($I473&lt;&gt;"",$I473&lt;=DateRef),"Sorti",IF($H473="","À compléter",IF(AND($Q473&lt;&gt;"",$Q473&gt;=DateRef,$Q473&lt;=$P473),"Planifié",IF($R473&lt;0,"En retard",IF($R473&lt;=SeuilAlerteEPP,"À planifier","À jour"))))))</f>
        <v/>
      </c>
      <c r="T473" s="46" t="str">
        <f aca="false">IF(OR($B473="",$S473="Sorti"),"",MID(IF($H473=""," | Date d'embauche manquante","")&amp;IF(AND($K473="Plus d'un an",$N473="")," | Précédent entretien à renseigner (ancienneté &gt; 1 an)","")&amp;IF($O473="Retard antérieur à la réforme"," | Ancien délai de 2 ans expiré avant la réforme","")&amp;IF(AND($N473&lt;&gt;"",$H473&lt;&gt;"",$N473&lt;$H473)," | Entretien antérieur à l'embauche ?","")&amp;IF(AND($N473&lt;&gt;"",$N473&gt;DateRef)," | Entretien daté dans le futur ?","")&amp;IF(AND($Q473&lt;&gt;"",$P473&lt;&gt;"",$Q473&gt;$P473)," | Date prévue après l'échéance","")&amp;IF(AND($Q473&lt;&gt;"",$Q473&lt;DateRef,OR($N473="",$N473&lt;$Q473))," | Entretien prévu passé : le consigner au Journal","")&amp;IF(AND($G473&lt;&gt;"",$X473="",YEAR(DateRef)-YEAR($G473)&gt;=AgeMiCarriere-1,YEAR(DateRef)-YEAR($G473)&lt;=AgeMiCarriere+1)," | Visite de mi-carrière à vérifier",""),4,1000))</f>
        <v/>
      </c>
      <c r="U473" s="39"/>
      <c r="V473" s="40"/>
      <c r="W473" s="42" t="str">
        <f aca="false">IF(OR($B473="",$V473=""),"",IF(AND($I473&lt;&gt;"",$I473&lt;=DateRef),"",IF(AND($N473&lt;&gt;"",$N473&gt;=$V473),"Réalisé",IF(AND($N473&lt;&gt;"",$N473&gt;=EDATE($V473,-FenetreRetour)),"Dispensé (EPP récent)",IF($V473&gt;DateRef,"À prévoir à la reprise","À proposer (reprise passée)")))))</f>
        <v/>
      </c>
      <c r="X473" s="40"/>
      <c r="Y473" s="43" t="str">
        <f aca="false">IF(OR($B473="",$X473=""),"",EDATE($X473,DelaiMiCarriere))</f>
        <v/>
      </c>
      <c r="Z473" s="42" t="str">
        <f aca="false">IF(OR($B473="",$X473=""),"",IF(AND($I473&lt;&gt;"",$I473&lt;=DateRef),"",IF(AND($N473&lt;&gt;"",$N473&gt;=$X473),"Réalisé",IF($Y473&lt;DateRef,"En retard","À planifier"))))</f>
        <v/>
      </c>
      <c r="AA473" s="47" t="str">
        <f aca="false">IF(OR($B473="",$G473=""),"",IF($G473&gt;DateRef,"",DATEDIF($G473,DateRef,"y")))</f>
        <v/>
      </c>
      <c r="AB473" s="43" t="str">
        <f aca="false">IF(OR($B473="",$G473=""),"",EDATE($G473,AgeFinCarriere*12))</f>
        <v/>
      </c>
      <c r="AC473" s="42" t="str">
        <f aca="false">IF(OR($B473="",$G473="",$H473=""),"",IF(AND($I473&lt;&gt;"",$I473&lt;=DateRef),"",IF($AB473&lt;DateVigueur,"Non concerné",IF(AND($N473&lt;&gt;"",$N473&gt;=MAX(EDATE($AB473,-FenetreFinCarriere*12),DateVigueur),$N473&lt;=$AB473),"Réalisé",IF(DateRef&gt;$AB473,"Non réalisé",IF(AND($Q473&lt;&gt;"",$Q473&gt;=EDATE($AB473,-FenetreFinCarriere*12),$Q473&lt;=$AB473),"Planifié dans la fenêtre",IF(AND(MAX($P473,DateRef)&gt;=EDATE($AB473,-FenetreFinCarriere*12),MAX($P473,DateRef)&lt;=$AB473),"Prochain EPP dans la fenêtre",IF(MAX($P473,DateRef)&gt;$AB473,"À programmer avant 60 ans",""))))))))</f>
        <v/>
      </c>
      <c r="AD473" s="40"/>
      <c r="AE473" s="43" t="str">
        <f aca="false">IF(OR($B473="",$H473="",AND($I473&lt;&gt;"",$I473&lt;=DateRef)),"",MAX($H473,$AD473,IF($A473="",0,SUMPRODUCT(MAX((Journal!$A$6:$A$1005=$A473)*((Journal!$D$6:$D$1005=TypeEDL)+(Journal!$D$6:$D$1005=TypeBilan6))*Journal!$C$6:$C$1005)))))</f>
        <v/>
      </c>
      <c r="AF473" s="43" t="str">
        <f aca="false">IF($AE473="","",IF(AND(ReglesTransitoires="Oui",EDATE($AE473,AnciennePeriodiciteEDL*12)&lt;DateVigueur),EDATE($AE473,AnciennePeriodiciteEDL*12),EDATE($AE473,PeriodiciteEDL*12)))</f>
        <v/>
      </c>
      <c r="AG473" s="42" t="str">
        <f aca="false">IF($AF473="","",IF(AND($I473&lt;&gt;"",$I473&lt;=DateRef),"",IF($AF473&lt;DateRef,"En retard",IF($AF473-DateRef&lt;=SeuilAlerteEDL,"À prévoir","À jour"))))</f>
        <v/>
      </c>
      <c r="AH473" s="39"/>
      <c r="AI473" s="39"/>
      <c r="AJ473" s="42" t="str">
        <f aca="false">IF(OR($B473="",$H473=""),"",IF(AND($I473&lt;&gt;"",$I473&lt;=DateRef),"",IF(Effectif&lt;SeuilEffectif,"Non concerné (&lt; "&amp;SeuilEffectif&amp;" salariés)",IF($AH473="Oui","Pas de risque",IF(AND(OR($AI473="Non",$S473="En retard"),$AH473="Non"),"Risque abondement",IF(OR($AI473="Non",$S473="En retard"),"À vérifier (formation ?)",IF($AI473="Oui","Pas de risque","À compléter")))))))</f>
        <v/>
      </c>
      <c r="AK473" s="39"/>
    </row>
    <row r="474" customFormat="false" ht="15" hidden="false" customHeight="false" outlineLevel="0" collapsed="false">
      <c r="A474" s="39"/>
      <c r="B474" s="39"/>
      <c r="C474" s="39"/>
      <c r="D474" s="39"/>
      <c r="E474" s="39"/>
      <c r="F474" s="39"/>
      <c r="G474" s="40"/>
      <c r="H474" s="40"/>
      <c r="I474" s="40"/>
      <c r="J474" s="41" t="str">
        <f aca="false">IF(OR($B474="",$H474=""),"",IF($H474&gt;DateRef,0,YEARFRAC($H474,DateRef,1)))</f>
        <v/>
      </c>
      <c r="K474" s="42" t="str">
        <f aca="false">IF(OR($B474="",$H474=""),"",IF(EDATE($H474,12)&lt;=DateRef,"Plus d'un an","Moins d'un an"))</f>
        <v/>
      </c>
      <c r="L474" s="40"/>
      <c r="M474" s="43" t="str">
        <f aca="false">IF(OR($B474="",$A474=""),"",IF(SUMPRODUCT(MAX((Journal!$A$6:$A$1005=$A474)*Journal!$C$6:$C$1005))=0,"",SUMPRODUCT(MAX((Journal!$A$6:$A$1005=$A474)*Journal!$C$6:$C$1005))))</f>
        <v/>
      </c>
      <c r="N474" s="43" t="str">
        <f aca="false">IF($B474="","",IF(MAX($L474,$M474)=0,"",MAX($L474,$M474)))</f>
        <v/>
      </c>
      <c r="O474" s="44" t="str">
        <f aca="false">IF(OR($B474="",$H474=""),"",IF($N474="",IF(EDATE($H474,DelaiPremierEPP)&gt;DateRef,"1er EPP (1re année)","Aucun entretien renseigné"),IF(AND(ReglesTransitoires="Oui",EDATE($N474,AnciennePeriodiciteEP*12)&lt;DateVigueur),"Retard antérieur à la réforme","Périodicité "&amp;PeriodiciteEPP&amp;" ans")))</f>
        <v/>
      </c>
      <c r="P474" s="43" t="str">
        <f aca="false">IF(OR($B474="",$H474=""),"",IF($N474="",EDATE($H474,DelaiPremierEPP),IF(AND(ReglesTransitoires="Oui",EDATE($N474,AnciennePeriodiciteEP*12)&lt;DateVigueur),EDATE($N474,AnciennePeriodiciteEP*12),EDATE($N474,PeriodiciteEPP*12))))</f>
        <v/>
      </c>
      <c r="Q474" s="40"/>
      <c r="R474" s="45" t="str">
        <f aca="false">IF(OR($P474="",AND($I474&lt;&gt;"",$I474&lt;=DateRef)),"",$P474-DateRef)</f>
        <v/>
      </c>
      <c r="S474" s="42" t="str">
        <f aca="false">IF($B474="","",IF(AND($I474&lt;&gt;"",$I474&lt;=DateRef),"Sorti",IF($H474="","À compléter",IF(AND($Q474&lt;&gt;"",$Q474&gt;=DateRef,$Q474&lt;=$P474),"Planifié",IF($R474&lt;0,"En retard",IF($R474&lt;=SeuilAlerteEPP,"À planifier","À jour"))))))</f>
        <v/>
      </c>
      <c r="T474" s="46" t="str">
        <f aca="false">IF(OR($B474="",$S474="Sorti"),"",MID(IF($H474=""," | Date d'embauche manquante","")&amp;IF(AND($K474="Plus d'un an",$N474="")," | Précédent entretien à renseigner (ancienneté &gt; 1 an)","")&amp;IF($O474="Retard antérieur à la réforme"," | Ancien délai de 2 ans expiré avant la réforme","")&amp;IF(AND($N474&lt;&gt;"",$H474&lt;&gt;"",$N474&lt;$H474)," | Entretien antérieur à l'embauche ?","")&amp;IF(AND($N474&lt;&gt;"",$N474&gt;DateRef)," | Entretien daté dans le futur ?","")&amp;IF(AND($Q474&lt;&gt;"",$P474&lt;&gt;"",$Q474&gt;$P474)," | Date prévue après l'échéance","")&amp;IF(AND($Q474&lt;&gt;"",$Q474&lt;DateRef,OR($N474="",$N474&lt;$Q474))," | Entretien prévu passé : le consigner au Journal","")&amp;IF(AND($G474&lt;&gt;"",$X474="",YEAR(DateRef)-YEAR($G474)&gt;=AgeMiCarriere-1,YEAR(DateRef)-YEAR($G474)&lt;=AgeMiCarriere+1)," | Visite de mi-carrière à vérifier",""),4,1000))</f>
        <v/>
      </c>
      <c r="U474" s="39"/>
      <c r="V474" s="40"/>
      <c r="W474" s="42" t="str">
        <f aca="false">IF(OR($B474="",$V474=""),"",IF(AND($I474&lt;&gt;"",$I474&lt;=DateRef),"",IF(AND($N474&lt;&gt;"",$N474&gt;=$V474),"Réalisé",IF(AND($N474&lt;&gt;"",$N474&gt;=EDATE($V474,-FenetreRetour)),"Dispensé (EPP récent)",IF($V474&gt;DateRef,"À prévoir à la reprise","À proposer (reprise passée)")))))</f>
        <v/>
      </c>
      <c r="X474" s="40"/>
      <c r="Y474" s="43" t="str">
        <f aca="false">IF(OR($B474="",$X474=""),"",EDATE($X474,DelaiMiCarriere))</f>
        <v/>
      </c>
      <c r="Z474" s="42" t="str">
        <f aca="false">IF(OR($B474="",$X474=""),"",IF(AND($I474&lt;&gt;"",$I474&lt;=DateRef),"",IF(AND($N474&lt;&gt;"",$N474&gt;=$X474),"Réalisé",IF($Y474&lt;DateRef,"En retard","À planifier"))))</f>
        <v/>
      </c>
      <c r="AA474" s="47" t="str">
        <f aca="false">IF(OR($B474="",$G474=""),"",IF($G474&gt;DateRef,"",DATEDIF($G474,DateRef,"y")))</f>
        <v/>
      </c>
      <c r="AB474" s="43" t="str">
        <f aca="false">IF(OR($B474="",$G474=""),"",EDATE($G474,AgeFinCarriere*12))</f>
        <v/>
      </c>
      <c r="AC474" s="42" t="str">
        <f aca="false">IF(OR($B474="",$G474="",$H474=""),"",IF(AND($I474&lt;&gt;"",$I474&lt;=DateRef),"",IF($AB474&lt;DateVigueur,"Non concerné",IF(AND($N474&lt;&gt;"",$N474&gt;=MAX(EDATE($AB474,-FenetreFinCarriere*12),DateVigueur),$N474&lt;=$AB474),"Réalisé",IF(DateRef&gt;$AB474,"Non réalisé",IF(AND($Q474&lt;&gt;"",$Q474&gt;=EDATE($AB474,-FenetreFinCarriere*12),$Q474&lt;=$AB474),"Planifié dans la fenêtre",IF(AND(MAX($P474,DateRef)&gt;=EDATE($AB474,-FenetreFinCarriere*12),MAX($P474,DateRef)&lt;=$AB474),"Prochain EPP dans la fenêtre",IF(MAX($P474,DateRef)&gt;$AB474,"À programmer avant 60 ans",""))))))))</f>
        <v/>
      </c>
      <c r="AD474" s="40"/>
      <c r="AE474" s="43" t="str">
        <f aca="false">IF(OR($B474="",$H474="",AND($I474&lt;&gt;"",$I474&lt;=DateRef)),"",MAX($H474,$AD474,IF($A474="",0,SUMPRODUCT(MAX((Journal!$A$6:$A$1005=$A474)*((Journal!$D$6:$D$1005=TypeEDL)+(Journal!$D$6:$D$1005=TypeBilan6))*Journal!$C$6:$C$1005)))))</f>
        <v/>
      </c>
      <c r="AF474" s="43" t="str">
        <f aca="false">IF($AE474="","",IF(AND(ReglesTransitoires="Oui",EDATE($AE474,AnciennePeriodiciteEDL*12)&lt;DateVigueur),EDATE($AE474,AnciennePeriodiciteEDL*12),EDATE($AE474,PeriodiciteEDL*12)))</f>
        <v/>
      </c>
      <c r="AG474" s="42" t="str">
        <f aca="false">IF($AF474="","",IF(AND($I474&lt;&gt;"",$I474&lt;=DateRef),"",IF($AF474&lt;DateRef,"En retard",IF($AF474-DateRef&lt;=SeuilAlerteEDL,"À prévoir","À jour"))))</f>
        <v/>
      </c>
      <c r="AH474" s="39"/>
      <c r="AI474" s="39"/>
      <c r="AJ474" s="42" t="str">
        <f aca="false">IF(OR($B474="",$H474=""),"",IF(AND($I474&lt;&gt;"",$I474&lt;=DateRef),"",IF(Effectif&lt;SeuilEffectif,"Non concerné (&lt; "&amp;SeuilEffectif&amp;" salariés)",IF($AH474="Oui","Pas de risque",IF(AND(OR($AI474="Non",$S474="En retard"),$AH474="Non"),"Risque abondement",IF(OR($AI474="Non",$S474="En retard"),"À vérifier (formation ?)",IF($AI474="Oui","Pas de risque","À compléter")))))))</f>
        <v/>
      </c>
      <c r="AK474" s="39"/>
    </row>
    <row r="475" customFormat="false" ht="15" hidden="false" customHeight="false" outlineLevel="0" collapsed="false">
      <c r="A475" s="39"/>
      <c r="B475" s="39"/>
      <c r="C475" s="39"/>
      <c r="D475" s="39"/>
      <c r="E475" s="39"/>
      <c r="F475" s="39"/>
      <c r="G475" s="40"/>
      <c r="H475" s="40"/>
      <c r="I475" s="40"/>
      <c r="J475" s="41" t="str">
        <f aca="false">IF(OR($B475="",$H475=""),"",IF($H475&gt;DateRef,0,YEARFRAC($H475,DateRef,1)))</f>
        <v/>
      </c>
      <c r="K475" s="42" t="str">
        <f aca="false">IF(OR($B475="",$H475=""),"",IF(EDATE($H475,12)&lt;=DateRef,"Plus d'un an","Moins d'un an"))</f>
        <v/>
      </c>
      <c r="L475" s="40"/>
      <c r="M475" s="43" t="str">
        <f aca="false">IF(OR($B475="",$A475=""),"",IF(SUMPRODUCT(MAX((Journal!$A$6:$A$1005=$A475)*Journal!$C$6:$C$1005))=0,"",SUMPRODUCT(MAX((Journal!$A$6:$A$1005=$A475)*Journal!$C$6:$C$1005))))</f>
        <v/>
      </c>
      <c r="N475" s="43" t="str">
        <f aca="false">IF($B475="","",IF(MAX($L475,$M475)=0,"",MAX($L475,$M475)))</f>
        <v/>
      </c>
      <c r="O475" s="44" t="str">
        <f aca="false">IF(OR($B475="",$H475=""),"",IF($N475="",IF(EDATE($H475,DelaiPremierEPP)&gt;DateRef,"1er EPP (1re année)","Aucun entretien renseigné"),IF(AND(ReglesTransitoires="Oui",EDATE($N475,AnciennePeriodiciteEP*12)&lt;DateVigueur),"Retard antérieur à la réforme","Périodicité "&amp;PeriodiciteEPP&amp;" ans")))</f>
        <v/>
      </c>
      <c r="P475" s="43" t="str">
        <f aca="false">IF(OR($B475="",$H475=""),"",IF($N475="",EDATE($H475,DelaiPremierEPP),IF(AND(ReglesTransitoires="Oui",EDATE($N475,AnciennePeriodiciteEP*12)&lt;DateVigueur),EDATE($N475,AnciennePeriodiciteEP*12),EDATE($N475,PeriodiciteEPP*12))))</f>
        <v/>
      </c>
      <c r="Q475" s="40"/>
      <c r="R475" s="45" t="str">
        <f aca="false">IF(OR($P475="",AND($I475&lt;&gt;"",$I475&lt;=DateRef)),"",$P475-DateRef)</f>
        <v/>
      </c>
      <c r="S475" s="42" t="str">
        <f aca="false">IF($B475="","",IF(AND($I475&lt;&gt;"",$I475&lt;=DateRef),"Sorti",IF($H475="","À compléter",IF(AND($Q475&lt;&gt;"",$Q475&gt;=DateRef,$Q475&lt;=$P475),"Planifié",IF($R475&lt;0,"En retard",IF($R475&lt;=SeuilAlerteEPP,"À planifier","À jour"))))))</f>
        <v/>
      </c>
      <c r="T475" s="46" t="str">
        <f aca="false">IF(OR($B475="",$S475="Sorti"),"",MID(IF($H475=""," | Date d'embauche manquante","")&amp;IF(AND($K475="Plus d'un an",$N475="")," | Précédent entretien à renseigner (ancienneté &gt; 1 an)","")&amp;IF($O475="Retard antérieur à la réforme"," | Ancien délai de 2 ans expiré avant la réforme","")&amp;IF(AND($N475&lt;&gt;"",$H475&lt;&gt;"",$N475&lt;$H475)," | Entretien antérieur à l'embauche ?","")&amp;IF(AND($N475&lt;&gt;"",$N475&gt;DateRef)," | Entretien daté dans le futur ?","")&amp;IF(AND($Q475&lt;&gt;"",$P475&lt;&gt;"",$Q475&gt;$P475)," | Date prévue après l'échéance","")&amp;IF(AND($Q475&lt;&gt;"",$Q475&lt;DateRef,OR($N475="",$N475&lt;$Q475))," | Entretien prévu passé : le consigner au Journal","")&amp;IF(AND($G475&lt;&gt;"",$X475="",YEAR(DateRef)-YEAR($G475)&gt;=AgeMiCarriere-1,YEAR(DateRef)-YEAR($G475)&lt;=AgeMiCarriere+1)," | Visite de mi-carrière à vérifier",""),4,1000))</f>
        <v/>
      </c>
      <c r="U475" s="39"/>
      <c r="V475" s="40"/>
      <c r="W475" s="42" t="str">
        <f aca="false">IF(OR($B475="",$V475=""),"",IF(AND($I475&lt;&gt;"",$I475&lt;=DateRef),"",IF(AND($N475&lt;&gt;"",$N475&gt;=$V475),"Réalisé",IF(AND($N475&lt;&gt;"",$N475&gt;=EDATE($V475,-FenetreRetour)),"Dispensé (EPP récent)",IF($V475&gt;DateRef,"À prévoir à la reprise","À proposer (reprise passée)")))))</f>
        <v/>
      </c>
      <c r="X475" s="40"/>
      <c r="Y475" s="43" t="str">
        <f aca="false">IF(OR($B475="",$X475=""),"",EDATE($X475,DelaiMiCarriere))</f>
        <v/>
      </c>
      <c r="Z475" s="42" t="str">
        <f aca="false">IF(OR($B475="",$X475=""),"",IF(AND($I475&lt;&gt;"",$I475&lt;=DateRef),"",IF(AND($N475&lt;&gt;"",$N475&gt;=$X475),"Réalisé",IF($Y475&lt;DateRef,"En retard","À planifier"))))</f>
        <v/>
      </c>
      <c r="AA475" s="47" t="str">
        <f aca="false">IF(OR($B475="",$G475=""),"",IF($G475&gt;DateRef,"",DATEDIF($G475,DateRef,"y")))</f>
        <v/>
      </c>
      <c r="AB475" s="43" t="str">
        <f aca="false">IF(OR($B475="",$G475=""),"",EDATE($G475,AgeFinCarriere*12))</f>
        <v/>
      </c>
      <c r="AC475" s="42" t="str">
        <f aca="false">IF(OR($B475="",$G475="",$H475=""),"",IF(AND($I475&lt;&gt;"",$I475&lt;=DateRef),"",IF($AB475&lt;DateVigueur,"Non concerné",IF(AND($N475&lt;&gt;"",$N475&gt;=MAX(EDATE($AB475,-FenetreFinCarriere*12),DateVigueur),$N475&lt;=$AB475),"Réalisé",IF(DateRef&gt;$AB475,"Non réalisé",IF(AND($Q475&lt;&gt;"",$Q475&gt;=EDATE($AB475,-FenetreFinCarriere*12),$Q475&lt;=$AB475),"Planifié dans la fenêtre",IF(AND(MAX($P475,DateRef)&gt;=EDATE($AB475,-FenetreFinCarriere*12),MAX($P475,DateRef)&lt;=$AB475),"Prochain EPP dans la fenêtre",IF(MAX($P475,DateRef)&gt;$AB475,"À programmer avant 60 ans",""))))))))</f>
        <v/>
      </c>
      <c r="AD475" s="40"/>
      <c r="AE475" s="43" t="str">
        <f aca="false">IF(OR($B475="",$H475="",AND($I475&lt;&gt;"",$I475&lt;=DateRef)),"",MAX($H475,$AD475,IF($A475="",0,SUMPRODUCT(MAX((Journal!$A$6:$A$1005=$A475)*((Journal!$D$6:$D$1005=TypeEDL)+(Journal!$D$6:$D$1005=TypeBilan6))*Journal!$C$6:$C$1005)))))</f>
        <v/>
      </c>
      <c r="AF475" s="43" t="str">
        <f aca="false">IF($AE475="","",IF(AND(ReglesTransitoires="Oui",EDATE($AE475,AnciennePeriodiciteEDL*12)&lt;DateVigueur),EDATE($AE475,AnciennePeriodiciteEDL*12),EDATE($AE475,PeriodiciteEDL*12)))</f>
        <v/>
      </c>
      <c r="AG475" s="42" t="str">
        <f aca="false">IF($AF475="","",IF(AND($I475&lt;&gt;"",$I475&lt;=DateRef),"",IF($AF475&lt;DateRef,"En retard",IF($AF475-DateRef&lt;=SeuilAlerteEDL,"À prévoir","À jour"))))</f>
        <v/>
      </c>
      <c r="AH475" s="39"/>
      <c r="AI475" s="39"/>
      <c r="AJ475" s="42" t="str">
        <f aca="false">IF(OR($B475="",$H475=""),"",IF(AND($I475&lt;&gt;"",$I475&lt;=DateRef),"",IF(Effectif&lt;SeuilEffectif,"Non concerné (&lt; "&amp;SeuilEffectif&amp;" salariés)",IF($AH475="Oui","Pas de risque",IF(AND(OR($AI475="Non",$S475="En retard"),$AH475="Non"),"Risque abondement",IF(OR($AI475="Non",$S475="En retard"),"À vérifier (formation ?)",IF($AI475="Oui","Pas de risque","À compléter")))))))</f>
        <v/>
      </c>
      <c r="AK475" s="39"/>
    </row>
    <row r="476" customFormat="false" ht="15" hidden="false" customHeight="false" outlineLevel="0" collapsed="false">
      <c r="A476" s="39"/>
      <c r="B476" s="39"/>
      <c r="C476" s="39"/>
      <c r="D476" s="39"/>
      <c r="E476" s="39"/>
      <c r="F476" s="39"/>
      <c r="G476" s="40"/>
      <c r="H476" s="40"/>
      <c r="I476" s="40"/>
      <c r="J476" s="41" t="str">
        <f aca="false">IF(OR($B476="",$H476=""),"",IF($H476&gt;DateRef,0,YEARFRAC($H476,DateRef,1)))</f>
        <v/>
      </c>
      <c r="K476" s="42" t="str">
        <f aca="false">IF(OR($B476="",$H476=""),"",IF(EDATE($H476,12)&lt;=DateRef,"Plus d'un an","Moins d'un an"))</f>
        <v/>
      </c>
      <c r="L476" s="40"/>
      <c r="M476" s="43" t="str">
        <f aca="false">IF(OR($B476="",$A476=""),"",IF(SUMPRODUCT(MAX((Journal!$A$6:$A$1005=$A476)*Journal!$C$6:$C$1005))=0,"",SUMPRODUCT(MAX((Journal!$A$6:$A$1005=$A476)*Journal!$C$6:$C$1005))))</f>
        <v/>
      </c>
      <c r="N476" s="43" t="str">
        <f aca="false">IF($B476="","",IF(MAX($L476,$M476)=0,"",MAX($L476,$M476)))</f>
        <v/>
      </c>
      <c r="O476" s="44" t="str">
        <f aca="false">IF(OR($B476="",$H476=""),"",IF($N476="",IF(EDATE($H476,DelaiPremierEPP)&gt;DateRef,"1er EPP (1re année)","Aucun entretien renseigné"),IF(AND(ReglesTransitoires="Oui",EDATE($N476,AnciennePeriodiciteEP*12)&lt;DateVigueur),"Retard antérieur à la réforme","Périodicité "&amp;PeriodiciteEPP&amp;" ans")))</f>
        <v/>
      </c>
      <c r="P476" s="43" t="str">
        <f aca="false">IF(OR($B476="",$H476=""),"",IF($N476="",EDATE($H476,DelaiPremierEPP),IF(AND(ReglesTransitoires="Oui",EDATE($N476,AnciennePeriodiciteEP*12)&lt;DateVigueur),EDATE($N476,AnciennePeriodiciteEP*12),EDATE($N476,PeriodiciteEPP*12))))</f>
        <v/>
      </c>
      <c r="Q476" s="40"/>
      <c r="R476" s="45" t="str">
        <f aca="false">IF(OR($P476="",AND($I476&lt;&gt;"",$I476&lt;=DateRef)),"",$P476-DateRef)</f>
        <v/>
      </c>
      <c r="S476" s="42" t="str">
        <f aca="false">IF($B476="","",IF(AND($I476&lt;&gt;"",$I476&lt;=DateRef),"Sorti",IF($H476="","À compléter",IF(AND($Q476&lt;&gt;"",$Q476&gt;=DateRef,$Q476&lt;=$P476),"Planifié",IF($R476&lt;0,"En retard",IF($R476&lt;=SeuilAlerteEPP,"À planifier","À jour"))))))</f>
        <v/>
      </c>
      <c r="T476" s="46" t="str">
        <f aca="false">IF(OR($B476="",$S476="Sorti"),"",MID(IF($H476=""," | Date d'embauche manquante","")&amp;IF(AND($K476="Plus d'un an",$N476="")," | Précédent entretien à renseigner (ancienneté &gt; 1 an)","")&amp;IF($O476="Retard antérieur à la réforme"," | Ancien délai de 2 ans expiré avant la réforme","")&amp;IF(AND($N476&lt;&gt;"",$H476&lt;&gt;"",$N476&lt;$H476)," | Entretien antérieur à l'embauche ?","")&amp;IF(AND($N476&lt;&gt;"",$N476&gt;DateRef)," | Entretien daté dans le futur ?","")&amp;IF(AND($Q476&lt;&gt;"",$P476&lt;&gt;"",$Q476&gt;$P476)," | Date prévue après l'échéance","")&amp;IF(AND($Q476&lt;&gt;"",$Q476&lt;DateRef,OR($N476="",$N476&lt;$Q476))," | Entretien prévu passé : le consigner au Journal","")&amp;IF(AND($G476&lt;&gt;"",$X476="",YEAR(DateRef)-YEAR($G476)&gt;=AgeMiCarriere-1,YEAR(DateRef)-YEAR($G476)&lt;=AgeMiCarriere+1)," | Visite de mi-carrière à vérifier",""),4,1000))</f>
        <v/>
      </c>
      <c r="U476" s="39"/>
      <c r="V476" s="40"/>
      <c r="W476" s="42" t="str">
        <f aca="false">IF(OR($B476="",$V476=""),"",IF(AND($I476&lt;&gt;"",$I476&lt;=DateRef),"",IF(AND($N476&lt;&gt;"",$N476&gt;=$V476),"Réalisé",IF(AND($N476&lt;&gt;"",$N476&gt;=EDATE($V476,-FenetreRetour)),"Dispensé (EPP récent)",IF($V476&gt;DateRef,"À prévoir à la reprise","À proposer (reprise passée)")))))</f>
        <v/>
      </c>
      <c r="X476" s="40"/>
      <c r="Y476" s="43" t="str">
        <f aca="false">IF(OR($B476="",$X476=""),"",EDATE($X476,DelaiMiCarriere))</f>
        <v/>
      </c>
      <c r="Z476" s="42" t="str">
        <f aca="false">IF(OR($B476="",$X476=""),"",IF(AND($I476&lt;&gt;"",$I476&lt;=DateRef),"",IF(AND($N476&lt;&gt;"",$N476&gt;=$X476),"Réalisé",IF($Y476&lt;DateRef,"En retard","À planifier"))))</f>
        <v/>
      </c>
      <c r="AA476" s="47" t="str">
        <f aca="false">IF(OR($B476="",$G476=""),"",IF($G476&gt;DateRef,"",DATEDIF($G476,DateRef,"y")))</f>
        <v/>
      </c>
      <c r="AB476" s="43" t="str">
        <f aca="false">IF(OR($B476="",$G476=""),"",EDATE($G476,AgeFinCarriere*12))</f>
        <v/>
      </c>
      <c r="AC476" s="42" t="str">
        <f aca="false">IF(OR($B476="",$G476="",$H476=""),"",IF(AND($I476&lt;&gt;"",$I476&lt;=DateRef),"",IF($AB476&lt;DateVigueur,"Non concerné",IF(AND($N476&lt;&gt;"",$N476&gt;=MAX(EDATE($AB476,-FenetreFinCarriere*12),DateVigueur),$N476&lt;=$AB476),"Réalisé",IF(DateRef&gt;$AB476,"Non réalisé",IF(AND($Q476&lt;&gt;"",$Q476&gt;=EDATE($AB476,-FenetreFinCarriere*12),$Q476&lt;=$AB476),"Planifié dans la fenêtre",IF(AND(MAX($P476,DateRef)&gt;=EDATE($AB476,-FenetreFinCarriere*12),MAX($P476,DateRef)&lt;=$AB476),"Prochain EPP dans la fenêtre",IF(MAX($P476,DateRef)&gt;$AB476,"À programmer avant 60 ans",""))))))))</f>
        <v/>
      </c>
      <c r="AD476" s="40"/>
      <c r="AE476" s="43" t="str">
        <f aca="false">IF(OR($B476="",$H476="",AND($I476&lt;&gt;"",$I476&lt;=DateRef)),"",MAX($H476,$AD476,IF($A476="",0,SUMPRODUCT(MAX((Journal!$A$6:$A$1005=$A476)*((Journal!$D$6:$D$1005=TypeEDL)+(Journal!$D$6:$D$1005=TypeBilan6))*Journal!$C$6:$C$1005)))))</f>
        <v/>
      </c>
      <c r="AF476" s="43" t="str">
        <f aca="false">IF($AE476="","",IF(AND(ReglesTransitoires="Oui",EDATE($AE476,AnciennePeriodiciteEDL*12)&lt;DateVigueur),EDATE($AE476,AnciennePeriodiciteEDL*12),EDATE($AE476,PeriodiciteEDL*12)))</f>
        <v/>
      </c>
      <c r="AG476" s="42" t="str">
        <f aca="false">IF($AF476="","",IF(AND($I476&lt;&gt;"",$I476&lt;=DateRef),"",IF($AF476&lt;DateRef,"En retard",IF($AF476-DateRef&lt;=SeuilAlerteEDL,"À prévoir","À jour"))))</f>
        <v/>
      </c>
      <c r="AH476" s="39"/>
      <c r="AI476" s="39"/>
      <c r="AJ476" s="42" t="str">
        <f aca="false">IF(OR($B476="",$H476=""),"",IF(AND($I476&lt;&gt;"",$I476&lt;=DateRef),"",IF(Effectif&lt;SeuilEffectif,"Non concerné (&lt; "&amp;SeuilEffectif&amp;" salariés)",IF($AH476="Oui","Pas de risque",IF(AND(OR($AI476="Non",$S476="En retard"),$AH476="Non"),"Risque abondement",IF(OR($AI476="Non",$S476="En retard"),"À vérifier (formation ?)",IF($AI476="Oui","Pas de risque","À compléter")))))))</f>
        <v/>
      </c>
      <c r="AK476" s="39"/>
    </row>
    <row r="477" customFormat="false" ht="15" hidden="false" customHeight="false" outlineLevel="0" collapsed="false">
      <c r="A477" s="39"/>
      <c r="B477" s="39"/>
      <c r="C477" s="39"/>
      <c r="D477" s="39"/>
      <c r="E477" s="39"/>
      <c r="F477" s="39"/>
      <c r="G477" s="40"/>
      <c r="H477" s="40"/>
      <c r="I477" s="40"/>
      <c r="J477" s="41" t="str">
        <f aca="false">IF(OR($B477="",$H477=""),"",IF($H477&gt;DateRef,0,YEARFRAC($H477,DateRef,1)))</f>
        <v/>
      </c>
      <c r="K477" s="42" t="str">
        <f aca="false">IF(OR($B477="",$H477=""),"",IF(EDATE($H477,12)&lt;=DateRef,"Plus d'un an","Moins d'un an"))</f>
        <v/>
      </c>
      <c r="L477" s="40"/>
      <c r="M477" s="43" t="str">
        <f aca="false">IF(OR($B477="",$A477=""),"",IF(SUMPRODUCT(MAX((Journal!$A$6:$A$1005=$A477)*Journal!$C$6:$C$1005))=0,"",SUMPRODUCT(MAX((Journal!$A$6:$A$1005=$A477)*Journal!$C$6:$C$1005))))</f>
        <v/>
      </c>
      <c r="N477" s="43" t="str">
        <f aca="false">IF($B477="","",IF(MAX($L477,$M477)=0,"",MAX($L477,$M477)))</f>
        <v/>
      </c>
      <c r="O477" s="44" t="str">
        <f aca="false">IF(OR($B477="",$H477=""),"",IF($N477="",IF(EDATE($H477,DelaiPremierEPP)&gt;DateRef,"1er EPP (1re année)","Aucun entretien renseigné"),IF(AND(ReglesTransitoires="Oui",EDATE($N477,AnciennePeriodiciteEP*12)&lt;DateVigueur),"Retard antérieur à la réforme","Périodicité "&amp;PeriodiciteEPP&amp;" ans")))</f>
        <v/>
      </c>
      <c r="P477" s="43" t="str">
        <f aca="false">IF(OR($B477="",$H477=""),"",IF($N477="",EDATE($H477,DelaiPremierEPP),IF(AND(ReglesTransitoires="Oui",EDATE($N477,AnciennePeriodiciteEP*12)&lt;DateVigueur),EDATE($N477,AnciennePeriodiciteEP*12),EDATE($N477,PeriodiciteEPP*12))))</f>
        <v/>
      </c>
      <c r="Q477" s="40"/>
      <c r="R477" s="45" t="str">
        <f aca="false">IF(OR($P477="",AND($I477&lt;&gt;"",$I477&lt;=DateRef)),"",$P477-DateRef)</f>
        <v/>
      </c>
      <c r="S477" s="42" t="str">
        <f aca="false">IF($B477="","",IF(AND($I477&lt;&gt;"",$I477&lt;=DateRef),"Sorti",IF($H477="","À compléter",IF(AND($Q477&lt;&gt;"",$Q477&gt;=DateRef,$Q477&lt;=$P477),"Planifié",IF($R477&lt;0,"En retard",IF($R477&lt;=SeuilAlerteEPP,"À planifier","À jour"))))))</f>
        <v/>
      </c>
      <c r="T477" s="46" t="str">
        <f aca="false">IF(OR($B477="",$S477="Sorti"),"",MID(IF($H477=""," | Date d'embauche manquante","")&amp;IF(AND($K477="Plus d'un an",$N477="")," | Précédent entretien à renseigner (ancienneté &gt; 1 an)","")&amp;IF($O477="Retard antérieur à la réforme"," | Ancien délai de 2 ans expiré avant la réforme","")&amp;IF(AND($N477&lt;&gt;"",$H477&lt;&gt;"",$N477&lt;$H477)," | Entretien antérieur à l'embauche ?","")&amp;IF(AND($N477&lt;&gt;"",$N477&gt;DateRef)," | Entretien daté dans le futur ?","")&amp;IF(AND($Q477&lt;&gt;"",$P477&lt;&gt;"",$Q477&gt;$P477)," | Date prévue après l'échéance","")&amp;IF(AND($Q477&lt;&gt;"",$Q477&lt;DateRef,OR($N477="",$N477&lt;$Q477))," | Entretien prévu passé : le consigner au Journal","")&amp;IF(AND($G477&lt;&gt;"",$X477="",YEAR(DateRef)-YEAR($G477)&gt;=AgeMiCarriere-1,YEAR(DateRef)-YEAR($G477)&lt;=AgeMiCarriere+1)," | Visite de mi-carrière à vérifier",""),4,1000))</f>
        <v/>
      </c>
      <c r="U477" s="39"/>
      <c r="V477" s="40"/>
      <c r="W477" s="42" t="str">
        <f aca="false">IF(OR($B477="",$V477=""),"",IF(AND($I477&lt;&gt;"",$I477&lt;=DateRef),"",IF(AND($N477&lt;&gt;"",$N477&gt;=$V477),"Réalisé",IF(AND($N477&lt;&gt;"",$N477&gt;=EDATE($V477,-FenetreRetour)),"Dispensé (EPP récent)",IF($V477&gt;DateRef,"À prévoir à la reprise","À proposer (reprise passée)")))))</f>
        <v/>
      </c>
      <c r="X477" s="40"/>
      <c r="Y477" s="43" t="str">
        <f aca="false">IF(OR($B477="",$X477=""),"",EDATE($X477,DelaiMiCarriere))</f>
        <v/>
      </c>
      <c r="Z477" s="42" t="str">
        <f aca="false">IF(OR($B477="",$X477=""),"",IF(AND($I477&lt;&gt;"",$I477&lt;=DateRef),"",IF(AND($N477&lt;&gt;"",$N477&gt;=$X477),"Réalisé",IF($Y477&lt;DateRef,"En retard","À planifier"))))</f>
        <v/>
      </c>
      <c r="AA477" s="47" t="str">
        <f aca="false">IF(OR($B477="",$G477=""),"",IF($G477&gt;DateRef,"",DATEDIF($G477,DateRef,"y")))</f>
        <v/>
      </c>
      <c r="AB477" s="43" t="str">
        <f aca="false">IF(OR($B477="",$G477=""),"",EDATE($G477,AgeFinCarriere*12))</f>
        <v/>
      </c>
      <c r="AC477" s="42" t="str">
        <f aca="false">IF(OR($B477="",$G477="",$H477=""),"",IF(AND($I477&lt;&gt;"",$I477&lt;=DateRef),"",IF($AB477&lt;DateVigueur,"Non concerné",IF(AND($N477&lt;&gt;"",$N477&gt;=MAX(EDATE($AB477,-FenetreFinCarriere*12),DateVigueur),$N477&lt;=$AB477),"Réalisé",IF(DateRef&gt;$AB477,"Non réalisé",IF(AND($Q477&lt;&gt;"",$Q477&gt;=EDATE($AB477,-FenetreFinCarriere*12),$Q477&lt;=$AB477),"Planifié dans la fenêtre",IF(AND(MAX($P477,DateRef)&gt;=EDATE($AB477,-FenetreFinCarriere*12),MAX($P477,DateRef)&lt;=$AB477),"Prochain EPP dans la fenêtre",IF(MAX($P477,DateRef)&gt;$AB477,"À programmer avant 60 ans",""))))))))</f>
        <v/>
      </c>
      <c r="AD477" s="40"/>
      <c r="AE477" s="43" t="str">
        <f aca="false">IF(OR($B477="",$H477="",AND($I477&lt;&gt;"",$I477&lt;=DateRef)),"",MAX($H477,$AD477,IF($A477="",0,SUMPRODUCT(MAX((Journal!$A$6:$A$1005=$A477)*((Journal!$D$6:$D$1005=TypeEDL)+(Journal!$D$6:$D$1005=TypeBilan6))*Journal!$C$6:$C$1005)))))</f>
        <v/>
      </c>
      <c r="AF477" s="43" t="str">
        <f aca="false">IF($AE477="","",IF(AND(ReglesTransitoires="Oui",EDATE($AE477,AnciennePeriodiciteEDL*12)&lt;DateVigueur),EDATE($AE477,AnciennePeriodiciteEDL*12),EDATE($AE477,PeriodiciteEDL*12)))</f>
        <v/>
      </c>
      <c r="AG477" s="42" t="str">
        <f aca="false">IF($AF477="","",IF(AND($I477&lt;&gt;"",$I477&lt;=DateRef),"",IF($AF477&lt;DateRef,"En retard",IF($AF477-DateRef&lt;=SeuilAlerteEDL,"À prévoir","À jour"))))</f>
        <v/>
      </c>
      <c r="AH477" s="39"/>
      <c r="AI477" s="39"/>
      <c r="AJ477" s="42" t="str">
        <f aca="false">IF(OR($B477="",$H477=""),"",IF(AND($I477&lt;&gt;"",$I477&lt;=DateRef),"",IF(Effectif&lt;SeuilEffectif,"Non concerné (&lt; "&amp;SeuilEffectif&amp;" salariés)",IF($AH477="Oui","Pas de risque",IF(AND(OR($AI477="Non",$S477="En retard"),$AH477="Non"),"Risque abondement",IF(OR($AI477="Non",$S477="En retard"),"À vérifier (formation ?)",IF($AI477="Oui","Pas de risque","À compléter")))))))</f>
        <v/>
      </c>
      <c r="AK477" s="39"/>
    </row>
    <row r="478" customFormat="false" ht="15" hidden="false" customHeight="false" outlineLevel="0" collapsed="false">
      <c r="A478" s="39"/>
      <c r="B478" s="39"/>
      <c r="C478" s="39"/>
      <c r="D478" s="39"/>
      <c r="E478" s="39"/>
      <c r="F478" s="39"/>
      <c r="G478" s="40"/>
      <c r="H478" s="40"/>
      <c r="I478" s="40"/>
      <c r="J478" s="41" t="str">
        <f aca="false">IF(OR($B478="",$H478=""),"",IF($H478&gt;DateRef,0,YEARFRAC($H478,DateRef,1)))</f>
        <v/>
      </c>
      <c r="K478" s="42" t="str">
        <f aca="false">IF(OR($B478="",$H478=""),"",IF(EDATE($H478,12)&lt;=DateRef,"Plus d'un an","Moins d'un an"))</f>
        <v/>
      </c>
      <c r="L478" s="40"/>
      <c r="M478" s="43" t="str">
        <f aca="false">IF(OR($B478="",$A478=""),"",IF(SUMPRODUCT(MAX((Journal!$A$6:$A$1005=$A478)*Journal!$C$6:$C$1005))=0,"",SUMPRODUCT(MAX((Journal!$A$6:$A$1005=$A478)*Journal!$C$6:$C$1005))))</f>
        <v/>
      </c>
      <c r="N478" s="43" t="str">
        <f aca="false">IF($B478="","",IF(MAX($L478,$M478)=0,"",MAX($L478,$M478)))</f>
        <v/>
      </c>
      <c r="O478" s="44" t="str">
        <f aca="false">IF(OR($B478="",$H478=""),"",IF($N478="",IF(EDATE($H478,DelaiPremierEPP)&gt;DateRef,"1er EPP (1re année)","Aucun entretien renseigné"),IF(AND(ReglesTransitoires="Oui",EDATE($N478,AnciennePeriodiciteEP*12)&lt;DateVigueur),"Retard antérieur à la réforme","Périodicité "&amp;PeriodiciteEPP&amp;" ans")))</f>
        <v/>
      </c>
      <c r="P478" s="43" t="str">
        <f aca="false">IF(OR($B478="",$H478=""),"",IF($N478="",EDATE($H478,DelaiPremierEPP),IF(AND(ReglesTransitoires="Oui",EDATE($N478,AnciennePeriodiciteEP*12)&lt;DateVigueur),EDATE($N478,AnciennePeriodiciteEP*12),EDATE($N478,PeriodiciteEPP*12))))</f>
        <v/>
      </c>
      <c r="Q478" s="40"/>
      <c r="R478" s="45" t="str">
        <f aca="false">IF(OR($P478="",AND($I478&lt;&gt;"",$I478&lt;=DateRef)),"",$P478-DateRef)</f>
        <v/>
      </c>
      <c r="S478" s="42" t="str">
        <f aca="false">IF($B478="","",IF(AND($I478&lt;&gt;"",$I478&lt;=DateRef),"Sorti",IF($H478="","À compléter",IF(AND($Q478&lt;&gt;"",$Q478&gt;=DateRef,$Q478&lt;=$P478),"Planifié",IF($R478&lt;0,"En retard",IF($R478&lt;=SeuilAlerteEPP,"À planifier","À jour"))))))</f>
        <v/>
      </c>
      <c r="T478" s="46" t="str">
        <f aca="false">IF(OR($B478="",$S478="Sorti"),"",MID(IF($H478=""," | Date d'embauche manquante","")&amp;IF(AND($K478="Plus d'un an",$N478="")," | Précédent entretien à renseigner (ancienneté &gt; 1 an)","")&amp;IF($O478="Retard antérieur à la réforme"," | Ancien délai de 2 ans expiré avant la réforme","")&amp;IF(AND($N478&lt;&gt;"",$H478&lt;&gt;"",$N478&lt;$H478)," | Entretien antérieur à l'embauche ?","")&amp;IF(AND($N478&lt;&gt;"",$N478&gt;DateRef)," | Entretien daté dans le futur ?","")&amp;IF(AND($Q478&lt;&gt;"",$P478&lt;&gt;"",$Q478&gt;$P478)," | Date prévue après l'échéance","")&amp;IF(AND($Q478&lt;&gt;"",$Q478&lt;DateRef,OR($N478="",$N478&lt;$Q478))," | Entretien prévu passé : le consigner au Journal","")&amp;IF(AND($G478&lt;&gt;"",$X478="",YEAR(DateRef)-YEAR($G478)&gt;=AgeMiCarriere-1,YEAR(DateRef)-YEAR($G478)&lt;=AgeMiCarriere+1)," | Visite de mi-carrière à vérifier",""),4,1000))</f>
        <v/>
      </c>
      <c r="U478" s="39"/>
      <c r="V478" s="40"/>
      <c r="W478" s="42" t="str">
        <f aca="false">IF(OR($B478="",$V478=""),"",IF(AND($I478&lt;&gt;"",$I478&lt;=DateRef),"",IF(AND($N478&lt;&gt;"",$N478&gt;=$V478),"Réalisé",IF(AND($N478&lt;&gt;"",$N478&gt;=EDATE($V478,-FenetreRetour)),"Dispensé (EPP récent)",IF($V478&gt;DateRef,"À prévoir à la reprise","À proposer (reprise passée)")))))</f>
        <v/>
      </c>
      <c r="X478" s="40"/>
      <c r="Y478" s="43" t="str">
        <f aca="false">IF(OR($B478="",$X478=""),"",EDATE($X478,DelaiMiCarriere))</f>
        <v/>
      </c>
      <c r="Z478" s="42" t="str">
        <f aca="false">IF(OR($B478="",$X478=""),"",IF(AND($I478&lt;&gt;"",$I478&lt;=DateRef),"",IF(AND($N478&lt;&gt;"",$N478&gt;=$X478),"Réalisé",IF($Y478&lt;DateRef,"En retard","À planifier"))))</f>
        <v/>
      </c>
      <c r="AA478" s="47" t="str">
        <f aca="false">IF(OR($B478="",$G478=""),"",IF($G478&gt;DateRef,"",DATEDIF($G478,DateRef,"y")))</f>
        <v/>
      </c>
      <c r="AB478" s="43" t="str">
        <f aca="false">IF(OR($B478="",$G478=""),"",EDATE($G478,AgeFinCarriere*12))</f>
        <v/>
      </c>
      <c r="AC478" s="42" t="str">
        <f aca="false">IF(OR($B478="",$G478="",$H478=""),"",IF(AND($I478&lt;&gt;"",$I478&lt;=DateRef),"",IF($AB478&lt;DateVigueur,"Non concerné",IF(AND($N478&lt;&gt;"",$N478&gt;=MAX(EDATE($AB478,-FenetreFinCarriere*12),DateVigueur),$N478&lt;=$AB478),"Réalisé",IF(DateRef&gt;$AB478,"Non réalisé",IF(AND($Q478&lt;&gt;"",$Q478&gt;=EDATE($AB478,-FenetreFinCarriere*12),$Q478&lt;=$AB478),"Planifié dans la fenêtre",IF(AND(MAX($P478,DateRef)&gt;=EDATE($AB478,-FenetreFinCarriere*12),MAX($P478,DateRef)&lt;=$AB478),"Prochain EPP dans la fenêtre",IF(MAX($P478,DateRef)&gt;$AB478,"À programmer avant 60 ans",""))))))))</f>
        <v/>
      </c>
      <c r="AD478" s="40"/>
      <c r="AE478" s="43" t="str">
        <f aca="false">IF(OR($B478="",$H478="",AND($I478&lt;&gt;"",$I478&lt;=DateRef)),"",MAX($H478,$AD478,IF($A478="",0,SUMPRODUCT(MAX((Journal!$A$6:$A$1005=$A478)*((Journal!$D$6:$D$1005=TypeEDL)+(Journal!$D$6:$D$1005=TypeBilan6))*Journal!$C$6:$C$1005)))))</f>
        <v/>
      </c>
      <c r="AF478" s="43" t="str">
        <f aca="false">IF($AE478="","",IF(AND(ReglesTransitoires="Oui",EDATE($AE478,AnciennePeriodiciteEDL*12)&lt;DateVigueur),EDATE($AE478,AnciennePeriodiciteEDL*12),EDATE($AE478,PeriodiciteEDL*12)))</f>
        <v/>
      </c>
      <c r="AG478" s="42" t="str">
        <f aca="false">IF($AF478="","",IF(AND($I478&lt;&gt;"",$I478&lt;=DateRef),"",IF($AF478&lt;DateRef,"En retard",IF($AF478-DateRef&lt;=SeuilAlerteEDL,"À prévoir","À jour"))))</f>
        <v/>
      </c>
      <c r="AH478" s="39"/>
      <c r="AI478" s="39"/>
      <c r="AJ478" s="42" t="str">
        <f aca="false">IF(OR($B478="",$H478=""),"",IF(AND($I478&lt;&gt;"",$I478&lt;=DateRef),"",IF(Effectif&lt;SeuilEffectif,"Non concerné (&lt; "&amp;SeuilEffectif&amp;" salariés)",IF($AH478="Oui","Pas de risque",IF(AND(OR($AI478="Non",$S478="En retard"),$AH478="Non"),"Risque abondement",IF(OR($AI478="Non",$S478="En retard"),"À vérifier (formation ?)",IF($AI478="Oui","Pas de risque","À compléter")))))))</f>
        <v/>
      </c>
      <c r="AK478" s="39"/>
    </row>
    <row r="479" customFormat="false" ht="15" hidden="false" customHeight="false" outlineLevel="0" collapsed="false">
      <c r="A479" s="39"/>
      <c r="B479" s="39"/>
      <c r="C479" s="39"/>
      <c r="D479" s="39"/>
      <c r="E479" s="39"/>
      <c r="F479" s="39"/>
      <c r="G479" s="40"/>
      <c r="H479" s="40"/>
      <c r="I479" s="40"/>
      <c r="J479" s="41" t="str">
        <f aca="false">IF(OR($B479="",$H479=""),"",IF($H479&gt;DateRef,0,YEARFRAC($H479,DateRef,1)))</f>
        <v/>
      </c>
      <c r="K479" s="42" t="str">
        <f aca="false">IF(OR($B479="",$H479=""),"",IF(EDATE($H479,12)&lt;=DateRef,"Plus d'un an","Moins d'un an"))</f>
        <v/>
      </c>
      <c r="L479" s="40"/>
      <c r="M479" s="43" t="str">
        <f aca="false">IF(OR($B479="",$A479=""),"",IF(SUMPRODUCT(MAX((Journal!$A$6:$A$1005=$A479)*Journal!$C$6:$C$1005))=0,"",SUMPRODUCT(MAX((Journal!$A$6:$A$1005=$A479)*Journal!$C$6:$C$1005))))</f>
        <v/>
      </c>
      <c r="N479" s="43" t="str">
        <f aca="false">IF($B479="","",IF(MAX($L479,$M479)=0,"",MAX($L479,$M479)))</f>
        <v/>
      </c>
      <c r="O479" s="44" t="str">
        <f aca="false">IF(OR($B479="",$H479=""),"",IF($N479="",IF(EDATE($H479,DelaiPremierEPP)&gt;DateRef,"1er EPP (1re année)","Aucun entretien renseigné"),IF(AND(ReglesTransitoires="Oui",EDATE($N479,AnciennePeriodiciteEP*12)&lt;DateVigueur),"Retard antérieur à la réforme","Périodicité "&amp;PeriodiciteEPP&amp;" ans")))</f>
        <v/>
      </c>
      <c r="P479" s="43" t="str">
        <f aca="false">IF(OR($B479="",$H479=""),"",IF($N479="",EDATE($H479,DelaiPremierEPP),IF(AND(ReglesTransitoires="Oui",EDATE($N479,AnciennePeriodiciteEP*12)&lt;DateVigueur),EDATE($N479,AnciennePeriodiciteEP*12),EDATE($N479,PeriodiciteEPP*12))))</f>
        <v/>
      </c>
      <c r="Q479" s="40"/>
      <c r="R479" s="45" t="str">
        <f aca="false">IF(OR($P479="",AND($I479&lt;&gt;"",$I479&lt;=DateRef)),"",$P479-DateRef)</f>
        <v/>
      </c>
      <c r="S479" s="42" t="str">
        <f aca="false">IF($B479="","",IF(AND($I479&lt;&gt;"",$I479&lt;=DateRef),"Sorti",IF($H479="","À compléter",IF(AND($Q479&lt;&gt;"",$Q479&gt;=DateRef,$Q479&lt;=$P479),"Planifié",IF($R479&lt;0,"En retard",IF($R479&lt;=SeuilAlerteEPP,"À planifier","À jour"))))))</f>
        <v/>
      </c>
      <c r="T479" s="46" t="str">
        <f aca="false">IF(OR($B479="",$S479="Sorti"),"",MID(IF($H479=""," | Date d'embauche manquante","")&amp;IF(AND($K479="Plus d'un an",$N479="")," | Précédent entretien à renseigner (ancienneté &gt; 1 an)","")&amp;IF($O479="Retard antérieur à la réforme"," | Ancien délai de 2 ans expiré avant la réforme","")&amp;IF(AND($N479&lt;&gt;"",$H479&lt;&gt;"",$N479&lt;$H479)," | Entretien antérieur à l'embauche ?","")&amp;IF(AND($N479&lt;&gt;"",$N479&gt;DateRef)," | Entretien daté dans le futur ?","")&amp;IF(AND($Q479&lt;&gt;"",$P479&lt;&gt;"",$Q479&gt;$P479)," | Date prévue après l'échéance","")&amp;IF(AND($Q479&lt;&gt;"",$Q479&lt;DateRef,OR($N479="",$N479&lt;$Q479))," | Entretien prévu passé : le consigner au Journal","")&amp;IF(AND($G479&lt;&gt;"",$X479="",YEAR(DateRef)-YEAR($G479)&gt;=AgeMiCarriere-1,YEAR(DateRef)-YEAR($G479)&lt;=AgeMiCarriere+1)," | Visite de mi-carrière à vérifier",""),4,1000))</f>
        <v/>
      </c>
      <c r="U479" s="39"/>
      <c r="V479" s="40"/>
      <c r="W479" s="42" t="str">
        <f aca="false">IF(OR($B479="",$V479=""),"",IF(AND($I479&lt;&gt;"",$I479&lt;=DateRef),"",IF(AND($N479&lt;&gt;"",$N479&gt;=$V479),"Réalisé",IF(AND($N479&lt;&gt;"",$N479&gt;=EDATE($V479,-FenetreRetour)),"Dispensé (EPP récent)",IF($V479&gt;DateRef,"À prévoir à la reprise","À proposer (reprise passée)")))))</f>
        <v/>
      </c>
      <c r="X479" s="40"/>
      <c r="Y479" s="43" t="str">
        <f aca="false">IF(OR($B479="",$X479=""),"",EDATE($X479,DelaiMiCarriere))</f>
        <v/>
      </c>
      <c r="Z479" s="42" t="str">
        <f aca="false">IF(OR($B479="",$X479=""),"",IF(AND($I479&lt;&gt;"",$I479&lt;=DateRef),"",IF(AND($N479&lt;&gt;"",$N479&gt;=$X479),"Réalisé",IF($Y479&lt;DateRef,"En retard","À planifier"))))</f>
        <v/>
      </c>
      <c r="AA479" s="47" t="str">
        <f aca="false">IF(OR($B479="",$G479=""),"",IF($G479&gt;DateRef,"",DATEDIF($G479,DateRef,"y")))</f>
        <v/>
      </c>
      <c r="AB479" s="43" t="str">
        <f aca="false">IF(OR($B479="",$G479=""),"",EDATE($G479,AgeFinCarriere*12))</f>
        <v/>
      </c>
      <c r="AC479" s="42" t="str">
        <f aca="false">IF(OR($B479="",$G479="",$H479=""),"",IF(AND($I479&lt;&gt;"",$I479&lt;=DateRef),"",IF($AB479&lt;DateVigueur,"Non concerné",IF(AND($N479&lt;&gt;"",$N479&gt;=MAX(EDATE($AB479,-FenetreFinCarriere*12),DateVigueur),$N479&lt;=$AB479),"Réalisé",IF(DateRef&gt;$AB479,"Non réalisé",IF(AND($Q479&lt;&gt;"",$Q479&gt;=EDATE($AB479,-FenetreFinCarriere*12),$Q479&lt;=$AB479),"Planifié dans la fenêtre",IF(AND(MAX($P479,DateRef)&gt;=EDATE($AB479,-FenetreFinCarriere*12),MAX($P479,DateRef)&lt;=$AB479),"Prochain EPP dans la fenêtre",IF(MAX($P479,DateRef)&gt;$AB479,"À programmer avant 60 ans",""))))))))</f>
        <v/>
      </c>
      <c r="AD479" s="40"/>
      <c r="AE479" s="43" t="str">
        <f aca="false">IF(OR($B479="",$H479="",AND($I479&lt;&gt;"",$I479&lt;=DateRef)),"",MAX($H479,$AD479,IF($A479="",0,SUMPRODUCT(MAX((Journal!$A$6:$A$1005=$A479)*((Journal!$D$6:$D$1005=TypeEDL)+(Journal!$D$6:$D$1005=TypeBilan6))*Journal!$C$6:$C$1005)))))</f>
        <v/>
      </c>
      <c r="AF479" s="43" t="str">
        <f aca="false">IF($AE479="","",IF(AND(ReglesTransitoires="Oui",EDATE($AE479,AnciennePeriodiciteEDL*12)&lt;DateVigueur),EDATE($AE479,AnciennePeriodiciteEDL*12),EDATE($AE479,PeriodiciteEDL*12)))</f>
        <v/>
      </c>
      <c r="AG479" s="42" t="str">
        <f aca="false">IF($AF479="","",IF(AND($I479&lt;&gt;"",$I479&lt;=DateRef),"",IF($AF479&lt;DateRef,"En retard",IF($AF479-DateRef&lt;=SeuilAlerteEDL,"À prévoir","À jour"))))</f>
        <v/>
      </c>
      <c r="AH479" s="39"/>
      <c r="AI479" s="39"/>
      <c r="AJ479" s="42" t="str">
        <f aca="false">IF(OR($B479="",$H479=""),"",IF(AND($I479&lt;&gt;"",$I479&lt;=DateRef),"",IF(Effectif&lt;SeuilEffectif,"Non concerné (&lt; "&amp;SeuilEffectif&amp;" salariés)",IF($AH479="Oui","Pas de risque",IF(AND(OR($AI479="Non",$S479="En retard"),$AH479="Non"),"Risque abondement",IF(OR($AI479="Non",$S479="En retard"),"À vérifier (formation ?)",IF($AI479="Oui","Pas de risque","À compléter")))))))</f>
        <v/>
      </c>
      <c r="AK479" s="39"/>
    </row>
    <row r="480" customFormat="false" ht="15" hidden="false" customHeight="false" outlineLevel="0" collapsed="false">
      <c r="A480" s="39"/>
      <c r="B480" s="39"/>
      <c r="C480" s="39"/>
      <c r="D480" s="39"/>
      <c r="E480" s="39"/>
      <c r="F480" s="39"/>
      <c r="G480" s="40"/>
      <c r="H480" s="40"/>
      <c r="I480" s="40"/>
      <c r="J480" s="41" t="str">
        <f aca="false">IF(OR($B480="",$H480=""),"",IF($H480&gt;DateRef,0,YEARFRAC($H480,DateRef,1)))</f>
        <v/>
      </c>
      <c r="K480" s="42" t="str">
        <f aca="false">IF(OR($B480="",$H480=""),"",IF(EDATE($H480,12)&lt;=DateRef,"Plus d'un an","Moins d'un an"))</f>
        <v/>
      </c>
      <c r="L480" s="40"/>
      <c r="M480" s="43" t="str">
        <f aca="false">IF(OR($B480="",$A480=""),"",IF(SUMPRODUCT(MAX((Journal!$A$6:$A$1005=$A480)*Journal!$C$6:$C$1005))=0,"",SUMPRODUCT(MAX((Journal!$A$6:$A$1005=$A480)*Journal!$C$6:$C$1005))))</f>
        <v/>
      </c>
      <c r="N480" s="43" t="str">
        <f aca="false">IF($B480="","",IF(MAX($L480,$M480)=0,"",MAX($L480,$M480)))</f>
        <v/>
      </c>
      <c r="O480" s="44" t="str">
        <f aca="false">IF(OR($B480="",$H480=""),"",IF($N480="",IF(EDATE($H480,DelaiPremierEPP)&gt;DateRef,"1er EPP (1re année)","Aucun entretien renseigné"),IF(AND(ReglesTransitoires="Oui",EDATE($N480,AnciennePeriodiciteEP*12)&lt;DateVigueur),"Retard antérieur à la réforme","Périodicité "&amp;PeriodiciteEPP&amp;" ans")))</f>
        <v/>
      </c>
      <c r="P480" s="43" t="str">
        <f aca="false">IF(OR($B480="",$H480=""),"",IF($N480="",EDATE($H480,DelaiPremierEPP),IF(AND(ReglesTransitoires="Oui",EDATE($N480,AnciennePeriodiciteEP*12)&lt;DateVigueur),EDATE($N480,AnciennePeriodiciteEP*12),EDATE($N480,PeriodiciteEPP*12))))</f>
        <v/>
      </c>
      <c r="Q480" s="40"/>
      <c r="R480" s="45" t="str">
        <f aca="false">IF(OR($P480="",AND($I480&lt;&gt;"",$I480&lt;=DateRef)),"",$P480-DateRef)</f>
        <v/>
      </c>
      <c r="S480" s="42" t="str">
        <f aca="false">IF($B480="","",IF(AND($I480&lt;&gt;"",$I480&lt;=DateRef),"Sorti",IF($H480="","À compléter",IF(AND($Q480&lt;&gt;"",$Q480&gt;=DateRef,$Q480&lt;=$P480),"Planifié",IF($R480&lt;0,"En retard",IF($R480&lt;=SeuilAlerteEPP,"À planifier","À jour"))))))</f>
        <v/>
      </c>
      <c r="T480" s="46" t="str">
        <f aca="false">IF(OR($B480="",$S480="Sorti"),"",MID(IF($H480=""," | Date d'embauche manquante","")&amp;IF(AND($K480="Plus d'un an",$N480="")," | Précédent entretien à renseigner (ancienneté &gt; 1 an)","")&amp;IF($O480="Retard antérieur à la réforme"," | Ancien délai de 2 ans expiré avant la réforme","")&amp;IF(AND($N480&lt;&gt;"",$H480&lt;&gt;"",$N480&lt;$H480)," | Entretien antérieur à l'embauche ?","")&amp;IF(AND($N480&lt;&gt;"",$N480&gt;DateRef)," | Entretien daté dans le futur ?","")&amp;IF(AND($Q480&lt;&gt;"",$P480&lt;&gt;"",$Q480&gt;$P480)," | Date prévue après l'échéance","")&amp;IF(AND($Q480&lt;&gt;"",$Q480&lt;DateRef,OR($N480="",$N480&lt;$Q480))," | Entretien prévu passé : le consigner au Journal","")&amp;IF(AND($G480&lt;&gt;"",$X480="",YEAR(DateRef)-YEAR($G480)&gt;=AgeMiCarriere-1,YEAR(DateRef)-YEAR($G480)&lt;=AgeMiCarriere+1)," | Visite de mi-carrière à vérifier",""),4,1000))</f>
        <v/>
      </c>
      <c r="U480" s="39"/>
      <c r="V480" s="40"/>
      <c r="W480" s="42" t="str">
        <f aca="false">IF(OR($B480="",$V480=""),"",IF(AND($I480&lt;&gt;"",$I480&lt;=DateRef),"",IF(AND($N480&lt;&gt;"",$N480&gt;=$V480),"Réalisé",IF(AND($N480&lt;&gt;"",$N480&gt;=EDATE($V480,-FenetreRetour)),"Dispensé (EPP récent)",IF($V480&gt;DateRef,"À prévoir à la reprise","À proposer (reprise passée)")))))</f>
        <v/>
      </c>
      <c r="X480" s="40"/>
      <c r="Y480" s="43" t="str">
        <f aca="false">IF(OR($B480="",$X480=""),"",EDATE($X480,DelaiMiCarriere))</f>
        <v/>
      </c>
      <c r="Z480" s="42" t="str">
        <f aca="false">IF(OR($B480="",$X480=""),"",IF(AND($I480&lt;&gt;"",$I480&lt;=DateRef),"",IF(AND($N480&lt;&gt;"",$N480&gt;=$X480),"Réalisé",IF($Y480&lt;DateRef,"En retard","À planifier"))))</f>
        <v/>
      </c>
      <c r="AA480" s="47" t="str">
        <f aca="false">IF(OR($B480="",$G480=""),"",IF($G480&gt;DateRef,"",DATEDIF($G480,DateRef,"y")))</f>
        <v/>
      </c>
      <c r="AB480" s="43" t="str">
        <f aca="false">IF(OR($B480="",$G480=""),"",EDATE($G480,AgeFinCarriere*12))</f>
        <v/>
      </c>
      <c r="AC480" s="42" t="str">
        <f aca="false">IF(OR($B480="",$G480="",$H480=""),"",IF(AND($I480&lt;&gt;"",$I480&lt;=DateRef),"",IF($AB480&lt;DateVigueur,"Non concerné",IF(AND($N480&lt;&gt;"",$N480&gt;=MAX(EDATE($AB480,-FenetreFinCarriere*12),DateVigueur),$N480&lt;=$AB480),"Réalisé",IF(DateRef&gt;$AB480,"Non réalisé",IF(AND($Q480&lt;&gt;"",$Q480&gt;=EDATE($AB480,-FenetreFinCarriere*12),$Q480&lt;=$AB480),"Planifié dans la fenêtre",IF(AND(MAX($P480,DateRef)&gt;=EDATE($AB480,-FenetreFinCarriere*12),MAX($P480,DateRef)&lt;=$AB480),"Prochain EPP dans la fenêtre",IF(MAX($P480,DateRef)&gt;$AB480,"À programmer avant 60 ans",""))))))))</f>
        <v/>
      </c>
      <c r="AD480" s="40"/>
      <c r="AE480" s="43" t="str">
        <f aca="false">IF(OR($B480="",$H480="",AND($I480&lt;&gt;"",$I480&lt;=DateRef)),"",MAX($H480,$AD480,IF($A480="",0,SUMPRODUCT(MAX((Journal!$A$6:$A$1005=$A480)*((Journal!$D$6:$D$1005=TypeEDL)+(Journal!$D$6:$D$1005=TypeBilan6))*Journal!$C$6:$C$1005)))))</f>
        <v/>
      </c>
      <c r="AF480" s="43" t="str">
        <f aca="false">IF($AE480="","",IF(AND(ReglesTransitoires="Oui",EDATE($AE480,AnciennePeriodiciteEDL*12)&lt;DateVigueur),EDATE($AE480,AnciennePeriodiciteEDL*12),EDATE($AE480,PeriodiciteEDL*12)))</f>
        <v/>
      </c>
      <c r="AG480" s="42" t="str">
        <f aca="false">IF($AF480="","",IF(AND($I480&lt;&gt;"",$I480&lt;=DateRef),"",IF($AF480&lt;DateRef,"En retard",IF($AF480-DateRef&lt;=SeuilAlerteEDL,"À prévoir","À jour"))))</f>
        <v/>
      </c>
      <c r="AH480" s="39"/>
      <c r="AI480" s="39"/>
      <c r="AJ480" s="42" t="str">
        <f aca="false">IF(OR($B480="",$H480=""),"",IF(AND($I480&lt;&gt;"",$I480&lt;=DateRef),"",IF(Effectif&lt;SeuilEffectif,"Non concerné (&lt; "&amp;SeuilEffectif&amp;" salariés)",IF($AH480="Oui","Pas de risque",IF(AND(OR($AI480="Non",$S480="En retard"),$AH480="Non"),"Risque abondement",IF(OR($AI480="Non",$S480="En retard"),"À vérifier (formation ?)",IF($AI480="Oui","Pas de risque","À compléter")))))))</f>
        <v/>
      </c>
      <c r="AK480" s="39"/>
    </row>
    <row r="481" customFormat="false" ht="15" hidden="false" customHeight="false" outlineLevel="0" collapsed="false">
      <c r="A481" s="39"/>
      <c r="B481" s="39"/>
      <c r="C481" s="39"/>
      <c r="D481" s="39"/>
      <c r="E481" s="39"/>
      <c r="F481" s="39"/>
      <c r="G481" s="40"/>
      <c r="H481" s="40"/>
      <c r="I481" s="40"/>
      <c r="J481" s="41" t="str">
        <f aca="false">IF(OR($B481="",$H481=""),"",IF($H481&gt;DateRef,0,YEARFRAC($H481,DateRef,1)))</f>
        <v/>
      </c>
      <c r="K481" s="42" t="str">
        <f aca="false">IF(OR($B481="",$H481=""),"",IF(EDATE($H481,12)&lt;=DateRef,"Plus d'un an","Moins d'un an"))</f>
        <v/>
      </c>
      <c r="L481" s="40"/>
      <c r="M481" s="43" t="str">
        <f aca="false">IF(OR($B481="",$A481=""),"",IF(SUMPRODUCT(MAX((Journal!$A$6:$A$1005=$A481)*Journal!$C$6:$C$1005))=0,"",SUMPRODUCT(MAX((Journal!$A$6:$A$1005=$A481)*Journal!$C$6:$C$1005))))</f>
        <v/>
      </c>
      <c r="N481" s="43" t="str">
        <f aca="false">IF($B481="","",IF(MAX($L481,$M481)=0,"",MAX($L481,$M481)))</f>
        <v/>
      </c>
      <c r="O481" s="44" t="str">
        <f aca="false">IF(OR($B481="",$H481=""),"",IF($N481="",IF(EDATE($H481,DelaiPremierEPP)&gt;DateRef,"1er EPP (1re année)","Aucun entretien renseigné"),IF(AND(ReglesTransitoires="Oui",EDATE($N481,AnciennePeriodiciteEP*12)&lt;DateVigueur),"Retard antérieur à la réforme","Périodicité "&amp;PeriodiciteEPP&amp;" ans")))</f>
        <v/>
      </c>
      <c r="P481" s="43" t="str">
        <f aca="false">IF(OR($B481="",$H481=""),"",IF($N481="",EDATE($H481,DelaiPremierEPP),IF(AND(ReglesTransitoires="Oui",EDATE($N481,AnciennePeriodiciteEP*12)&lt;DateVigueur),EDATE($N481,AnciennePeriodiciteEP*12),EDATE($N481,PeriodiciteEPP*12))))</f>
        <v/>
      </c>
      <c r="Q481" s="40"/>
      <c r="R481" s="45" t="str">
        <f aca="false">IF(OR($P481="",AND($I481&lt;&gt;"",$I481&lt;=DateRef)),"",$P481-DateRef)</f>
        <v/>
      </c>
      <c r="S481" s="42" t="str">
        <f aca="false">IF($B481="","",IF(AND($I481&lt;&gt;"",$I481&lt;=DateRef),"Sorti",IF($H481="","À compléter",IF(AND($Q481&lt;&gt;"",$Q481&gt;=DateRef,$Q481&lt;=$P481),"Planifié",IF($R481&lt;0,"En retard",IF($R481&lt;=SeuilAlerteEPP,"À planifier","À jour"))))))</f>
        <v/>
      </c>
      <c r="T481" s="46" t="str">
        <f aca="false">IF(OR($B481="",$S481="Sorti"),"",MID(IF($H481=""," | Date d'embauche manquante","")&amp;IF(AND($K481="Plus d'un an",$N481="")," | Précédent entretien à renseigner (ancienneté &gt; 1 an)","")&amp;IF($O481="Retard antérieur à la réforme"," | Ancien délai de 2 ans expiré avant la réforme","")&amp;IF(AND($N481&lt;&gt;"",$H481&lt;&gt;"",$N481&lt;$H481)," | Entretien antérieur à l'embauche ?","")&amp;IF(AND($N481&lt;&gt;"",$N481&gt;DateRef)," | Entretien daté dans le futur ?","")&amp;IF(AND($Q481&lt;&gt;"",$P481&lt;&gt;"",$Q481&gt;$P481)," | Date prévue après l'échéance","")&amp;IF(AND($Q481&lt;&gt;"",$Q481&lt;DateRef,OR($N481="",$N481&lt;$Q481))," | Entretien prévu passé : le consigner au Journal","")&amp;IF(AND($G481&lt;&gt;"",$X481="",YEAR(DateRef)-YEAR($G481)&gt;=AgeMiCarriere-1,YEAR(DateRef)-YEAR($G481)&lt;=AgeMiCarriere+1)," | Visite de mi-carrière à vérifier",""),4,1000))</f>
        <v/>
      </c>
      <c r="U481" s="39"/>
      <c r="V481" s="40"/>
      <c r="W481" s="42" t="str">
        <f aca="false">IF(OR($B481="",$V481=""),"",IF(AND($I481&lt;&gt;"",$I481&lt;=DateRef),"",IF(AND($N481&lt;&gt;"",$N481&gt;=$V481),"Réalisé",IF(AND($N481&lt;&gt;"",$N481&gt;=EDATE($V481,-FenetreRetour)),"Dispensé (EPP récent)",IF($V481&gt;DateRef,"À prévoir à la reprise","À proposer (reprise passée)")))))</f>
        <v/>
      </c>
      <c r="X481" s="40"/>
      <c r="Y481" s="43" t="str">
        <f aca="false">IF(OR($B481="",$X481=""),"",EDATE($X481,DelaiMiCarriere))</f>
        <v/>
      </c>
      <c r="Z481" s="42" t="str">
        <f aca="false">IF(OR($B481="",$X481=""),"",IF(AND($I481&lt;&gt;"",$I481&lt;=DateRef),"",IF(AND($N481&lt;&gt;"",$N481&gt;=$X481),"Réalisé",IF($Y481&lt;DateRef,"En retard","À planifier"))))</f>
        <v/>
      </c>
      <c r="AA481" s="47" t="str">
        <f aca="false">IF(OR($B481="",$G481=""),"",IF($G481&gt;DateRef,"",DATEDIF($G481,DateRef,"y")))</f>
        <v/>
      </c>
      <c r="AB481" s="43" t="str">
        <f aca="false">IF(OR($B481="",$G481=""),"",EDATE($G481,AgeFinCarriere*12))</f>
        <v/>
      </c>
      <c r="AC481" s="42" t="str">
        <f aca="false">IF(OR($B481="",$G481="",$H481=""),"",IF(AND($I481&lt;&gt;"",$I481&lt;=DateRef),"",IF($AB481&lt;DateVigueur,"Non concerné",IF(AND($N481&lt;&gt;"",$N481&gt;=MAX(EDATE($AB481,-FenetreFinCarriere*12),DateVigueur),$N481&lt;=$AB481),"Réalisé",IF(DateRef&gt;$AB481,"Non réalisé",IF(AND($Q481&lt;&gt;"",$Q481&gt;=EDATE($AB481,-FenetreFinCarriere*12),$Q481&lt;=$AB481),"Planifié dans la fenêtre",IF(AND(MAX($P481,DateRef)&gt;=EDATE($AB481,-FenetreFinCarriere*12),MAX($P481,DateRef)&lt;=$AB481),"Prochain EPP dans la fenêtre",IF(MAX($P481,DateRef)&gt;$AB481,"À programmer avant 60 ans",""))))))))</f>
        <v/>
      </c>
      <c r="AD481" s="40"/>
      <c r="AE481" s="43" t="str">
        <f aca="false">IF(OR($B481="",$H481="",AND($I481&lt;&gt;"",$I481&lt;=DateRef)),"",MAX($H481,$AD481,IF($A481="",0,SUMPRODUCT(MAX((Journal!$A$6:$A$1005=$A481)*((Journal!$D$6:$D$1005=TypeEDL)+(Journal!$D$6:$D$1005=TypeBilan6))*Journal!$C$6:$C$1005)))))</f>
        <v/>
      </c>
      <c r="AF481" s="43" t="str">
        <f aca="false">IF($AE481="","",IF(AND(ReglesTransitoires="Oui",EDATE($AE481,AnciennePeriodiciteEDL*12)&lt;DateVigueur),EDATE($AE481,AnciennePeriodiciteEDL*12),EDATE($AE481,PeriodiciteEDL*12)))</f>
        <v/>
      </c>
      <c r="AG481" s="42" t="str">
        <f aca="false">IF($AF481="","",IF(AND($I481&lt;&gt;"",$I481&lt;=DateRef),"",IF($AF481&lt;DateRef,"En retard",IF($AF481-DateRef&lt;=SeuilAlerteEDL,"À prévoir","À jour"))))</f>
        <v/>
      </c>
      <c r="AH481" s="39"/>
      <c r="AI481" s="39"/>
      <c r="AJ481" s="42" t="str">
        <f aca="false">IF(OR($B481="",$H481=""),"",IF(AND($I481&lt;&gt;"",$I481&lt;=DateRef),"",IF(Effectif&lt;SeuilEffectif,"Non concerné (&lt; "&amp;SeuilEffectif&amp;" salariés)",IF($AH481="Oui","Pas de risque",IF(AND(OR($AI481="Non",$S481="En retard"),$AH481="Non"),"Risque abondement",IF(OR($AI481="Non",$S481="En retard"),"À vérifier (formation ?)",IF($AI481="Oui","Pas de risque","À compléter")))))))</f>
        <v/>
      </c>
      <c r="AK481" s="39"/>
    </row>
    <row r="482" customFormat="false" ht="15" hidden="false" customHeight="false" outlineLevel="0" collapsed="false">
      <c r="A482" s="39"/>
      <c r="B482" s="39"/>
      <c r="C482" s="39"/>
      <c r="D482" s="39"/>
      <c r="E482" s="39"/>
      <c r="F482" s="39"/>
      <c r="G482" s="40"/>
      <c r="H482" s="40"/>
      <c r="I482" s="40"/>
      <c r="J482" s="41" t="str">
        <f aca="false">IF(OR($B482="",$H482=""),"",IF($H482&gt;DateRef,0,YEARFRAC($H482,DateRef,1)))</f>
        <v/>
      </c>
      <c r="K482" s="42" t="str">
        <f aca="false">IF(OR($B482="",$H482=""),"",IF(EDATE($H482,12)&lt;=DateRef,"Plus d'un an","Moins d'un an"))</f>
        <v/>
      </c>
      <c r="L482" s="40"/>
      <c r="M482" s="43" t="str">
        <f aca="false">IF(OR($B482="",$A482=""),"",IF(SUMPRODUCT(MAX((Journal!$A$6:$A$1005=$A482)*Journal!$C$6:$C$1005))=0,"",SUMPRODUCT(MAX((Journal!$A$6:$A$1005=$A482)*Journal!$C$6:$C$1005))))</f>
        <v/>
      </c>
      <c r="N482" s="43" t="str">
        <f aca="false">IF($B482="","",IF(MAX($L482,$M482)=0,"",MAX($L482,$M482)))</f>
        <v/>
      </c>
      <c r="O482" s="44" t="str">
        <f aca="false">IF(OR($B482="",$H482=""),"",IF($N482="",IF(EDATE($H482,DelaiPremierEPP)&gt;DateRef,"1er EPP (1re année)","Aucun entretien renseigné"),IF(AND(ReglesTransitoires="Oui",EDATE($N482,AnciennePeriodiciteEP*12)&lt;DateVigueur),"Retard antérieur à la réforme","Périodicité "&amp;PeriodiciteEPP&amp;" ans")))</f>
        <v/>
      </c>
      <c r="P482" s="43" t="str">
        <f aca="false">IF(OR($B482="",$H482=""),"",IF($N482="",EDATE($H482,DelaiPremierEPP),IF(AND(ReglesTransitoires="Oui",EDATE($N482,AnciennePeriodiciteEP*12)&lt;DateVigueur),EDATE($N482,AnciennePeriodiciteEP*12),EDATE($N482,PeriodiciteEPP*12))))</f>
        <v/>
      </c>
      <c r="Q482" s="40"/>
      <c r="R482" s="45" t="str">
        <f aca="false">IF(OR($P482="",AND($I482&lt;&gt;"",$I482&lt;=DateRef)),"",$P482-DateRef)</f>
        <v/>
      </c>
      <c r="S482" s="42" t="str">
        <f aca="false">IF($B482="","",IF(AND($I482&lt;&gt;"",$I482&lt;=DateRef),"Sorti",IF($H482="","À compléter",IF(AND($Q482&lt;&gt;"",$Q482&gt;=DateRef,$Q482&lt;=$P482),"Planifié",IF($R482&lt;0,"En retard",IF($R482&lt;=SeuilAlerteEPP,"À planifier","À jour"))))))</f>
        <v/>
      </c>
      <c r="T482" s="46" t="str">
        <f aca="false">IF(OR($B482="",$S482="Sorti"),"",MID(IF($H482=""," | Date d'embauche manquante","")&amp;IF(AND($K482="Plus d'un an",$N482="")," | Précédent entretien à renseigner (ancienneté &gt; 1 an)","")&amp;IF($O482="Retard antérieur à la réforme"," | Ancien délai de 2 ans expiré avant la réforme","")&amp;IF(AND($N482&lt;&gt;"",$H482&lt;&gt;"",$N482&lt;$H482)," | Entretien antérieur à l'embauche ?","")&amp;IF(AND($N482&lt;&gt;"",$N482&gt;DateRef)," | Entretien daté dans le futur ?","")&amp;IF(AND($Q482&lt;&gt;"",$P482&lt;&gt;"",$Q482&gt;$P482)," | Date prévue après l'échéance","")&amp;IF(AND($Q482&lt;&gt;"",$Q482&lt;DateRef,OR($N482="",$N482&lt;$Q482))," | Entretien prévu passé : le consigner au Journal","")&amp;IF(AND($G482&lt;&gt;"",$X482="",YEAR(DateRef)-YEAR($G482)&gt;=AgeMiCarriere-1,YEAR(DateRef)-YEAR($G482)&lt;=AgeMiCarriere+1)," | Visite de mi-carrière à vérifier",""),4,1000))</f>
        <v/>
      </c>
      <c r="U482" s="39"/>
      <c r="V482" s="40"/>
      <c r="W482" s="42" t="str">
        <f aca="false">IF(OR($B482="",$V482=""),"",IF(AND($I482&lt;&gt;"",$I482&lt;=DateRef),"",IF(AND($N482&lt;&gt;"",$N482&gt;=$V482),"Réalisé",IF(AND($N482&lt;&gt;"",$N482&gt;=EDATE($V482,-FenetreRetour)),"Dispensé (EPP récent)",IF($V482&gt;DateRef,"À prévoir à la reprise","À proposer (reprise passée)")))))</f>
        <v/>
      </c>
      <c r="X482" s="40"/>
      <c r="Y482" s="43" t="str">
        <f aca="false">IF(OR($B482="",$X482=""),"",EDATE($X482,DelaiMiCarriere))</f>
        <v/>
      </c>
      <c r="Z482" s="42" t="str">
        <f aca="false">IF(OR($B482="",$X482=""),"",IF(AND($I482&lt;&gt;"",$I482&lt;=DateRef),"",IF(AND($N482&lt;&gt;"",$N482&gt;=$X482),"Réalisé",IF($Y482&lt;DateRef,"En retard","À planifier"))))</f>
        <v/>
      </c>
      <c r="AA482" s="47" t="str">
        <f aca="false">IF(OR($B482="",$G482=""),"",IF($G482&gt;DateRef,"",DATEDIF($G482,DateRef,"y")))</f>
        <v/>
      </c>
      <c r="AB482" s="43" t="str">
        <f aca="false">IF(OR($B482="",$G482=""),"",EDATE($G482,AgeFinCarriere*12))</f>
        <v/>
      </c>
      <c r="AC482" s="42" t="str">
        <f aca="false">IF(OR($B482="",$G482="",$H482=""),"",IF(AND($I482&lt;&gt;"",$I482&lt;=DateRef),"",IF($AB482&lt;DateVigueur,"Non concerné",IF(AND($N482&lt;&gt;"",$N482&gt;=MAX(EDATE($AB482,-FenetreFinCarriere*12),DateVigueur),$N482&lt;=$AB482),"Réalisé",IF(DateRef&gt;$AB482,"Non réalisé",IF(AND($Q482&lt;&gt;"",$Q482&gt;=EDATE($AB482,-FenetreFinCarriere*12),$Q482&lt;=$AB482),"Planifié dans la fenêtre",IF(AND(MAX($P482,DateRef)&gt;=EDATE($AB482,-FenetreFinCarriere*12),MAX($P482,DateRef)&lt;=$AB482),"Prochain EPP dans la fenêtre",IF(MAX($P482,DateRef)&gt;$AB482,"À programmer avant 60 ans",""))))))))</f>
        <v/>
      </c>
      <c r="AD482" s="40"/>
      <c r="AE482" s="43" t="str">
        <f aca="false">IF(OR($B482="",$H482="",AND($I482&lt;&gt;"",$I482&lt;=DateRef)),"",MAX($H482,$AD482,IF($A482="",0,SUMPRODUCT(MAX((Journal!$A$6:$A$1005=$A482)*((Journal!$D$6:$D$1005=TypeEDL)+(Journal!$D$6:$D$1005=TypeBilan6))*Journal!$C$6:$C$1005)))))</f>
        <v/>
      </c>
      <c r="AF482" s="43" t="str">
        <f aca="false">IF($AE482="","",IF(AND(ReglesTransitoires="Oui",EDATE($AE482,AnciennePeriodiciteEDL*12)&lt;DateVigueur),EDATE($AE482,AnciennePeriodiciteEDL*12),EDATE($AE482,PeriodiciteEDL*12)))</f>
        <v/>
      </c>
      <c r="AG482" s="42" t="str">
        <f aca="false">IF($AF482="","",IF(AND($I482&lt;&gt;"",$I482&lt;=DateRef),"",IF($AF482&lt;DateRef,"En retard",IF($AF482-DateRef&lt;=SeuilAlerteEDL,"À prévoir","À jour"))))</f>
        <v/>
      </c>
      <c r="AH482" s="39"/>
      <c r="AI482" s="39"/>
      <c r="AJ482" s="42" t="str">
        <f aca="false">IF(OR($B482="",$H482=""),"",IF(AND($I482&lt;&gt;"",$I482&lt;=DateRef),"",IF(Effectif&lt;SeuilEffectif,"Non concerné (&lt; "&amp;SeuilEffectif&amp;" salariés)",IF($AH482="Oui","Pas de risque",IF(AND(OR($AI482="Non",$S482="En retard"),$AH482="Non"),"Risque abondement",IF(OR($AI482="Non",$S482="En retard"),"À vérifier (formation ?)",IF($AI482="Oui","Pas de risque","À compléter")))))))</f>
        <v/>
      </c>
      <c r="AK482" s="39"/>
    </row>
    <row r="483" customFormat="false" ht="15" hidden="false" customHeight="false" outlineLevel="0" collapsed="false">
      <c r="A483" s="39"/>
      <c r="B483" s="39"/>
      <c r="C483" s="39"/>
      <c r="D483" s="39"/>
      <c r="E483" s="39"/>
      <c r="F483" s="39"/>
      <c r="G483" s="40"/>
      <c r="H483" s="40"/>
      <c r="I483" s="40"/>
      <c r="J483" s="41" t="str">
        <f aca="false">IF(OR($B483="",$H483=""),"",IF($H483&gt;DateRef,0,YEARFRAC($H483,DateRef,1)))</f>
        <v/>
      </c>
      <c r="K483" s="42" t="str">
        <f aca="false">IF(OR($B483="",$H483=""),"",IF(EDATE($H483,12)&lt;=DateRef,"Plus d'un an","Moins d'un an"))</f>
        <v/>
      </c>
      <c r="L483" s="40"/>
      <c r="M483" s="43" t="str">
        <f aca="false">IF(OR($B483="",$A483=""),"",IF(SUMPRODUCT(MAX((Journal!$A$6:$A$1005=$A483)*Journal!$C$6:$C$1005))=0,"",SUMPRODUCT(MAX((Journal!$A$6:$A$1005=$A483)*Journal!$C$6:$C$1005))))</f>
        <v/>
      </c>
      <c r="N483" s="43" t="str">
        <f aca="false">IF($B483="","",IF(MAX($L483,$M483)=0,"",MAX($L483,$M483)))</f>
        <v/>
      </c>
      <c r="O483" s="44" t="str">
        <f aca="false">IF(OR($B483="",$H483=""),"",IF($N483="",IF(EDATE($H483,DelaiPremierEPP)&gt;DateRef,"1er EPP (1re année)","Aucun entretien renseigné"),IF(AND(ReglesTransitoires="Oui",EDATE($N483,AnciennePeriodiciteEP*12)&lt;DateVigueur),"Retard antérieur à la réforme","Périodicité "&amp;PeriodiciteEPP&amp;" ans")))</f>
        <v/>
      </c>
      <c r="P483" s="43" t="str">
        <f aca="false">IF(OR($B483="",$H483=""),"",IF($N483="",EDATE($H483,DelaiPremierEPP),IF(AND(ReglesTransitoires="Oui",EDATE($N483,AnciennePeriodiciteEP*12)&lt;DateVigueur),EDATE($N483,AnciennePeriodiciteEP*12),EDATE($N483,PeriodiciteEPP*12))))</f>
        <v/>
      </c>
      <c r="Q483" s="40"/>
      <c r="R483" s="45" t="str">
        <f aca="false">IF(OR($P483="",AND($I483&lt;&gt;"",$I483&lt;=DateRef)),"",$P483-DateRef)</f>
        <v/>
      </c>
      <c r="S483" s="42" t="str">
        <f aca="false">IF($B483="","",IF(AND($I483&lt;&gt;"",$I483&lt;=DateRef),"Sorti",IF($H483="","À compléter",IF(AND($Q483&lt;&gt;"",$Q483&gt;=DateRef,$Q483&lt;=$P483),"Planifié",IF($R483&lt;0,"En retard",IF($R483&lt;=SeuilAlerteEPP,"À planifier","À jour"))))))</f>
        <v/>
      </c>
      <c r="T483" s="46" t="str">
        <f aca="false">IF(OR($B483="",$S483="Sorti"),"",MID(IF($H483=""," | Date d'embauche manquante","")&amp;IF(AND($K483="Plus d'un an",$N483="")," | Précédent entretien à renseigner (ancienneté &gt; 1 an)","")&amp;IF($O483="Retard antérieur à la réforme"," | Ancien délai de 2 ans expiré avant la réforme","")&amp;IF(AND($N483&lt;&gt;"",$H483&lt;&gt;"",$N483&lt;$H483)," | Entretien antérieur à l'embauche ?","")&amp;IF(AND($N483&lt;&gt;"",$N483&gt;DateRef)," | Entretien daté dans le futur ?","")&amp;IF(AND($Q483&lt;&gt;"",$P483&lt;&gt;"",$Q483&gt;$P483)," | Date prévue après l'échéance","")&amp;IF(AND($Q483&lt;&gt;"",$Q483&lt;DateRef,OR($N483="",$N483&lt;$Q483))," | Entretien prévu passé : le consigner au Journal","")&amp;IF(AND($G483&lt;&gt;"",$X483="",YEAR(DateRef)-YEAR($G483)&gt;=AgeMiCarriere-1,YEAR(DateRef)-YEAR($G483)&lt;=AgeMiCarriere+1)," | Visite de mi-carrière à vérifier",""),4,1000))</f>
        <v/>
      </c>
      <c r="U483" s="39"/>
      <c r="V483" s="40"/>
      <c r="W483" s="42" t="str">
        <f aca="false">IF(OR($B483="",$V483=""),"",IF(AND($I483&lt;&gt;"",$I483&lt;=DateRef),"",IF(AND($N483&lt;&gt;"",$N483&gt;=$V483),"Réalisé",IF(AND($N483&lt;&gt;"",$N483&gt;=EDATE($V483,-FenetreRetour)),"Dispensé (EPP récent)",IF($V483&gt;DateRef,"À prévoir à la reprise","À proposer (reprise passée)")))))</f>
        <v/>
      </c>
      <c r="X483" s="40"/>
      <c r="Y483" s="43" t="str">
        <f aca="false">IF(OR($B483="",$X483=""),"",EDATE($X483,DelaiMiCarriere))</f>
        <v/>
      </c>
      <c r="Z483" s="42" t="str">
        <f aca="false">IF(OR($B483="",$X483=""),"",IF(AND($I483&lt;&gt;"",$I483&lt;=DateRef),"",IF(AND($N483&lt;&gt;"",$N483&gt;=$X483),"Réalisé",IF($Y483&lt;DateRef,"En retard","À planifier"))))</f>
        <v/>
      </c>
      <c r="AA483" s="47" t="str">
        <f aca="false">IF(OR($B483="",$G483=""),"",IF($G483&gt;DateRef,"",DATEDIF($G483,DateRef,"y")))</f>
        <v/>
      </c>
      <c r="AB483" s="43" t="str">
        <f aca="false">IF(OR($B483="",$G483=""),"",EDATE($G483,AgeFinCarriere*12))</f>
        <v/>
      </c>
      <c r="AC483" s="42" t="str">
        <f aca="false">IF(OR($B483="",$G483="",$H483=""),"",IF(AND($I483&lt;&gt;"",$I483&lt;=DateRef),"",IF($AB483&lt;DateVigueur,"Non concerné",IF(AND($N483&lt;&gt;"",$N483&gt;=MAX(EDATE($AB483,-FenetreFinCarriere*12),DateVigueur),$N483&lt;=$AB483),"Réalisé",IF(DateRef&gt;$AB483,"Non réalisé",IF(AND($Q483&lt;&gt;"",$Q483&gt;=EDATE($AB483,-FenetreFinCarriere*12),$Q483&lt;=$AB483),"Planifié dans la fenêtre",IF(AND(MAX($P483,DateRef)&gt;=EDATE($AB483,-FenetreFinCarriere*12),MAX($P483,DateRef)&lt;=$AB483),"Prochain EPP dans la fenêtre",IF(MAX($P483,DateRef)&gt;$AB483,"À programmer avant 60 ans",""))))))))</f>
        <v/>
      </c>
      <c r="AD483" s="40"/>
      <c r="AE483" s="43" t="str">
        <f aca="false">IF(OR($B483="",$H483="",AND($I483&lt;&gt;"",$I483&lt;=DateRef)),"",MAX($H483,$AD483,IF($A483="",0,SUMPRODUCT(MAX((Journal!$A$6:$A$1005=$A483)*((Journal!$D$6:$D$1005=TypeEDL)+(Journal!$D$6:$D$1005=TypeBilan6))*Journal!$C$6:$C$1005)))))</f>
        <v/>
      </c>
      <c r="AF483" s="43" t="str">
        <f aca="false">IF($AE483="","",IF(AND(ReglesTransitoires="Oui",EDATE($AE483,AnciennePeriodiciteEDL*12)&lt;DateVigueur),EDATE($AE483,AnciennePeriodiciteEDL*12),EDATE($AE483,PeriodiciteEDL*12)))</f>
        <v/>
      </c>
      <c r="AG483" s="42" t="str">
        <f aca="false">IF($AF483="","",IF(AND($I483&lt;&gt;"",$I483&lt;=DateRef),"",IF($AF483&lt;DateRef,"En retard",IF($AF483-DateRef&lt;=SeuilAlerteEDL,"À prévoir","À jour"))))</f>
        <v/>
      </c>
      <c r="AH483" s="39"/>
      <c r="AI483" s="39"/>
      <c r="AJ483" s="42" t="str">
        <f aca="false">IF(OR($B483="",$H483=""),"",IF(AND($I483&lt;&gt;"",$I483&lt;=DateRef),"",IF(Effectif&lt;SeuilEffectif,"Non concerné (&lt; "&amp;SeuilEffectif&amp;" salariés)",IF($AH483="Oui","Pas de risque",IF(AND(OR($AI483="Non",$S483="En retard"),$AH483="Non"),"Risque abondement",IF(OR($AI483="Non",$S483="En retard"),"À vérifier (formation ?)",IF($AI483="Oui","Pas de risque","À compléter")))))))</f>
        <v/>
      </c>
      <c r="AK483" s="39"/>
    </row>
    <row r="484" customFormat="false" ht="15" hidden="false" customHeight="false" outlineLevel="0" collapsed="false">
      <c r="A484" s="39"/>
      <c r="B484" s="39"/>
      <c r="C484" s="39"/>
      <c r="D484" s="39"/>
      <c r="E484" s="39"/>
      <c r="F484" s="39"/>
      <c r="G484" s="40"/>
      <c r="H484" s="40"/>
      <c r="I484" s="40"/>
      <c r="J484" s="41" t="str">
        <f aca="false">IF(OR($B484="",$H484=""),"",IF($H484&gt;DateRef,0,YEARFRAC($H484,DateRef,1)))</f>
        <v/>
      </c>
      <c r="K484" s="42" t="str">
        <f aca="false">IF(OR($B484="",$H484=""),"",IF(EDATE($H484,12)&lt;=DateRef,"Plus d'un an","Moins d'un an"))</f>
        <v/>
      </c>
      <c r="L484" s="40"/>
      <c r="M484" s="43" t="str">
        <f aca="false">IF(OR($B484="",$A484=""),"",IF(SUMPRODUCT(MAX((Journal!$A$6:$A$1005=$A484)*Journal!$C$6:$C$1005))=0,"",SUMPRODUCT(MAX((Journal!$A$6:$A$1005=$A484)*Journal!$C$6:$C$1005))))</f>
        <v/>
      </c>
      <c r="N484" s="43" t="str">
        <f aca="false">IF($B484="","",IF(MAX($L484,$M484)=0,"",MAX($L484,$M484)))</f>
        <v/>
      </c>
      <c r="O484" s="44" t="str">
        <f aca="false">IF(OR($B484="",$H484=""),"",IF($N484="",IF(EDATE($H484,DelaiPremierEPP)&gt;DateRef,"1er EPP (1re année)","Aucun entretien renseigné"),IF(AND(ReglesTransitoires="Oui",EDATE($N484,AnciennePeriodiciteEP*12)&lt;DateVigueur),"Retard antérieur à la réforme","Périodicité "&amp;PeriodiciteEPP&amp;" ans")))</f>
        <v/>
      </c>
      <c r="P484" s="43" t="str">
        <f aca="false">IF(OR($B484="",$H484=""),"",IF($N484="",EDATE($H484,DelaiPremierEPP),IF(AND(ReglesTransitoires="Oui",EDATE($N484,AnciennePeriodiciteEP*12)&lt;DateVigueur),EDATE($N484,AnciennePeriodiciteEP*12),EDATE($N484,PeriodiciteEPP*12))))</f>
        <v/>
      </c>
      <c r="Q484" s="40"/>
      <c r="R484" s="45" t="str">
        <f aca="false">IF(OR($P484="",AND($I484&lt;&gt;"",$I484&lt;=DateRef)),"",$P484-DateRef)</f>
        <v/>
      </c>
      <c r="S484" s="42" t="str">
        <f aca="false">IF($B484="","",IF(AND($I484&lt;&gt;"",$I484&lt;=DateRef),"Sorti",IF($H484="","À compléter",IF(AND($Q484&lt;&gt;"",$Q484&gt;=DateRef,$Q484&lt;=$P484),"Planifié",IF($R484&lt;0,"En retard",IF($R484&lt;=SeuilAlerteEPP,"À planifier","À jour"))))))</f>
        <v/>
      </c>
      <c r="T484" s="46" t="str">
        <f aca="false">IF(OR($B484="",$S484="Sorti"),"",MID(IF($H484=""," | Date d'embauche manquante","")&amp;IF(AND($K484="Plus d'un an",$N484="")," | Précédent entretien à renseigner (ancienneté &gt; 1 an)","")&amp;IF($O484="Retard antérieur à la réforme"," | Ancien délai de 2 ans expiré avant la réforme","")&amp;IF(AND($N484&lt;&gt;"",$H484&lt;&gt;"",$N484&lt;$H484)," | Entretien antérieur à l'embauche ?","")&amp;IF(AND($N484&lt;&gt;"",$N484&gt;DateRef)," | Entretien daté dans le futur ?","")&amp;IF(AND($Q484&lt;&gt;"",$P484&lt;&gt;"",$Q484&gt;$P484)," | Date prévue après l'échéance","")&amp;IF(AND($Q484&lt;&gt;"",$Q484&lt;DateRef,OR($N484="",$N484&lt;$Q484))," | Entretien prévu passé : le consigner au Journal","")&amp;IF(AND($G484&lt;&gt;"",$X484="",YEAR(DateRef)-YEAR($G484)&gt;=AgeMiCarriere-1,YEAR(DateRef)-YEAR($G484)&lt;=AgeMiCarriere+1)," | Visite de mi-carrière à vérifier",""),4,1000))</f>
        <v/>
      </c>
      <c r="U484" s="39"/>
      <c r="V484" s="40"/>
      <c r="W484" s="42" t="str">
        <f aca="false">IF(OR($B484="",$V484=""),"",IF(AND($I484&lt;&gt;"",$I484&lt;=DateRef),"",IF(AND($N484&lt;&gt;"",$N484&gt;=$V484),"Réalisé",IF(AND($N484&lt;&gt;"",$N484&gt;=EDATE($V484,-FenetreRetour)),"Dispensé (EPP récent)",IF($V484&gt;DateRef,"À prévoir à la reprise","À proposer (reprise passée)")))))</f>
        <v/>
      </c>
      <c r="X484" s="40"/>
      <c r="Y484" s="43" t="str">
        <f aca="false">IF(OR($B484="",$X484=""),"",EDATE($X484,DelaiMiCarriere))</f>
        <v/>
      </c>
      <c r="Z484" s="42" t="str">
        <f aca="false">IF(OR($B484="",$X484=""),"",IF(AND($I484&lt;&gt;"",$I484&lt;=DateRef),"",IF(AND($N484&lt;&gt;"",$N484&gt;=$X484),"Réalisé",IF($Y484&lt;DateRef,"En retard","À planifier"))))</f>
        <v/>
      </c>
      <c r="AA484" s="47" t="str">
        <f aca="false">IF(OR($B484="",$G484=""),"",IF($G484&gt;DateRef,"",DATEDIF($G484,DateRef,"y")))</f>
        <v/>
      </c>
      <c r="AB484" s="43" t="str">
        <f aca="false">IF(OR($B484="",$G484=""),"",EDATE($G484,AgeFinCarriere*12))</f>
        <v/>
      </c>
      <c r="AC484" s="42" t="str">
        <f aca="false">IF(OR($B484="",$G484="",$H484=""),"",IF(AND($I484&lt;&gt;"",$I484&lt;=DateRef),"",IF($AB484&lt;DateVigueur,"Non concerné",IF(AND($N484&lt;&gt;"",$N484&gt;=MAX(EDATE($AB484,-FenetreFinCarriere*12),DateVigueur),$N484&lt;=$AB484),"Réalisé",IF(DateRef&gt;$AB484,"Non réalisé",IF(AND($Q484&lt;&gt;"",$Q484&gt;=EDATE($AB484,-FenetreFinCarriere*12),$Q484&lt;=$AB484),"Planifié dans la fenêtre",IF(AND(MAX($P484,DateRef)&gt;=EDATE($AB484,-FenetreFinCarriere*12),MAX($P484,DateRef)&lt;=$AB484),"Prochain EPP dans la fenêtre",IF(MAX($P484,DateRef)&gt;$AB484,"À programmer avant 60 ans",""))))))))</f>
        <v/>
      </c>
      <c r="AD484" s="40"/>
      <c r="AE484" s="43" t="str">
        <f aca="false">IF(OR($B484="",$H484="",AND($I484&lt;&gt;"",$I484&lt;=DateRef)),"",MAX($H484,$AD484,IF($A484="",0,SUMPRODUCT(MAX((Journal!$A$6:$A$1005=$A484)*((Journal!$D$6:$D$1005=TypeEDL)+(Journal!$D$6:$D$1005=TypeBilan6))*Journal!$C$6:$C$1005)))))</f>
        <v/>
      </c>
      <c r="AF484" s="43" t="str">
        <f aca="false">IF($AE484="","",IF(AND(ReglesTransitoires="Oui",EDATE($AE484,AnciennePeriodiciteEDL*12)&lt;DateVigueur),EDATE($AE484,AnciennePeriodiciteEDL*12),EDATE($AE484,PeriodiciteEDL*12)))</f>
        <v/>
      </c>
      <c r="AG484" s="42" t="str">
        <f aca="false">IF($AF484="","",IF(AND($I484&lt;&gt;"",$I484&lt;=DateRef),"",IF($AF484&lt;DateRef,"En retard",IF($AF484-DateRef&lt;=SeuilAlerteEDL,"À prévoir","À jour"))))</f>
        <v/>
      </c>
      <c r="AH484" s="39"/>
      <c r="AI484" s="39"/>
      <c r="AJ484" s="42" t="str">
        <f aca="false">IF(OR($B484="",$H484=""),"",IF(AND($I484&lt;&gt;"",$I484&lt;=DateRef),"",IF(Effectif&lt;SeuilEffectif,"Non concerné (&lt; "&amp;SeuilEffectif&amp;" salariés)",IF($AH484="Oui","Pas de risque",IF(AND(OR($AI484="Non",$S484="En retard"),$AH484="Non"),"Risque abondement",IF(OR($AI484="Non",$S484="En retard"),"À vérifier (formation ?)",IF($AI484="Oui","Pas de risque","À compléter")))))))</f>
        <v/>
      </c>
      <c r="AK484" s="39"/>
    </row>
    <row r="485" customFormat="false" ht="15" hidden="false" customHeight="false" outlineLevel="0" collapsed="false">
      <c r="A485" s="39"/>
      <c r="B485" s="39"/>
      <c r="C485" s="39"/>
      <c r="D485" s="39"/>
      <c r="E485" s="39"/>
      <c r="F485" s="39"/>
      <c r="G485" s="40"/>
      <c r="H485" s="40"/>
      <c r="I485" s="40"/>
      <c r="J485" s="41" t="str">
        <f aca="false">IF(OR($B485="",$H485=""),"",IF($H485&gt;DateRef,0,YEARFRAC($H485,DateRef,1)))</f>
        <v/>
      </c>
      <c r="K485" s="42" t="str">
        <f aca="false">IF(OR($B485="",$H485=""),"",IF(EDATE($H485,12)&lt;=DateRef,"Plus d'un an","Moins d'un an"))</f>
        <v/>
      </c>
      <c r="L485" s="40"/>
      <c r="M485" s="43" t="str">
        <f aca="false">IF(OR($B485="",$A485=""),"",IF(SUMPRODUCT(MAX((Journal!$A$6:$A$1005=$A485)*Journal!$C$6:$C$1005))=0,"",SUMPRODUCT(MAX((Journal!$A$6:$A$1005=$A485)*Journal!$C$6:$C$1005))))</f>
        <v/>
      </c>
      <c r="N485" s="43" t="str">
        <f aca="false">IF($B485="","",IF(MAX($L485,$M485)=0,"",MAX($L485,$M485)))</f>
        <v/>
      </c>
      <c r="O485" s="44" t="str">
        <f aca="false">IF(OR($B485="",$H485=""),"",IF($N485="",IF(EDATE($H485,DelaiPremierEPP)&gt;DateRef,"1er EPP (1re année)","Aucun entretien renseigné"),IF(AND(ReglesTransitoires="Oui",EDATE($N485,AnciennePeriodiciteEP*12)&lt;DateVigueur),"Retard antérieur à la réforme","Périodicité "&amp;PeriodiciteEPP&amp;" ans")))</f>
        <v/>
      </c>
      <c r="P485" s="43" t="str">
        <f aca="false">IF(OR($B485="",$H485=""),"",IF($N485="",EDATE($H485,DelaiPremierEPP),IF(AND(ReglesTransitoires="Oui",EDATE($N485,AnciennePeriodiciteEP*12)&lt;DateVigueur),EDATE($N485,AnciennePeriodiciteEP*12),EDATE($N485,PeriodiciteEPP*12))))</f>
        <v/>
      </c>
      <c r="Q485" s="40"/>
      <c r="R485" s="45" t="str">
        <f aca="false">IF(OR($P485="",AND($I485&lt;&gt;"",$I485&lt;=DateRef)),"",$P485-DateRef)</f>
        <v/>
      </c>
      <c r="S485" s="42" t="str">
        <f aca="false">IF($B485="","",IF(AND($I485&lt;&gt;"",$I485&lt;=DateRef),"Sorti",IF($H485="","À compléter",IF(AND($Q485&lt;&gt;"",$Q485&gt;=DateRef,$Q485&lt;=$P485),"Planifié",IF($R485&lt;0,"En retard",IF($R485&lt;=SeuilAlerteEPP,"À planifier","À jour"))))))</f>
        <v/>
      </c>
      <c r="T485" s="46" t="str">
        <f aca="false">IF(OR($B485="",$S485="Sorti"),"",MID(IF($H485=""," | Date d'embauche manquante","")&amp;IF(AND($K485="Plus d'un an",$N485="")," | Précédent entretien à renseigner (ancienneté &gt; 1 an)","")&amp;IF($O485="Retard antérieur à la réforme"," | Ancien délai de 2 ans expiré avant la réforme","")&amp;IF(AND($N485&lt;&gt;"",$H485&lt;&gt;"",$N485&lt;$H485)," | Entretien antérieur à l'embauche ?","")&amp;IF(AND($N485&lt;&gt;"",$N485&gt;DateRef)," | Entretien daté dans le futur ?","")&amp;IF(AND($Q485&lt;&gt;"",$P485&lt;&gt;"",$Q485&gt;$P485)," | Date prévue après l'échéance","")&amp;IF(AND($Q485&lt;&gt;"",$Q485&lt;DateRef,OR($N485="",$N485&lt;$Q485))," | Entretien prévu passé : le consigner au Journal","")&amp;IF(AND($G485&lt;&gt;"",$X485="",YEAR(DateRef)-YEAR($G485)&gt;=AgeMiCarriere-1,YEAR(DateRef)-YEAR($G485)&lt;=AgeMiCarriere+1)," | Visite de mi-carrière à vérifier",""),4,1000))</f>
        <v/>
      </c>
      <c r="U485" s="39"/>
      <c r="V485" s="40"/>
      <c r="W485" s="42" t="str">
        <f aca="false">IF(OR($B485="",$V485=""),"",IF(AND($I485&lt;&gt;"",$I485&lt;=DateRef),"",IF(AND($N485&lt;&gt;"",$N485&gt;=$V485),"Réalisé",IF(AND($N485&lt;&gt;"",$N485&gt;=EDATE($V485,-FenetreRetour)),"Dispensé (EPP récent)",IF($V485&gt;DateRef,"À prévoir à la reprise","À proposer (reprise passée)")))))</f>
        <v/>
      </c>
      <c r="X485" s="40"/>
      <c r="Y485" s="43" t="str">
        <f aca="false">IF(OR($B485="",$X485=""),"",EDATE($X485,DelaiMiCarriere))</f>
        <v/>
      </c>
      <c r="Z485" s="42" t="str">
        <f aca="false">IF(OR($B485="",$X485=""),"",IF(AND($I485&lt;&gt;"",$I485&lt;=DateRef),"",IF(AND($N485&lt;&gt;"",$N485&gt;=$X485),"Réalisé",IF($Y485&lt;DateRef,"En retard","À planifier"))))</f>
        <v/>
      </c>
      <c r="AA485" s="47" t="str">
        <f aca="false">IF(OR($B485="",$G485=""),"",IF($G485&gt;DateRef,"",DATEDIF($G485,DateRef,"y")))</f>
        <v/>
      </c>
      <c r="AB485" s="43" t="str">
        <f aca="false">IF(OR($B485="",$G485=""),"",EDATE($G485,AgeFinCarriere*12))</f>
        <v/>
      </c>
      <c r="AC485" s="42" t="str">
        <f aca="false">IF(OR($B485="",$G485="",$H485=""),"",IF(AND($I485&lt;&gt;"",$I485&lt;=DateRef),"",IF($AB485&lt;DateVigueur,"Non concerné",IF(AND($N485&lt;&gt;"",$N485&gt;=MAX(EDATE($AB485,-FenetreFinCarriere*12),DateVigueur),$N485&lt;=$AB485),"Réalisé",IF(DateRef&gt;$AB485,"Non réalisé",IF(AND($Q485&lt;&gt;"",$Q485&gt;=EDATE($AB485,-FenetreFinCarriere*12),$Q485&lt;=$AB485),"Planifié dans la fenêtre",IF(AND(MAX($P485,DateRef)&gt;=EDATE($AB485,-FenetreFinCarriere*12),MAX($P485,DateRef)&lt;=$AB485),"Prochain EPP dans la fenêtre",IF(MAX($P485,DateRef)&gt;$AB485,"À programmer avant 60 ans",""))))))))</f>
        <v/>
      </c>
      <c r="AD485" s="40"/>
      <c r="AE485" s="43" t="str">
        <f aca="false">IF(OR($B485="",$H485="",AND($I485&lt;&gt;"",$I485&lt;=DateRef)),"",MAX($H485,$AD485,IF($A485="",0,SUMPRODUCT(MAX((Journal!$A$6:$A$1005=$A485)*((Journal!$D$6:$D$1005=TypeEDL)+(Journal!$D$6:$D$1005=TypeBilan6))*Journal!$C$6:$C$1005)))))</f>
        <v/>
      </c>
      <c r="AF485" s="43" t="str">
        <f aca="false">IF($AE485="","",IF(AND(ReglesTransitoires="Oui",EDATE($AE485,AnciennePeriodiciteEDL*12)&lt;DateVigueur),EDATE($AE485,AnciennePeriodiciteEDL*12),EDATE($AE485,PeriodiciteEDL*12)))</f>
        <v/>
      </c>
      <c r="AG485" s="42" t="str">
        <f aca="false">IF($AF485="","",IF(AND($I485&lt;&gt;"",$I485&lt;=DateRef),"",IF($AF485&lt;DateRef,"En retard",IF($AF485-DateRef&lt;=SeuilAlerteEDL,"À prévoir","À jour"))))</f>
        <v/>
      </c>
      <c r="AH485" s="39"/>
      <c r="AI485" s="39"/>
      <c r="AJ485" s="42" t="str">
        <f aca="false">IF(OR($B485="",$H485=""),"",IF(AND($I485&lt;&gt;"",$I485&lt;=DateRef),"",IF(Effectif&lt;SeuilEffectif,"Non concerné (&lt; "&amp;SeuilEffectif&amp;" salariés)",IF($AH485="Oui","Pas de risque",IF(AND(OR($AI485="Non",$S485="En retard"),$AH485="Non"),"Risque abondement",IF(OR($AI485="Non",$S485="En retard"),"À vérifier (formation ?)",IF($AI485="Oui","Pas de risque","À compléter")))))))</f>
        <v/>
      </c>
      <c r="AK485" s="39"/>
    </row>
    <row r="486" customFormat="false" ht="15" hidden="false" customHeight="false" outlineLevel="0" collapsed="false">
      <c r="A486" s="39"/>
      <c r="B486" s="39"/>
      <c r="C486" s="39"/>
      <c r="D486" s="39"/>
      <c r="E486" s="39"/>
      <c r="F486" s="39"/>
      <c r="G486" s="40"/>
      <c r="H486" s="40"/>
      <c r="I486" s="40"/>
      <c r="J486" s="41" t="str">
        <f aca="false">IF(OR($B486="",$H486=""),"",IF($H486&gt;DateRef,0,YEARFRAC($H486,DateRef,1)))</f>
        <v/>
      </c>
      <c r="K486" s="42" t="str">
        <f aca="false">IF(OR($B486="",$H486=""),"",IF(EDATE($H486,12)&lt;=DateRef,"Plus d'un an","Moins d'un an"))</f>
        <v/>
      </c>
      <c r="L486" s="40"/>
      <c r="M486" s="43" t="str">
        <f aca="false">IF(OR($B486="",$A486=""),"",IF(SUMPRODUCT(MAX((Journal!$A$6:$A$1005=$A486)*Journal!$C$6:$C$1005))=0,"",SUMPRODUCT(MAX((Journal!$A$6:$A$1005=$A486)*Journal!$C$6:$C$1005))))</f>
        <v/>
      </c>
      <c r="N486" s="43" t="str">
        <f aca="false">IF($B486="","",IF(MAX($L486,$M486)=0,"",MAX($L486,$M486)))</f>
        <v/>
      </c>
      <c r="O486" s="44" t="str">
        <f aca="false">IF(OR($B486="",$H486=""),"",IF($N486="",IF(EDATE($H486,DelaiPremierEPP)&gt;DateRef,"1er EPP (1re année)","Aucun entretien renseigné"),IF(AND(ReglesTransitoires="Oui",EDATE($N486,AnciennePeriodiciteEP*12)&lt;DateVigueur),"Retard antérieur à la réforme","Périodicité "&amp;PeriodiciteEPP&amp;" ans")))</f>
        <v/>
      </c>
      <c r="P486" s="43" t="str">
        <f aca="false">IF(OR($B486="",$H486=""),"",IF($N486="",EDATE($H486,DelaiPremierEPP),IF(AND(ReglesTransitoires="Oui",EDATE($N486,AnciennePeriodiciteEP*12)&lt;DateVigueur),EDATE($N486,AnciennePeriodiciteEP*12),EDATE($N486,PeriodiciteEPP*12))))</f>
        <v/>
      </c>
      <c r="Q486" s="40"/>
      <c r="R486" s="45" t="str">
        <f aca="false">IF(OR($P486="",AND($I486&lt;&gt;"",$I486&lt;=DateRef)),"",$P486-DateRef)</f>
        <v/>
      </c>
      <c r="S486" s="42" t="str">
        <f aca="false">IF($B486="","",IF(AND($I486&lt;&gt;"",$I486&lt;=DateRef),"Sorti",IF($H486="","À compléter",IF(AND($Q486&lt;&gt;"",$Q486&gt;=DateRef,$Q486&lt;=$P486),"Planifié",IF($R486&lt;0,"En retard",IF($R486&lt;=SeuilAlerteEPP,"À planifier","À jour"))))))</f>
        <v/>
      </c>
      <c r="T486" s="46" t="str">
        <f aca="false">IF(OR($B486="",$S486="Sorti"),"",MID(IF($H486=""," | Date d'embauche manquante","")&amp;IF(AND($K486="Plus d'un an",$N486="")," | Précédent entretien à renseigner (ancienneté &gt; 1 an)","")&amp;IF($O486="Retard antérieur à la réforme"," | Ancien délai de 2 ans expiré avant la réforme","")&amp;IF(AND($N486&lt;&gt;"",$H486&lt;&gt;"",$N486&lt;$H486)," | Entretien antérieur à l'embauche ?","")&amp;IF(AND($N486&lt;&gt;"",$N486&gt;DateRef)," | Entretien daté dans le futur ?","")&amp;IF(AND($Q486&lt;&gt;"",$P486&lt;&gt;"",$Q486&gt;$P486)," | Date prévue après l'échéance","")&amp;IF(AND($Q486&lt;&gt;"",$Q486&lt;DateRef,OR($N486="",$N486&lt;$Q486))," | Entretien prévu passé : le consigner au Journal","")&amp;IF(AND($G486&lt;&gt;"",$X486="",YEAR(DateRef)-YEAR($G486)&gt;=AgeMiCarriere-1,YEAR(DateRef)-YEAR($G486)&lt;=AgeMiCarriere+1)," | Visite de mi-carrière à vérifier",""),4,1000))</f>
        <v/>
      </c>
      <c r="U486" s="39"/>
      <c r="V486" s="40"/>
      <c r="W486" s="42" t="str">
        <f aca="false">IF(OR($B486="",$V486=""),"",IF(AND($I486&lt;&gt;"",$I486&lt;=DateRef),"",IF(AND($N486&lt;&gt;"",$N486&gt;=$V486),"Réalisé",IF(AND($N486&lt;&gt;"",$N486&gt;=EDATE($V486,-FenetreRetour)),"Dispensé (EPP récent)",IF($V486&gt;DateRef,"À prévoir à la reprise","À proposer (reprise passée)")))))</f>
        <v/>
      </c>
      <c r="X486" s="40"/>
      <c r="Y486" s="43" t="str">
        <f aca="false">IF(OR($B486="",$X486=""),"",EDATE($X486,DelaiMiCarriere))</f>
        <v/>
      </c>
      <c r="Z486" s="42" t="str">
        <f aca="false">IF(OR($B486="",$X486=""),"",IF(AND($I486&lt;&gt;"",$I486&lt;=DateRef),"",IF(AND($N486&lt;&gt;"",$N486&gt;=$X486),"Réalisé",IF($Y486&lt;DateRef,"En retard","À planifier"))))</f>
        <v/>
      </c>
      <c r="AA486" s="47" t="str">
        <f aca="false">IF(OR($B486="",$G486=""),"",IF($G486&gt;DateRef,"",DATEDIF($G486,DateRef,"y")))</f>
        <v/>
      </c>
      <c r="AB486" s="43" t="str">
        <f aca="false">IF(OR($B486="",$G486=""),"",EDATE($G486,AgeFinCarriere*12))</f>
        <v/>
      </c>
      <c r="AC486" s="42" t="str">
        <f aca="false">IF(OR($B486="",$G486="",$H486=""),"",IF(AND($I486&lt;&gt;"",$I486&lt;=DateRef),"",IF($AB486&lt;DateVigueur,"Non concerné",IF(AND($N486&lt;&gt;"",$N486&gt;=MAX(EDATE($AB486,-FenetreFinCarriere*12),DateVigueur),$N486&lt;=$AB486),"Réalisé",IF(DateRef&gt;$AB486,"Non réalisé",IF(AND($Q486&lt;&gt;"",$Q486&gt;=EDATE($AB486,-FenetreFinCarriere*12),$Q486&lt;=$AB486),"Planifié dans la fenêtre",IF(AND(MAX($P486,DateRef)&gt;=EDATE($AB486,-FenetreFinCarriere*12),MAX($P486,DateRef)&lt;=$AB486),"Prochain EPP dans la fenêtre",IF(MAX($P486,DateRef)&gt;$AB486,"À programmer avant 60 ans",""))))))))</f>
        <v/>
      </c>
      <c r="AD486" s="40"/>
      <c r="AE486" s="43" t="str">
        <f aca="false">IF(OR($B486="",$H486="",AND($I486&lt;&gt;"",$I486&lt;=DateRef)),"",MAX($H486,$AD486,IF($A486="",0,SUMPRODUCT(MAX((Journal!$A$6:$A$1005=$A486)*((Journal!$D$6:$D$1005=TypeEDL)+(Journal!$D$6:$D$1005=TypeBilan6))*Journal!$C$6:$C$1005)))))</f>
        <v/>
      </c>
      <c r="AF486" s="43" t="str">
        <f aca="false">IF($AE486="","",IF(AND(ReglesTransitoires="Oui",EDATE($AE486,AnciennePeriodiciteEDL*12)&lt;DateVigueur),EDATE($AE486,AnciennePeriodiciteEDL*12),EDATE($AE486,PeriodiciteEDL*12)))</f>
        <v/>
      </c>
      <c r="AG486" s="42" t="str">
        <f aca="false">IF($AF486="","",IF(AND($I486&lt;&gt;"",$I486&lt;=DateRef),"",IF($AF486&lt;DateRef,"En retard",IF($AF486-DateRef&lt;=SeuilAlerteEDL,"À prévoir","À jour"))))</f>
        <v/>
      </c>
      <c r="AH486" s="39"/>
      <c r="AI486" s="39"/>
      <c r="AJ486" s="42" t="str">
        <f aca="false">IF(OR($B486="",$H486=""),"",IF(AND($I486&lt;&gt;"",$I486&lt;=DateRef),"",IF(Effectif&lt;SeuilEffectif,"Non concerné (&lt; "&amp;SeuilEffectif&amp;" salariés)",IF($AH486="Oui","Pas de risque",IF(AND(OR($AI486="Non",$S486="En retard"),$AH486="Non"),"Risque abondement",IF(OR($AI486="Non",$S486="En retard"),"À vérifier (formation ?)",IF($AI486="Oui","Pas de risque","À compléter")))))))</f>
        <v/>
      </c>
      <c r="AK486" s="39"/>
    </row>
    <row r="487" customFormat="false" ht="15" hidden="false" customHeight="false" outlineLevel="0" collapsed="false">
      <c r="A487" s="39"/>
      <c r="B487" s="39"/>
      <c r="C487" s="39"/>
      <c r="D487" s="39"/>
      <c r="E487" s="39"/>
      <c r="F487" s="39"/>
      <c r="G487" s="40"/>
      <c r="H487" s="40"/>
      <c r="I487" s="40"/>
      <c r="J487" s="41" t="str">
        <f aca="false">IF(OR($B487="",$H487=""),"",IF($H487&gt;DateRef,0,YEARFRAC($H487,DateRef,1)))</f>
        <v/>
      </c>
      <c r="K487" s="42" t="str">
        <f aca="false">IF(OR($B487="",$H487=""),"",IF(EDATE($H487,12)&lt;=DateRef,"Plus d'un an","Moins d'un an"))</f>
        <v/>
      </c>
      <c r="L487" s="40"/>
      <c r="M487" s="43" t="str">
        <f aca="false">IF(OR($B487="",$A487=""),"",IF(SUMPRODUCT(MAX((Journal!$A$6:$A$1005=$A487)*Journal!$C$6:$C$1005))=0,"",SUMPRODUCT(MAX((Journal!$A$6:$A$1005=$A487)*Journal!$C$6:$C$1005))))</f>
        <v/>
      </c>
      <c r="N487" s="43" t="str">
        <f aca="false">IF($B487="","",IF(MAX($L487,$M487)=0,"",MAX($L487,$M487)))</f>
        <v/>
      </c>
      <c r="O487" s="44" t="str">
        <f aca="false">IF(OR($B487="",$H487=""),"",IF($N487="",IF(EDATE($H487,DelaiPremierEPP)&gt;DateRef,"1er EPP (1re année)","Aucun entretien renseigné"),IF(AND(ReglesTransitoires="Oui",EDATE($N487,AnciennePeriodiciteEP*12)&lt;DateVigueur),"Retard antérieur à la réforme","Périodicité "&amp;PeriodiciteEPP&amp;" ans")))</f>
        <v/>
      </c>
      <c r="P487" s="43" t="str">
        <f aca="false">IF(OR($B487="",$H487=""),"",IF($N487="",EDATE($H487,DelaiPremierEPP),IF(AND(ReglesTransitoires="Oui",EDATE($N487,AnciennePeriodiciteEP*12)&lt;DateVigueur),EDATE($N487,AnciennePeriodiciteEP*12),EDATE($N487,PeriodiciteEPP*12))))</f>
        <v/>
      </c>
      <c r="Q487" s="40"/>
      <c r="R487" s="45" t="str">
        <f aca="false">IF(OR($P487="",AND($I487&lt;&gt;"",$I487&lt;=DateRef)),"",$P487-DateRef)</f>
        <v/>
      </c>
      <c r="S487" s="42" t="str">
        <f aca="false">IF($B487="","",IF(AND($I487&lt;&gt;"",$I487&lt;=DateRef),"Sorti",IF($H487="","À compléter",IF(AND($Q487&lt;&gt;"",$Q487&gt;=DateRef,$Q487&lt;=$P487),"Planifié",IF($R487&lt;0,"En retard",IF($R487&lt;=SeuilAlerteEPP,"À planifier","À jour"))))))</f>
        <v/>
      </c>
      <c r="T487" s="46" t="str">
        <f aca="false">IF(OR($B487="",$S487="Sorti"),"",MID(IF($H487=""," | Date d'embauche manquante","")&amp;IF(AND($K487="Plus d'un an",$N487="")," | Précédent entretien à renseigner (ancienneté &gt; 1 an)","")&amp;IF($O487="Retard antérieur à la réforme"," | Ancien délai de 2 ans expiré avant la réforme","")&amp;IF(AND($N487&lt;&gt;"",$H487&lt;&gt;"",$N487&lt;$H487)," | Entretien antérieur à l'embauche ?","")&amp;IF(AND($N487&lt;&gt;"",$N487&gt;DateRef)," | Entretien daté dans le futur ?","")&amp;IF(AND($Q487&lt;&gt;"",$P487&lt;&gt;"",$Q487&gt;$P487)," | Date prévue après l'échéance","")&amp;IF(AND($Q487&lt;&gt;"",$Q487&lt;DateRef,OR($N487="",$N487&lt;$Q487))," | Entretien prévu passé : le consigner au Journal","")&amp;IF(AND($G487&lt;&gt;"",$X487="",YEAR(DateRef)-YEAR($G487)&gt;=AgeMiCarriere-1,YEAR(DateRef)-YEAR($G487)&lt;=AgeMiCarriere+1)," | Visite de mi-carrière à vérifier",""),4,1000))</f>
        <v/>
      </c>
      <c r="U487" s="39"/>
      <c r="V487" s="40"/>
      <c r="W487" s="42" t="str">
        <f aca="false">IF(OR($B487="",$V487=""),"",IF(AND($I487&lt;&gt;"",$I487&lt;=DateRef),"",IF(AND($N487&lt;&gt;"",$N487&gt;=$V487),"Réalisé",IF(AND($N487&lt;&gt;"",$N487&gt;=EDATE($V487,-FenetreRetour)),"Dispensé (EPP récent)",IF($V487&gt;DateRef,"À prévoir à la reprise","À proposer (reprise passée)")))))</f>
        <v/>
      </c>
      <c r="X487" s="40"/>
      <c r="Y487" s="43" t="str">
        <f aca="false">IF(OR($B487="",$X487=""),"",EDATE($X487,DelaiMiCarriere))</f>
        <v/>
      </c>
      <c r="Z487" s="42" t="str">
        <f aca="false">IF(OR($B487="",$X487=""),"",IF(AND($I487&lt;&gt;"",$I487&lt;=DateRef),"",IF(AND($N487&lt;&gt;"",$N487&gt;=$X487),"Réalisé",IF($Y487&lt;DateRef,"En retard","À planifier"))))</f>
        <v/>
      </c>
      <c r="AA487" s="47" t="str">
        <f aca="false">IF(OR($B487="",$G487=""),"",IF($G487&gt;DateRef,"",DATEDIF($G487,DateRef,"y")))</f>
        <v/>
      </c>
      <c r="AB487" s="43" t="str">
        <f aca="false">IF(OR($B487="",$G487=""),"",EDATE($G487,AgeFinCarriere*12))</f>
        <v/>
      </c>
      <c r="AC487" s="42" t="str">
        <f aca="false">IF(OR($B487="",$G487="",$H487=""),"",IF(AND($I487&lt;&gt;"",$I487&lt;=DateRef),"",IF($AB487&lt;DateVigueur,"Non concerné",IF(AND($N487&lt;&gt;"",$N487&gt;=MAX(EDATE($AB487,-FenetreFinCarriere*12),DateVigueur),$N487&lt;=$AB487),"Réalisé",IF(DateRef&gt;$AB487,"Non réalisé",IF(AND($Q487&lt;&gt;"",$Q487&gt;=EDATE($AB487,-FenetreFinCarriere*12),$Q487&lt;=$AB487),"Planifié dans la fenêtre",IF(AND(MAX($P487,DateRef)&gt;=EDATE($AB487,-FenetreFinCarriere*12),MAX($P487,DateRef)&lt;=$AB487),"Prochain EPP dans la fenêtre",IF(MAX($P487,DateRef)&gt;$AB487,"À programmer avant 60 ans",""))))))))</f>
        <v/>
      </c>
      <c r="AD487" s="40"/>
      <c r="AE487" s="43" t="str">
        <f aca="false">IF(OR($B487="",$H487="",AND($I487&lt;&gt;"",$I487&lt;=DateRef)),"",MAX($H487,$AD487,IF($A487="",0,SUMPRODUCT(MAX((Journal!$A$6:$A$1005=$A487)*((Journal!$D$6:$D$1005=TypeEDL)+(Journal!$D$6:$D$1005=TypeBilan6))*Journal!$C$6:$C$1005)))))</f>
        <v/>
      </c>
      <c r="AF487" s="43" t="str">
        <f aca="false">IF($AE487="","",IF(AND(ReglesTransitoires="Oui",EDATE($AE487,AnciennePeriodiciteEDL*12)&lt;DateVigueur),EDATE($AE487,AnciennePeriodiciteEDL*12),EDATE($AE487,PeriodiciteEDL*12)))</f>
        <v/>
      </c>
      <c r="AG487" s="42" t="str">
        <f aca="false">IF($AF487="","",IF(AND($I487&lt;&gt;"",$I487&lt;=DateRef),"",IF($AF487&lt;DateRef,"En retard",IF($AF487-DateRef&lt;=SeuilAlerteEDL,"À prévoir","À jour"))))</f>
        <v/>
      </c>
      <c r="AH487" s="39"/>
      <c r="AI487" s="39"/>
      <c r="AJ487" s="42" t="str">
        <f aca="false">IF(OR($B487="",$H487=""),"",IF(AND($I487&lt;&gt;"",$I487&lt;=DateRef),"",IF(Effectif&lt;SeuilEffectif,"Non concerné (&lt; "&amp;SeuilEffectif&amp;" salariés)",IF($AH487="Oui","Pas de risque",IF(AND(OR($AI487="Non",$S487="En retard"),$AH487="Non"),"Risque abondement",IF(OR($AI487="Non",$S487="En retard"),"À vérifier (formation ?)",IF($AI487="Oui","Pas de risque","À compléter")))))))</f>
        <v/>
      </c>
      <c r="AK487" s="39"/>
    </row>
    <row r="488" customFormat="false" ht="15" hidden="false" customHeight="false" outlineLevel="0" collapsed="false">
      <c r="A488" s="39"/>
      <c r="B488" s="39"/>
      <c r="C488" s="39"/>
      <c r="D488" s="39"/>
      <c r="E488" s="39"/>
      <c r="F488" s="39"/>
      <c r="G488" s="40"/>
      <c r="H488" s="40"/>
      <c r="I488" s="40"/>
      <c r="J488" s="41" t="str">
        <f aca="false">IF(OR($B488="",$H488=""),"",IF($H488&gt;DateRef,0,YEARFRAC($H488,DateRef,1)))</f>
        <v/>
      </c>
      <c r="K488" s="42" t="str">
        <f aca="false">IF(OR($B488="",$H488=""),"",IF(EDATE($H488,12)&lt;=DateRef,"Plus d'un an","Moins d'un an"))</f>
        <v/>
      </c>
      <c r="L488" s="40"/>
      <c r="M488" s="43" t="str">
        <f aca="false">IF(OR($B488="",$A488=""),"",IF(SUMPRODUCT(MAX((Journal!$A$6:$A$1005=$A488)*Journal!$C$6:$C$1005))=0,"",SUMPRODUCT(MAX((Journal!$A$6:$A$1005=$A488)*Journal!$C$6:$C$1005))))</f>
        <v/>
      </c>
      <c r="N488" s="43" t="str">
        <f aca="false">IF($B488="","",IF(MAX($L488,$M488)=0,"",MAX($L488,$M488)))</f>
        <v/>
      </c>
      <c r="O488" s="44" t="str">
        <f aca="false">IF(OR($B488="",$H488=""),"",IF($N488="",IF(EDATE($H488,DelaiPremierEPP)&gt;DateRef,"1er EPP (1re année)","Aucun entretien renseigné"),IF(AND(ReglesTransitoires="Oui",EDATE($N488,AnciennePeriodiciteEP*12)&lt;DateVigueur),"Retard antérieur à la réforme","Périodicité "&amp;PeriodiciteEPP&amp;" ans")))</f>
        <v/>
      </c>
      <c r="P488" s="43" t="str">
        <f aca="false">IF(OR($B488="",$H488=""),"",IF($N488="",EDATE($H488,DelaiPremierEPP),IF(AND(ReglesTransitoires="Oui",EDATE($N488,AnciennePeriodiciteEP*12)&lt;DateVigueur),EDATE($N488,AnciennePeriodiciteEP*12),EDATE($N488,PeriodiciteEPP*12))))</f>
        <v/>
      </c>
      <c r="Q488" s="40"/>
      <c r="R488" s="45" t="str">
        <f aca="false">IF(OR($P488="",AND($I488&lt;&gt;"",$I488&lt;=DateRef)),"",$P488-DateRef)</f>
        <v/>
      </c>
      <c r="S488" s="42" t="str">
        <f aca="false">IF($B488="","",IF(AND($I488&lt;&gt;"",$I488&lt;=DateRef),"Sorti",IF($H488="","À compléter",IF(AND($Q488&lt;&gt;"",$Q488&gt;=DateRef,$Q488&lt;=$P488),"Planifié",IF($R488&lt;0,"En retard",IF($R488&lt;=SeuilAlerteEPP,"À planifier","À jour"))))))</f>
        <v/>
      </c>
      <c r="T488" s="46" t="str">
        <f aca="false">IF(OR($B488="",$S488="Sorti"),"",MID(IF($H488=""," | Date d'embauche manquante","")&amp;IF(AND($K488="Plus d'un an",$N488="")," | Précédent entretien à renseigner (ancienneté &gt; 1 an)","")&amp;IF($O488="Retard antérieur à la réforme"," | Ancien délai de 2 ans expiré avant la réforme","")&amp;IF(AND($N488&lt;&gt;"",$H488&lt;&gt;"",$N488&lt;$H488)," | Entretien antérieur à l'embauche ?","")&amp;IF(AND($N488&lt;&gt;"",$N488&gt;DateRef)," | Entretien daté dans le futur ?","")&amp;IF(AND($Q488&lt;&gt;"",$P488&lt;&gt;"",$Q488&gt;$P488)," | Date prévue après l'échéance","")&amp;IF(AND($Q488&lt;&gt;"",$Q488&lt;DateRef,OR($N488="",$N488&lt;$Q488))," | Entretien prévu passé : le consigner au Journal","")&amp;IF(AND($G488&lt;&gt;"",$X488="",YEAR(DateRef)-YEAR($G488)&gt;=AgeMiCarriere-1,YEAR(DateRef)-YEAR($G488)&lt;=AgeMiCarriere+1)," | Visite de mi-carrière à vérifier",""),4,1000))</f>
        <v/>
      </c>
      <c r="U488" s="39"/>
      <c r="V488" s="40"/>
      <c r="W488" s="42" t="str">
        <f aca="false">IF(OR($B488="",$V488=""),"",IF(AND($I488&lt;&gt;"",$I488&lt;=DateRef),"",IF(AND($N488&lt;&gt;"",$N488&gt;=$V488),"Réalisé",IF(AND($N488&lt;&gt;"",$N488&gt;=EDATE($V488,-FenetreRetour)),"Dispensé (EPP récent)",IF($V488&gt;DateRef,"À prévoir à la reprise","À proposer (reprise passée)")))))</f>
        <v/>
      </c>
      <c r="X488" s="40"/>
      <c r="Y488" s="43" t="str">
        <f aca="false">IF(OR($B488="",$X488=""),"",EDATE($X488,DelaiMiCarriere))</f>
        <v/>
      </c>
      <c r="Z488" s="42" t="str">
        <f aca="false">IF(OR($B488="",$X488=""),"",IF(AND($I488&lt;&gt;"",$I488&lt;=DateRef),"",IF(AND($N488&lt;&gt;"",$N488&gt;=$X488),"Réalisé",IF($Y488&lt;DateRef,"En retard","À planifier"))))</f>
        <v/>
      </c>
      <c r="AA488" s="47" t="str">
        <f aca="false">IF(OR($B488="",$G488=""),"",IF($G488&gt;DateRef,"",DATEDIF($G488,DateRef,"y")))</f>
        <v/>
      </c>
      <c r="AB488" s="43" t="str">
        <f aca="false">IF(OR($B488="",$G488=""),"",EDATE($G488,AgeFinCarriere*12))</f>
        <v/>
      </c>
      <c r="AC488" s="42" t="str">
        <f aca="false">IF(OR($B488="",$G488="",$H488=""),"",IF(AND($I488&lt;&gt;"",$I488&lt;=DateRef),"",IF($AB488&lt;DateVigueur,"Non concerné",IF(AND($N488&lt;&gt;"",$N488&gt;=MAX(EDATE($AB488,-FenetreFinCarriere*12),DateVigueur),$N488&lt;=$AB488),"Réalisé",IF(DateRef&gt;$AB488,"Non réalisé",IF(AND($Q488&lt;&gt;"",$Q488&gt;=EDATE($AB488,-FenetreFinCarriere*12),$Q488&lt;=$AB488),"Planifié dans la fenêtre",IF(AND(MAX($P488,DateRef)&gt;=EDATE($AB488,-FenetreFinCarriere*12),MAX($P488,DateRef)&lt;=$AB488),"Prochain EPP dans la fenêtre",IF(MAX($P488,DateRef)&gt;$AB488,"À programmer avant 60 ans",""))))))))</f>
        <v/>
      </c>
      <c r="AD488" s="40"/>
      <c r="AE488" s="43" t="str">
        <f aca="false">IF(OR($B488="",$H488="",AND($I488&lt;&gt;"",$I488&lt;=DateRef)),"",MAX($H488,$AD488,IF($A488="",0,SUMPRODUCT(MAX((Journal!$A$6:$A$1005=$A488)*((Journal!$D$6:$D$1005=TypeEDL)+(Journal!$D$6:$D$1005=TypeBilan6))*Journal!$C$6:$C$1005)))))</f>
        <v/>
      </c>
      <c r="AF488" s="43" t="str">
        <f aca="false">IF($AE488="","",IF(AND(ReglesTransitoires="Oui",EDATE($AE488,AnciennePeriodiciteEDL*12)&lt;DateVigueur),EDATE($AE488,AnciennePeriodiciteEDL*12),EDATE($AE488,PeriodiciteEDL*12)))</f>
        <v/>
      </c>
      <c r="AG488" s="42" t="str">
        <f aca="false">IF($AF488="","",IF(AND($I488&lt;&gt;"",$I488&lt;=DateRef),"",IF($AF488&lt;DateRef,"En retard",IF($AF488-DateRef&lt;=SeuilAlerteEDL,"À prévoir","À jour"))))</f>
        <v/>
      </c>
      <c r="AH488" s="39"/>
      <c r="AI488" s="39"/>
      <c r="AJ488" s="42" t="str">
        <f aca="false">IF(OR($B488="",$H488=""),"",IF(AND($I488&lt;&gt;"",$I488&lt;=DateRef),"",IF(Effectif&lt;SeuilEffectif,"Non concerné (&lt; "&amp;SeuilEffectif&amp;" salariés)",IF($AH488="Oui","Pas de risque",IF(AND(OR($AI488="Non",$S488="En retard"),$AH488="Non"),"Risque abondement",IF(OR($AI488="Non",$S488="En retard"),"À vérifier (formation ?)",IF($AI488="Oui","Pas de risque","À compléter")))))))</f>
        <v/>
      </c>
      <c r="AK488" s="39"/>
    </row>
    <row r="489" customFormat="false" ht="15" hidden="false" customHeight="false" outlineLevel="0" collapsed="false">
      <c r="A489" s="39"/>
      <c r="B489" s="39"/>
      <c r="C489" s="39"/>
      <c r="D489" s="39"/>
      <c r="E489" s="39"/>
      <c r="F489" s="39"/>
      <c r="G489" s="40"/>
      <c r="H489" s="40"/>
      <c r="I489" s="40"/>
      <c r="J489" s="41" t="str">
        <f aca="false">IF(OR($B489="",$H489=""),"",IF($H489&gt;DateRef,0,YEARFRAC($H489,DateRef,1)))</f>
        <v/>
      </c>
      <c r="K489" s="42" t="str">
        <f aca="false">IF(OR($B489="",$H489=""),"",IF(EDATE($H489,12)&lt;=DateRef,"Plus d'un an","Moins d'un an"))</f>
        <v/>
      </c>
      <c r="L489" s="40"/>
      <c r="M489" s="43" t="str">
        <f aca="false">IF(OR($B489="",$A489=""),"",IF(SUMPRODUCT(MAX((Journal!$A$6:$A$1005=$A489)*Journal!$C$6:$C$1005))=0,"",SUMPRODUCT(MAX((Journal!$A$6:$A$1005=$A489)*Journal!$C$6:$C$1005))))</f>
        <v/>
      </c>
      <c r="N489" s="43" t="str">
        <f aca="false">IF($B489="","",IF(MAX($L489,$M489)=0,"",MAX($L489,$M489)))</f>
        <v/>
      </c>
      <c r="O489" s="44" t="str">
        <f aca="false">IF(OR($B489="",$H489=""),"",IF($N489="",IF(EDATE($H489,DelaiPremierEPP)&gt;DateRef,"1er EPP (1re année)","Aucun entretien renseigné"),IF(AND(ReglesTransitoires="Oui",EDATE($N489,AnciennePeriodiciteEP*12)&lt;DateVigueur),"Retard antérieur à la réforme","Périodicité "&amp;PeriodiciteEPP&amp;" ans")))</f>
        <v/>
      </c>
      <c r="P489" s="43" t="str">
        <f aca="false">IF(OR($B489="",$H489=""),"",IF($N489="",EDATE($H489,DelaiPremierEPP),IF(AND(ReglesTransitoires="Oui",EDATE($N489,AnciennePeriodiciteEP*12)&lt;DateVigueur),EDATE($N489,AnciennePeriodiciteEP*12),EDATE($N489,PeriodiciteEPP*12))))</f>
        <v/>
      </c>
      <c r="Q489" s="40"/>
      <c r="R489" s="45" t="str">
        <f aca="false">IF(OR($P489="",AND($I489&lt;&gt;"",$I489&lt;=DateRef)),"",$P489-DateRef)</f>
        <v/>
      </c>
      <c r="S489" s="42" t="str">
        <f aca="false">IF($B489="","",IF(AND($I489&lt;&gt;"",$I489&lt;=DateRef),"Sorti",IF($H489="","À compléter",IF(AND($Q489&lt;&gt;"",$Q489&gt;=DateRef,$Q489&lt;=$P489),"Planifié",IF($R489&lt;0,"En retard",IF($R489&lt;=SeuilAlerteEPP,"À planifier","À jour"))))))</f>
        <v/>
      </c>
      <c r="T489" s="46" t="str">
        <f aca="false">IF(OR($B489="",$S489="Sorti"),"",MID(IF($H489=""," | Date d'embauche manquante","")&amp;IF(AND($K489="Plus d'un an",$N489="")," | Précédent entretien à renseigner (ancienneté &gt; 1 an)","")&amp;IF($O489="Retard antérieur à la réforme"," | Ancien délai de 2 ans expiré avant la réforme","")&amp;IF(AND($N489&lt;&gt;"",$H489&lt;&gt;"",$N489&lt;$H489)," | Entretien antérieur à l'embauche ?","")&amp;IF(AND($N489&lt;&gt;"",$N489&gt;DateRef)," | Entretien daté dans le futur ?","")&amp;IF(AND($Q489&lt;&gt;"",$P489&lt;&gt;"",$Q489&gt;$P489)," | Date prévue après l'échéance","")&amp;IF(AND($Q489&lt;&gt;"",$Q489&lt;DateRef,OR($N489="",$N489&lt;$Q489))," | Entretien prévu passé : le consigner au Journal","")&amp;IF(AND($G489&lt;&gt;"",$X489="",YEAR(DateRef)-YEAR($G489)&gt;=AgeMiCarriere-1,YEAR(DateRef)-YEAR($G489)&lt;=AgeMiCarriere+1)," | Visite de mi-carrière à vérifier",""),4,1000))</f>
        <v/>
      </c>
      <c r="U489" s="39"/>
      <c r="V489" s="40"/>
      <c r="W489" s="42" t="str">
        <f aca="false">IF(OR($B489="",$V489=""),"",IF(AND($I489&lt;&gt;"",$I489&lt;=DateRef),"",IF(AND($N489&lt;&gt;"",$N489&gt;=$V489),"Réalisé",IF(AND($N489&lt;&gt;"",$N489&gt;=EDATE($V489,-FenetreRetour)),"Dispensé (EPP récent)",IF($V489&gt;DateRef,"À prévoir à la reprise","À proposer (reprise passée)")))))</f>
        <v/>
      </c>
      <c r="X489" s="40"/>
      <c r="Y489" s="43" t="str">
        <f aca="false">IF(OR($B489="",$X489=""),"",EDATE($X489,DelaiMiCarriere))</f>
        <v/>
      </c>
      <c r="Z489" s="42" t="str">
        <f aca="false">IF(OR($B489="",$X489=""),"",IF(AND($I489&lt;&gt;"",$I489&lt;=DateRef),"",IF(AND($N489&lt;&gt;"",$N489&gt;=$X489),"Réalisé",IF($Y489&lt;DateRef,"En retard","À planifier"))))</f>
        <v/>
      </c>
      <c r="AA489" s="47" t="str">
        <f aca="false">IF(OR($B489="",$G489=""),"",IF($G489&gt;DateRef,"",DATEDIF($G489,DateRef,"y")))</f>
        <v/>
      </c>
      <c r="AB489" s="43" t="str">
        <f aca="false">IF(OR($B489="",$G489=""),"",EDATE($G489,AgeFinCarriere*12))</f>
        <v/>
      </c>
      <c r="AC489" s="42" t="str">
        <f aca="false">IF(OR($B489="",$G489="",$H489=""),"",IF(AND($I489&lt;&gt;"",$I489&lt;=DateRef),"",IF($AB489&lt;DateVigueur,"Non concerné",IF(AND($N489&lt;&gt;"",$N489&gt;=MAX(EDATE($AB489,-FenetreFinCarriere*12),DateVigueur),$N489&lt;=$AB489),"Réalisé",IF(DateRef&gt;$AB489,"Non réalisé",IF(AND($Q489&lt;&gt;"",$Q489&gt;=EDATE($AB489,-FenetreFinCarriere*12),$Q489&lt;=$AB489),"Planifié dans la fenêtre",IF(AND(MAX($P489,DateRef)&gt;=EDATE($AB489,-FenetreFinCarriere*12),MAX($P489,DateRef)&lt;=$AB489),"Prochain EPP dans la fenêtre",IF(MAX($P489,DateRef)&gt;$AB489,"À programmer avant 60 ans",""))))))))</f>
        <v/>
      </c>
      <c r="AD489" s="40"/>
      <c r="AE489" s="43" t="str">
        <f aca="false">IF(OR($B489="",$H489="",AND($I489&lt;&gt;"",$I489&lt;=DateRef)),"",MAX($H489,$AD489,IF($A489="",0,SUMPRODUCT(MAX((Journal!$A$6:$A$1005=$A489)*((Journal!$D$6:$D$1005=TypeEDL)+(Journal!$D$6:$D$1005=TypeBilan6))*Journal!$C$6:$C$1005)))))</f>
        <v/>
      </c>
      <c r="AF489" s="43" t="str">
        <f aca="false">IF($AE489="","",IF(AND(ReglesTransitoires="Oui",EDATE($AE489,AnciennePeriodiciteEDL*12)&lt;DateVigueur),EDATE($AE489,AnciennePeriodiciteEDL*12),EDATE($AE489,PeriodiciteEDL*12)))</f>
        <v/>
      </c>
      <c r="AG489" s="42" t="str">
        <f aca="false">IF($AF489="","",IF(AND($I489&lt;&gt;"",$I489&lt;=DateRef),"",IF($AF489&lt;DateRef,"En retard",IF($AF489-DateRef&lt;=SeuilAlerteEDL,"À prévoir","À jour"))))</f>
        <v/>
      </c>
      <c r="AH489" s="39"/>
      <c r="AI489" s="39"/>
      <c r="AJ489" s="42" t="str">
        <f aca="false">IF(OR($B489="",$H489=""),"",IF(AND($I489&lt;&gt;"",$I489&lt;=DateRef),"",IF(Effectif&lt;SeuilEffectif,"Non concerné (&lt; "&amp;SeuilEffectif&amp;" salariés)",IF($AH489="Oui","Pas de risque",IF(AND(OR($AI489="Non",$S489="En retard"),$AH489="Non"),"Risque abondement",IF(OR($AI489="Non",$S489="En retard"),"À vérifier (formation ?)",IF($AI489="Oui","Pas de risque","À compléter")))))))</f>
        <v/>
      </c>
      <c r="AK489" s="39"/>
    </row>
    <row r="490" customFormat="false" ht="15" hidden="false" customHeight="false" outlineLevel="0" collapsed="false">
      <c r="A490" s="39"/>
      <c r="B490" s="39"/>
      <c r="C490" s="39"/>
      <c r="D490" s="39"/>
      <c r="E490" s="39"/>
      <c r="F490" s="39"/>
      <c r="G490" s="40"/>
      <c r="H490" s="40"/>
      <c r="I490" s="40"/>
      <c r="J490" s="41" t="str">
        <f aca="false">IF(OR($B490="",$H490=""),"",IF($H490&gt;DateRef,0,YEARFRAC($H490,DateRef,1)))</f>
        <v/>
      </c>
      <c r="K490" s="42" t="str">
        <f aca="false">IF(OR($B490="",$H490=""),"",IF(EDATE($H490,12)&lt;=DateRef,"Plus d'un an","Moins d'un an"))</f>
        <v/>
      </c>
      <c r="L490" s="40"/>
      <c r="M490" s="43" t="str">
        <f aca="false">IF(OR($B490="",$A490=""),"",IF(SUMPRODUCT(MAX((Journal!$A$6:$A$1005=$A490)*Journal!$C$6:$C$1005))=0,"",SUMPRODUCT(MAX((Journal!$A$6:$A$1005=$A490)*Journal!$C$6:$C$1005))))</f>
        <v/>
      </c>
      <c r="N490" s="43" t="str">
        <f aca="false">IF($B490="","",IF(MAX($L490,$M490)=0,"",MAX($L490,$M490)))</f>
        <v/>
      </c>
      <c r="O490" s="44" t="str">
        <f aca="false">IF(OR($B490="",$H490=""),"",IF($N490="",IF(EDATE($H490,DelaiPremierEPP)&gt;DateRef,"1er EPP (1re année)","Aucun entretien renseigné"),IF(AND(ReglesTransitoires="Oui",EDATE($N490,AnciennePeriodiciteEP*12)&lt;DateVigueur),"Retard antérieur à la réforme","Périodicité "&amp;PeriodiciteEPP&amp;" ans")))</f>
        <v/>
      </c>
      <c r="P490" s="43" t="str">
        <f aca="false">IF(OR($B490="",$H490=""),"",IF($N490="",EDATE($H490,DelaiPremierEPP),IF(AND(ReglesTransitoires="Oui",EDATE($N490,AnciennePeriodiciteEP*12)&lt;DateVigueur),EDATE($N490,AnciennePeriodiciteEP*12),EDATE($N490,PeriodiciteEPP*12))))</f>
        <v/>
      </c>
      <c r="Q490" s="40"/>
      <c r="R490" s="45" t="str">
        <f aca="false">IF(OR($P490="",AND($I490&lt;&gt;"",$I490&lt;=DateRef)),"",$P490-DateRef)</f>
        <v/>
      </c>
      <c r="S490" s="42" t="str">
        <f aca="false">IF($B490="","",IF(AND($I490&lt;&gt;"",$I490&lt;=DateRef),"Sorti",IF($H490="","À compléter",IF(AND($Q490&lt;&gt;"",$Q490&gt;=DateRef,$Q490&lt;=$P490),"Planifié",IF($R490&lt;0,"En retard",IF($R490&lt;=SeuilAlerteEPP,"À planifier","À jour"))))))</f>
        <v/>
      </c>
      <c r="T490" s="46" t="str">
        <f aca="false">IF(OR($B490="",$S490="Sorti"),"",MID(IF($H490=""," | Date d'embauche manquante","")&amp;IF(AND($K490="Plus d'un an",$N490="")," | Précédent entretien à renseigner (ancienneté &gt; 1 an)","")&amp;IF($O490="Retard antérieur à la réforme"," | Ancien délai de 2 ans expiré avant la réforme","")&amp;IF(AND($N490&lt;&gt;"",$H490&lt;&gt;"",$N490&lt;$H490)," | Entretien antérieur à l'embauche ?","")&amp;IF(AND($N490&lt;&gt;"",$N490&gt;DateRef)," | Entretien daté dans le futur ?","")&amp;IF(AND($Q490&lt;&gt;"",$P490&lt;&gt;"",$Q490&gt;$P490)," | Date prévue après l'échéance","")&amp;IF(AND($Q490&lt;&gt;"",$Q490&lt;DateRef,OR($N490="",$N490&lt;$Q490))," | Entretien prévu passé : le consigner au Journal","")&amp;IF(AND($G490&lt;&gt;"",$X490="",YEAR(DateRef)-YEAR($G490)&gt;=AgeMiCarriere-1,YEAR(DateRef)-YEAR($G490)&lt;=AgeMiCarriere+1)," | Visite de mi-carrière à vérifier",""),4,1000))</f>
        <v/>
      </c>
      <c r="U490" s="39"/>
      <c r="V490" s="40"/>
      <c r="W490" s="42" t="str">
        <f aca="false">IF(OR($B490="",$V490=""),"",IF(AND($I490&lt;&gt;"",$I490&lt;=DateRef),"",IF(AND($N490&lt;&gt;"",$N490&gt;=$V490),"Réalisé",IF(AND($N490&lt;&gt;"",$N490&gt;=EDATE($V490,-FenetreRetour)),"Dispensé (EPP récent)",IF($V490&gt;DateRef,"À prévoir à la reprise","À proposer (reprise passée)")))))</f>
        <v/>
      </c>
      <c r="X490" s="40"/>
      <c r="Y490" s="43" t="str">
        <f aca="false">IF(OR($B490="",$X490=""),"",EDATE($X490,DelaiMiCarriere))</f>
        <v/>
      </c>
      <c r="Z490" s="42" t="str">
        <f aca="false">IF(OR($B490="",$X490=""),"",IF(AND($I490&lt;&gt;"",$I490&lt;=DateRef),"",IF(AND($N490&lt;&gt;"",$N490&gt;=$X490),"Réalisé",IF($Y490&lt;DateRef,"En retard","À planifier"))))</f>
        <v/>
      </c>
      <c r="AA490" s="47" t="str">
        <f aca="false">IF(OR($B490="",$G490=""),"",IF($G490&gt;DateRef,"",DATEDIF($G490,DateRef,"y")))</f>
        <v/>
      </c>
      <c r="AB490" s="43" t="str">
        <f aca="false">IF(OR($B490="",$G490=""),"",EDATE($G490,AgeFinCarriere*12))</f>
        <v/>
      </c>
      <c r="AC490" s="42" t="str">
        <f aca="false">IF(OR($B490="",$G490="",$H490=""),"",IF(AND($I490&lt;&gt;"",$I490&lt;=DateRef),"",IF($AB490&lt;DateVigueur,"Non concerné",IF(AND($N490&lt;&gt;"",$N490&gt;=MAX(EDATE($AB490,-FenetreFinCarriere*12),DateVigueur),$N490&lt;=$AB490),"Réalisé",IF(DateRef&gt;$AB490,"Non réalisé",IF(AND($Q490&lt;&gt;"",$Q490&gt;=EDATE($AB490,-FenetreFinCarriere*12),$Q490&lt;=$AB490),"Planifié dans la fenêtre",IF(AND(MAX($P490,DateRef)&gt;=EDATE($AB490,-FenetreFinCarriere*12),MAX($P490,DateRef)&lt;=$AB490),"Prochain EPP dans la fenêtre",IF(MAX($P490,DateRef)&gt;$AB490,"À programmer avant 60 ans",""))))))))</f>
        <v/>
      </c>
      <c r="AD490" s="40"/>
      <c r="AE490" s="43" t="str">
        <f aca="false">IF(OR($B490="",$H490="",AND($I490&lt;&gt;"",$I490&lt;=DateRef)),"",MAX($H490,$AD490,IF($A490="",0,SUMPRODUCT(MAX((Journal!$A$6:$A$1005=$A490)*((Journal!$D$6:$D$1005=TypeEDL)+(Journal!$D$6:$D$1005=TypeBilan6))*Journal!$C$6:$C$1005)))))</f>
        <v/>
      </c>
      <c r="AF490" s="43" t="str">
        <f aca="false">IF($AE490="","",IF(AND(ReglesTransitoires="Oui",EDATE($AE490,AnciennePeriodiciteEDL*12)&lt;DateVigueur),EDATE($AE490,AnciennePeriodiciteEDL*12),EDATE($AE490,PeriodiciteEDL*12)))</f>
        <v/>
      </c>
      <c r="AG490" s="42" t="str">
        <f aca="false">IF($AF490="","",IF(AND($I490&lt;&gt;"",$I490&lt;=DateRef),"",IF($AF490&lt;DateRef,"En retard",IF($AF490-DateRef&lt;=SeuilAlerteEDL,"À prévoir","À jour"))))</f>
        <v/>
      </c>
      <c r="AH490" s="39"/>
      <c r="AI490" s="39"/>
      <c r="AJ490" s="42" t="str">
        <f aca="false">IF(OR($B490="",$H490=""),"",IF(AND($I490&lt;&gt;"",$I490&lt;=DateRef),"",IF(Effectif&lt;SeuilEffectif,"Non concerné (&lt; "&amp;SeuilEffectif&amp;" salariés)",IF($AH490="Oui","Pas de risque",IF(AND(OR($AI490="Non",$S490="En retard"),$AH490="Non"),"Risque abondement",IF(OR($AI490="Non",$S490="En retard"),"À vérifier (formation ?)",IF($AI490="Oui","Pas de risque","À compléter")))))))</f>
        <v/>
      </c>
      <c r="AK490" s="39"/>
    </row>
    <row r="491" customFormat="false" ht="15" hidden="false" customHeight="false" outlineLevel="0" collapsed="false">
      <c r="A491" s="39"/>
      <c r="B491" s="39"/>
      <c r="C491" s="39"/>
      <c r="D491" s="39"/>
      <c r="E491" s="39"/>
      <c r="F491" s="39"/>
      <c r="G491" s="40"/>
      <c r="H491" s="40"/>
      <c r="I491" s="40"/>
      <c r="J491" s="41" t="str">
        <f aca="false">IF(OR($B491="",$H491=""),"",IF($H491&gt;DateRef,0,YEARFRAC($H491,DateRef,1)))</f>
        <v/>
      </c>
      <c r="K491" s="42" t="str">
        <f aca="false">IF(OR($B491="",$H491=""),"",IF(EDATE($H491,12)&lt;=DateRef,"Plus d'un an","Moins d'un an"))</f>
        <v/>
      </c>
      <c r="L491" s="40"/>
      <c r="M491" s="43" t="str">
        <f aca="false">IF(OR($B491="",$A491=""),"",IF(SUMPRODUCT(MAX((Journal!$A$6:$A$1005=$A491)*Journal!$C$6:$C$1005))=0,"",SUMPRODUCT(MAX((Journal!$A$6:$A$1005=$A491)*Journal!$C$6:$C$1005))))</f>
        <v/>
      </c>
      <c r="N491" s="43" t="str">
        <f aca="false">IF($B491="","",IF(MAX($L491,$M491)=0,"",MAX($L491,$M491)))</f>
        <v/>
      </c>
      <c r="O491" s="44" t="str">
        <f aca="false">IF(OR($B491="",$H491=""),"",IF($N491="",IF(EDATE($H491,DelaiPremierEPP)&gt;DateRef,"1er EPP (1re année)","Aucun entretien renseigné"),IF(AND(ReglesTransitoires="Oui",EDATE($N491,AnciennePeriodiciteEP*12)&lt;DateVigueur),"Retard antérieur à la réforme","Périodicité "&amp;PeriodiciteEPP&amp;" ans")))</f>
        <v/>
      </c>
      <c r="P491" s="43" t="str">
        <f aca="false">IF(OR($B491="",$H491=""),"",IF($N491="",EDATE($H491,DelaiPremierEPP),IF(AND(ReglesTransitoires="Oui",EDATE($N491,AnciennePeriodiciteEP*12)&lt;DateVigueur),EDATE($N491,AnciennePeriodiciteEP*12),EDATE($N491,PeriodiciteEPP*12))))</f>
        <v/>
      </c>
      <c r="Q491" s="40"/>
      <c r="R491" s="45" t="str">
        <f aca="false">IF(OR($P491="",AND($I491&lt;&gt;"",$I491&lt;=DateRef)),"",$P491-DateRef)</f>
        <v/>
      </c>
      <c r="S491" s="42" t="str">
        <f aca="false">IF($B491="","",IF(AND($I491&lt;&gt;"",$I491&lt;=DateRef),"Sorti",IF($H491="","À compléter",IF(AND($Q491&lt;&gt;"",$Q491&gt;=DateRef,$Q491&lt;=$P491),"Planifié",IF($R491&lt;0,"En retard",IF($R491&lt;=SeuilAlerteEPP,"À planifier","À jour"))))))</f>
        <v/>
      </c>
      <c r="T491" s="46" t="str">
        <f aca="false">IF(OR($B491="",$S491="Sorti"),"",MID(IF($H491=""," | Date d'embauche manquante","")&amp;IF(AND($K491="Plus d'un an",$N491="")," | Précédent entretien à renseigner (ancienneté &gt; 1 an)","")&amp;IF($O491="Retard antérieur à la réforme"," | Ancien délai de 2 ans expiré avant la réforme","")&amp;IF(AND($N491&lt;&gt;"",$H491&lt;&gt;"",$N491&lt;$H491)," | Entretien antérieur à l'embauche ?","")&amp;IF(AND($N491&lt;&gt;"",$N491&gt;DateRef)," | Entretien daté dans le futur ?","")&amp;IF(AND($Q491&lt;&gt;"",$P491&lt;&gt;"",$Q491&gt;$P491)," | Date prévue après l'échéance","")&amp;IF(AND($Q491&lt;&gt;"",$Q491&lt;DateRef,OR($N491="",$N491&lt;$Q491))," | Entretien prévu passé : le consigner au Journal","")&amp;IF(AND($G491&lt;&gt;"",$X491="",YEAR(DateRef)-YEAR($G491)&gt;=AgeMiCarriere-1,YEAR(DateRef)-YEAR($G491)&lt;=AgeMiCarriere+1)," | Visite de mi-carrière à vérifier",""),4,1000))</f>
        <v/>
      </c>
      <c r="U491" s="39"/>
      <c r="V491" s="40"/>
      <c r="W491" s="42" t="str">
        <f aca="false">IF(OR($B491="",$V491=""),"",IF(AND($I491&lt;&gt;"",$I491&lt;=DateRef),"",IF(AND($N491&lt;&gt;"",$N491&gt;=$V491),"Réalisé",IF(AND($N491&lt;&gt;"",$N491&gt;=EDATE($V491,-FenetreRetour)),"Dispensé (EPP récent)",IF($V491&gt;DateRef,"À prévoir à la reprise","À proposer (reprise passée)")))))</f>
        <v/>
      </c>
      <c r="X491" s="40"/>
      <c r="Y491" s="43" t="str">
        <f aca="false">IF(OR($B491="",$X491=""),"",EDATE($X491,DelaiMiCarriere))</f>
        <v/>
      </c>
      <c r="Z491" s="42" t="str">
        <f aca="false">IF(OR($B491="",$X491=""),"",IF(AND($I491&lt;&gt;"",$I491&lt;=DateRef),"",IF(AND($N491&lt;&gt;"",$N491&gt;=$X491),"Réalisé",IF($Y491&lt;DateRef,"En retard","À planifier"))))</f>
        <v/>
      </c>
      <c r="AA491" s="47" t="str">
        <f aca="false">IF(OR($B491="",$G491=""),"",IF($G491&gt;DateRef,"",DATEDIF($G491,DateRef,"y")))</f>
        <v/>
      </c>
      <c r="AB491" s="43" t="str">
        <f aca="false">IF(OR($B491="",$G491=""),"",EDATE($G491,AgeFinCarriere*12))</f>
        <v/>
      </c>
      <c r="AC491" s="42" t="str">
        <f aca="false">IF(OR($B491="",$G491="",$H491=""),"",IF(AND($I491&lt;&gt;"",$I491&lt;=DateRef),"",IF($AB491&lt;DateVigueur,"Non concerné",IF(AND($N491&lt;&gt;"",$N491&gt;=MAX(EDATE($AB491,-FenetreFinCarriere*12),DateVigueur),$N491&lt;=$AB491),"Réalisé",IF(DateRef&gt;$AB491,"Non réalisé",IF(AND($Q491&lt;&gt;"",$Q491&gt;=EDATE($AB491,-FenetreFinCarriere*12),$Q491&lt;=$AB491),"Planifié dans la fenêtre",IF(AND(MAX($P491,DateRef)&gt;=EDATE($AB491,-FenetreFinCarriere*12),MAX($P491,DateRef)&lt;=$AB491),"Prochain EPP dans la fenêtre",IF(MAX($P491,DateRef)&gt;$AB491,"À programmer avant 60 ans",""))))))))</f>
        <v/>
      </c>
      <c r="AD491" s="40"/>
      <c r="AE491" s="43" t="str">
        <f aca="false">IF(OR($B491="",$H491="",AND($I491&lt;&gt;"",$I491&lt;=DateRef)),"",MAX($H491,$AD491,IF($A491="",0,SUMPRODUCT(MAX((Journal!$A$6:$A$1005=$A491)*((Journal!$D$6:$D$1005=TypeEDL)+(Journal!$D$6:$D$1005=TypeBilan6))*Journal!$C$6:$C$1005)))))</f>
        <v/>
      </c>
      <c r="AF491" s="43" t="str">
        <f aca="false">IF($AE491="","",IF(AND(ReglesTransitoires="Oui",EDATE($AE491,AnciennePeriodiciteEDL*12)&lt;DateVigueur),EDATE($AE491,AnciennePeriodiciteEDL*12),EDATE($AE491,PeriodiciteEDL*12)))</f>
        <v/>
      </c>
      <c r="AG491" s="42" t="str">
        <f aca="false">IF($AF491="","",IF(AND($I491&lt;&gt;"",$I491&lt;=DateRef),"",IF($AF491&lt;DateRef,"En retard",IF($AF491-DateRef&lt;=SeuilAlerteEDL,"À prévoir","À jour"))))</f>
        <v/>
      </c>
      <c r="AH491" s="39"/>
      <c r="AI491" s="39"/>
      <c r="AJ491" s="42" t="str">
        <f aca="false">IF(OR($B491="",$H491=""),"",IF(AND($I491&lt;&gt;"",$I491&lt;=DateRef),"",IF(Effectif&lt;SeuilEffectif,"Non concerné (&lt; "&amp;SeuilEffectif&amp;" salariés)",IF($AH491="Oui","Pas de risque",IF(AND(OR($AI491="Non",$S491="En retard"),$AH491="Non"),"Risque abondement",IF(OR($AI491="Non",$S491="En retard"),"À vérifier (formation ?)",IF($AI491="Oui","Pas de risque","À compléter")))))))</f>
        <v/>
      </c>
      <c r="AK491" s="39"/>
    </row>
    <row r="492" customFormat="false" ht="15" hidden="false" customHeight="false" outlineLevel="0" collapsed="false">
      <c r="A492" s="39"/>
      <c r="B492" s="39"/>
      <c r="C492" s="39"/>
      <c r="D492" s="39"/>
      <c r="E492" s="39"/>
      <c r="F492" s="39"/>
      <c r="G492" s="40"/>
      <c r="H492" s="40"/>
      <c r="I492" s="40"/>
      <c r="J492" s="41" t="str">
        <f aca="false">IF(OR($B492="",$H492=""),"",IF($H492&gt;DateRef,0,YEARFRAC($H492,DateRef,1)))</f>
        <v/>
      </c>
      <c r="K492" s="42" t="str">
        <f aca="false">IF(OR($B492="",$H492=""),"",IF(EDATE($H492,12)&lt;=DateRef,"Plus d'un an","Moins d'un an"))</f>
        <v/>
      </c>
      <c r="L492" s="40"/>
      <c r="M492" s="43" t="str">
        <f aca="false">IF(OR($B492="",$A492=""),"",IF(SUMPRODUCT(MAX((Journal!$A$6:$A$1005=$A492)*Journal!$C$6:$C$1005))=0,"",SUMPRODUCT(MAX((Journal!$A$6:$A$1005=$A492)*Journal!$C$6:$C$1005))))</f>
        <v/>
      </c>
      <c r="N492" s="43" t="str">
        <f aca="false">IF($B492="","",IF(MAX($L492,$M492)=0,"",MAX($L492,$M492)))</f>
        <v/>
      </c>
      <c r="O492" s="44" t="str">
        <f aca="false">IF(OR($B492="",$H492=""),"",IF($N492="",IF(EDATE($H492,DelaiPremierEPP)&gt;DateRef,"1er EPP (1re année)","Aucun entretien renseigné"),IF(AND(ReglesTransitoires="Oui",EDATE($N492,AnciennePeriodiciteEP*12)&lt;DateVigueur),"Retard antérieur à la réforme","Périodicité "&amp;PeriodiciteEPP&amp;" ans")))</f>
        <v/>
      </c>
      <c r="P492" s="43" t="str">
        <f aca="false">IF(OR($B492="",$H492=""),"",IF($N492="",EDATE($H492,DelaiPremierEPP),IF(AND(ReglesTransitoires="Oui",EDATE($N492,AnciennePeriodiciteEP*12)&lt;DateVigueur),EDATE($N492,AnciennePeriodiciteEP*12),EDATE($N492,PeriodiciteEPP*12))))</f>
        <v/>
      </c>
      <c r="Q492" s="40"/>
      <c r="R492" s="45" t="str">
        <f aca="false">IF(OR($P492="",AND($I492&lt;&gt;"",$I492&lt;=DateRef)),"",$P492-DateRef)</f>
        <v/>
      </c>
      <c r="S492" s="42" t="str">
        <f aca="false">IF($B492="","",IF(AND($I492&lt;&gt;"",$I492&lt;=DateRef),"Sorti",IF($H492="","À compléter",IF(AND($Q492&lt;&gt;"",$Q492&gt;=DateRef,$Q492&lt;=$P492),"Planifié",IF($R492&lt;0,"En retard",IF($R492&lt;=SeuilAlerteEPP,"À planifier","À jour"))))))</f>
        <v/>
      </c>
      <c r="T492" s="46" t="str">
        <f aca="false">IF(OR($B492="",$S492="Sorti"),"",MID(IF($H492=""," | Date d'embauche manquante","")&amp;IF(AND($K492="Plus d'un an",$N492="")," | Précédent entretien à renseigner (ancienneté &gt; 1 an)","")&amp;IF($O492="Retard antérieur à la réforme"," | Ancien délai de 2 ans expiré avant la réforme","")&amp;IF(AND($N492&lt;&gt;"",$H492&lt;&gt;"",$N492&lt;$H492)," | Entretien antérieur à l'embauche ?","")&amp;IF(AND($N492&lt;&gt;"",$N492&gt;DateRef)," | Entretien daté dans le futur ?","")&amp;IF(AND($Q492&lt;&gt;"",$P492&lt;&gt;"",$Q492&gt;$P492)," | Date prévue après l'échéance","")&amp;IF(AND($Q492&lt;&gt;"",$Q492&lt;DateRef,OR($N492="",$N492&lt;$Q492))," | Entretien prévu passé : le consigner au Journal","")&amp;IF(AND($G492&lt;&gt;"",$X492="",YEAR(DateRef)-YEAR($G492)&gt;=AgeMiCarriere-1,YEAR(DateRef)-YEAR($G492)&lt;=AgeMiCarriere+1)," | Visite de mi-carrière à vérifier",""),4,1000))</f>
        <v/>
      </c>
      <c r="U492" s="39"/>
      <c r="V492" s="40"/>
      <c r="W492" s="42" t="str">
        <f aca="false">IF(OR($B492="",$V492=""),"",IF(AND($I492&lt;&gt;"",$I492&lt;=DateRef),"",IF(AND($N492&lt;&gt;"",$N492&gt;=$V492),"Réalisé",IF(AND($N492&lt;&gt;"",$N492&gt;=EDATE($V492,-FenetreRetour)),"Dispensé (EPP récent)",IF($V492&gt;DateRef,"À prévoir à la reprise","À proposer (reprise passée)")))))</f>
        <v/>
      </c>
      <c r="X492" s="40"/>
      <c r="Y492" s="43" t="str">
        <f aca="false">IF(OR($B492="",$X492=""),"",EDATE($X492,DelaiMiCarriere))</f>
        <v/>
      </c>
      <c r="Z492" s="42" t="str">
        <f aca="false">IF(OR($B492="",$X492=""),"",IF(AND($I492&lt;&gt;"",$I492&lt;=DateRef),"",IF(AND($N492&lt;&gt;"",$N492&gt;=$X492),"Réalisé",IF($Y492&lt;DateRef,"En retard","À planifier"))))</f>
        <v/>
      </c>
      <c r="AA492" s="47" t="str">
        <f aca="false">IF(OR($B492="",$G492=""),"",IF($G492&gt;DateRef,"",DATEDIF($G492,DateRef,"y")))</f>
        <v/>
      </c>
      <c r="AB492" s="43" t="str">
        <f aca="false">IF(OR($B492="",$G492=""),"",EDATE($G492,AgeFinCarriere*12))</f>
        <v/>
      </c>
      <c r="AC492" s="42" t="str">
        <f aca="false">IF(OR($B492="",$G492="",$H492=""),"",IF(AND($I492&lt;&gt;"",$I492&lt;=DateRef),"",IF($AB492&lt;DateVigueur,"Non concerné",IF(AND($N492&lt;&gt;"",$N492&gt;=MAX(EDATE($AB492,-FenetreFinCarriere*12),DateVigueur),$N492&lt;=$AB492),"Réalisé",IF(DateRef&gt;$AB492,"Non réalisé",IF(AND($Q492&lt;&gt;"",$Q492&gt;=EDATE($AB492,-FenetreFinCarriere*12),$Q492&lt;=$AB492),"Planifié dans la fenêtre",IF(AND(MAX($P492,DateRef)&gt;=EDATE($AB492,-FenetreFinCarriere*12),MAX($P492,DateRef)&lt;=$AB492),"Prochain EPP dans la fenêtre",IF(MAX($P492,DateRef)&gt;$AB492,"À programmer avant 60 ans",""))))))))</f>
        <v/>
      </c>
      <c r="AD492" s="40"/>
      <c r="AE492" s="43" t="str">
        <f aca="false">IF(OR($B492="",$H492="",AND($I492&lt;&gt;"",$I492&lt;=DateRef)),"",MAX($H492,$AD492,IF($A492="",0,SUMPRODUCT(MAX((Journal!$A$6:$A$1005=$A492)*((Journal!$D$6:$D$1005=TypeEDL)+(Journal!$D$6:$D$1005=TypeBilan6))*Journal!$C$6:$C$1005)))))</f>
        <v/>
      </c>
      <c r="AF492" s="43" t="str">
        <f aca="false">IF($AE492="","",IF(AND(ReglesTransitoires="Oui",EDATE($AE492,AnciennePeriodiciteEDL*12)&lt;DateVigueur),EDATE($AE492,AnciennePeriodiciteEDL*12),EDATE($AE492,PeriodiciteEDL*12)))</f>
        <v/>
      </c>
      <c r="AG492" s="42" t="str">
        <f aca="false">IF($AF492="","",IF(AND($I492&lt;&gt;"",$I492&lt;=DateRef),"",IF($AF492&lt;DateRef,"En retard",IF($AF492-DateRef&lt;=SeuilAlerteEDL,"À prévoir","À jour"))))</f>
        <v/>
      </c>
      <c r="AH492" s="39"/>
      <c r="AI492" s="39"/>
      <c r="AJ492" s="42" t="str">
        <f aca="false">IF(OR($B492="",$H492=""),"",IF(AND($I492&lt;&gt;"",$I492&lt;=DateRef),"",IF(Effectif&lt;SeuilEffectif,"Non concerné (&lt; "&amp;SeuilEffectif&amp;" salariés)",IF($AH492="Oui","Pas de risque",IF(AND(OR($AI492="Non",$S492="En retard"),$AH492="Non"),"Risque abondement",IF(OR($AI492="Non",$S492="En retard"),"À vérifier (formation ?)",IF($AI492="Oui","Pas de risque","À compléter")))))))</f>
        <v/>
      </c>
      <c r="AK492" s="39"/>
    </row>
    <row r="493" customFormat="false" ht="15" hidden="false" customHeight="false" outlineLevel="0" collapsed="false">
      <c r="A493" s="39"/>
      <c r="B493" s="39"/>
      <c r="C493" s="39"/>
      <c r="D493" s="39"/>
      <c r="E493" s="39"/>
      <c r="F493" s="39"/>
      <c r="G493" s="40"/>
      <c r="H493" s="40"/>
      <c r="I493" s="40"/>
      <c r="J493" s="41" t="str">
        <f aca="false">IF(OR($B493="",$H493=""),"",IF($H493&gt;DateRef,0,YEARFRAC($H493,DateRef,1)))</f>
        <v/>
      </c>
      <c r="K493" s="42" t="str">
        <f aca="false">IF(OR($B493="",$H493=""),"",IF(EDATE($H493,12)&lt;=DateRef,"Plus d'un an","Moins d'un an"))</f>
        <v/>
      </c>
      <c r="L493" s="40"/>
      <c r="M493" s="43" t="str">
        <f aca="false">IF(OR($B493="",$A493=""),"",IF(SUMPRODUCT(MAX((Journal!$A$6:$A$1005=$A493)*Journal!$C$6:$C$1005))=0,"",SUMPRODUCT(MAX((Journal!$A$6:$A$1005=$A493)*Journal!$C$6:$C$1005))))</f>
        <v/>
      </c>
      <c r="N493" s="43" t="str">
        <f aca="false">IF($B493="","",IF(MAX($L493,$M493)=0,"",MAX($L493,$M493)))</f>
        <v/>
      </c>
      <c r="O493" s="44" t="str">
        <f aca="false">IF(OR($B493="",$H493=""),"",IF($N493="",IF(EDATE($H493,DelaiPremierEPP)&gt;DateRef,"1er EPP (1re année)","Aucun entretien renseigné"),IF(AND(ReglesTransitoires="Oui",EDATE($N493,AnciennePeriodiciteEP*12)&lt;DateVigueur),"Retard antérieur à la réforme","Périodicité "&amp;PeriodiciteEPP&amp;" ans")))</f>
        <v/>
      </c>
      <c r="P493" s="43" t="str">
        <f aca="false">IF(OR($B493="",$H493=""),"",IF($N493="",EDATE($H493,DelaiPremierEPP),IF(AND(ReglesTransitoires="Oui",EDATE($N493,AnciennePeriodiciteEP*12)&lt;DateVigueur),EDATE($N493,AnciennePeriodiciteEP*12),EDATE($N493,PeriodiciteEPP*12))))</f>
        <v/>
      </c>
      <c r="Q493" s="40"/>
      <c r="R493" s="45" t="str">
        <f aca="false">IF(OR($P493="",AND($I493&lt;&gt;"",$I493&lt;=DateRef)),"",$P493-DateRef)</f>
        <v/>
      </c>
      <c r="S493" s="42" t="str">
        <f aca="false">IF($B493="","",IF(AND($I493&lt;&gt;"",$I493&lt;=DateRef),"Sorti",IF($H493="","À compléter",IF(AND($Q493&lt;&gt;"",$Q493&gt;=DateRef,$Q493&lt;=$P493),"Planifié",IF($R493&lt;0,"En retard",IF($R493&lt;=SeuilAlerteEPP,"À planifier","À jour"))))))</f>
        <v/>
      </c>
      <c r="T493" s="46" t="str">
        <f aca="false">IF(OR($B493="",$S493="Sorti"),"",MID(IF($H493=""," | Date d'embauche manquante","")&amp;IF(AND($K493="Plus d'un an",$N493="")," | Précédent entretien à renseigner (ancienneté &gt; 1 an)","")&amp;IF($O493="Retard antérieur à la réforme"," | Ancien délai de 2 ans expiré avant la réforme","")&amp;IF(AND($N493&lt;&gt;"",$H493&lt;&gt;"",$N493&lt;$H493)," | Entretien antérieur à l'embauche ?","")&amp;IF(AND($N493&lt;&gt;"",$N493&gt;DateRef)," | Entretien daté dans le futur ?","")&amp;IF(AND($Q493&lt;&gt;"",$P493&lt;&gt;"",$Q493&gt;$P493)," | Date prévue après l'échéance","")&amp;IF(AND($Q493&lt;&gt;"",$Q493&lt;DateRef,OR($N493="",$N493&lt;$Q493))," | Entretien prévu passé : le consigner au Journal","")&amp;IF(AND($G493&lt;&gt;"",$X493="",YEAR(DateRef)-YEAR($G493)&gt;=AgeMiCarriere-1,YEAR(DateRef)-YEAR($G493)&lt;=AgeMiCarriere+1)," | Visite de mi-carrière à vérifier",""),4,1000))</f>
        <v/>
      </c>
      <c r="U493" s="39"/>
      <c r="V493" s="40"/>
      <c r="W493" s="42" t="str">
        <f aca="false">IF(OR($B493="",$V493=""),"",IF(AND($I493&lt;&gt;"",$I493&lt;=DateRef),"",IF(AND($N493&lt;&gt;"",$N493&gt;=$V493),"Réalisé",IF(AND($N493&lt;&gt;"",$N493&gt;=EDATE($V493,-FenetreRetour)),"Dispensé (EPP récent)",IF($V493&gt;DateRef,"À prévoir à la reprise","À proposer (reprise passée)")))))</f>
        <v/>
      </c>
      <c r="X493" s="40"/>
      <c r="Y493" s="43" t="str">
        <f aca="false">IF(OR($B493="",$X493=""),"",EDATE($X493,DelaiMiCarriere))</f>
        <v/>
      </c>
      <c r="Z493" s="42" t="str">
        <f aca="false">IF(OR($B493="",$X493=""),"",IF(AND($I493&lt;&gt;"",$I493&lt;=DateRef),"",IF(AND($N493&lt;&gt;"",$N493&gt;=$X493),"Réalisé",IF($Y493&lt;DateRef,"En retard","À planifier"))))</f>
        <v/>
      </c>
      <c r="AA493" s="47" t="str">
        <f aca="false">IF(OR($B493="",$G493=""),"",IF($G493&gt;DateRef,"",DATEDIF($G493,DateRef,"y")))</f>
        <v/>
      </c>
      <c r="AB493" s="43" t="str">
        <f aca="false">IF(OR($B493="",$G493=""),"",EDATE($G493,AgeFinCarriere*12))</f>
        <v/>
      </c>
      <c r="AC493" s="42" t="str">
        <f aca="false">IF(OR($B493="",$G493="",$H493=""),"",IF(AND($I493&lt;&gt;"",$I493&lt;=DateRef),"",IF($AB493&lt;DateVigueur,"Non concerné",IF(AND($N493&lt;&gt;"",$N493&gt;=MAX(EDATE($AB493,-FenetreFinCarriere*12),DateVigueur),$N493&lt;=$AB493),"Réalisé",IF(DateRef&gt;$AB493,"Non réalisé",IF(AND($Q493&lt;&gt;"",$Q493&gt;=EDATE($AB493,-FenetreFinCarriere*12),$Q493&lt;=$AB493),"Planifié dans la fenêtre",IF(AND(MAX($P493,DateRef)&gt;=EDATE($AB493,-FenetreFinCarriere*12),MAX($P493,DateRef)&lt;=$AB493),"Prochain EPP dans la fenêtre",IF(MAX($P493,DateRef)&gt;$AB493,"À programmer avant 60 ans",""))))))))</f>
        <v/>
      </c>
      <c r="AD493" s="40"/>
      <c r="AE493" s="43" t="str">
        <f aca="false">IF(OR($B493="",$H493="",AND($I493&lt;&gt;"",$I493&lt;=DateRef)),"",MAX($H493,$AD493,IF($A493="",0,SUMPRODUCT(MAX((Journal!$A$6:$A$1005=$A493)*((Journal!$D$6:$D$1005=TypeEDL)+(Journal!$D$6:$D$1005=TypeBilan6))*Journal!$C$6:$C$1005)))))</f>
        <v/>
      </c>
      <c r="AF493" s="43" t="str">
        <f aca="false">IF($AE493="","",IF(AND(ReglesTransitoires="Oui",EDATE($AE493,AnciennePeriodiciteEDL*12)&lt;DateVigueur),EDATE($AE493,AnciennePeriodiciteEDL*12),EDATE($AE493,PeriodiciteEDL*12)))</f>
        <v/>
      </c>
      <c r="AG493" s="42" t="str">
        <f aca="false">IF($AF493="","",IF(AND($I493&lt;&gt;"",$I493&lt;=DateRef),"",IF($AF493&lt;DateRef,"En retard",IF($AF493-DateRef&lt;=SeuilAlerteEDL,"À prévoir","À jour"))))</f>
        <v/>
      </c>
      <c r="AH493" s="39"/>
      <c r="AI493" s="39"/>
      <c r="AJ493" s="42" t="str">
        <f aca="false">IF(OR($B493="",$H493=""),"",IF(AND($I493&lt;&gt;"",$I493&lt;=DateRef),"",IF(Effectif&lt;SeuilEffectif,"Non concerné (&lt; "&amp;SeuilEffectif&amp;" salariés)",IF($AH493="Oui","Pas de risque",IF(AND(OR($AI493="Non",$S493="En retard"),$AH493="Non"),"Risque abondement",IF(OR($AI493="Non",$S493="En retard"),"À vérifier (formation ?)",IF($AI493="Oui","Pas de risque","À compléter")))))))</f>
        <v/>
      </c>
      <c r="AK493" s="39"/>
    </row>
    <row r="494" customFormat="false" ht="15" hidden="false" customHeight="false" outlineLevel="0" collapsed="false">
      <c r="A494" s="39"/>
      <c r="B494" s="39"/>
      <c r="C494" s="39"/>
      <c r="D494" s="39"/>
      <c r="E494" s="39"/>
      <c r="F494" s="39"/>
      <c r="G494" s="40"/>
      <c r="H494" s="40"/>
      <c r="I494" s="40"/>
      <c r="J494" s="41" t="str">
        <f aca="false">IF(OR($B494="",$H494=""),"",IF($H494&gt;DateRef,0,YEARFRAC($H494,DateRef,1)))</f>
        <v/>
      </c>
      <c r="K494" s="42" t="str">
        <f aca="false">IF(OR($B494="",$H494=""),"",IF(EDATE($H494,12)&lt;=DateRef,"Plus d'un an","Moins d'un an"))</f>
        <v/>
      </c>
      <c r="L494" s="40"/>
      <c r="M494" s="43" t="str">
        <f aca="false">IF(OR($B494="",$A494=""),"",IF(SUMPRODUCT(MAX((Journal!$A$6:$A$1005=$A494)*Journal!$C$6:$C$1005))=0,"",SUMPRODUCT(MAX((Journal!$A$6:$A$1005=$A494)*Journal!$C$6:$C$1005))))</f>
        <v/>
      </c>
      <c r="N494" s="43" t="str">
        <f aca="false">IF($B494="","",IF(MAX($L494,$M494)=0,"",MAX($L494,$M494)))</f>
        <v/>
      </c>
      <c r="O494" s="44" t="str">
        <f aca="false">IF(OR($B494="",$H494=""),"",IF($N494="",IF(EDATE($H494,DelaiPremierEPP)&gt;DateRef,"1er EPP (1re année)","Aucun entretien renseigné"),IF(AND(ReglesTransitoires="Oui",EDATE($N494,AnciennePeriodiciteEP*12)&lt;DateVigueur),"Retard antérieur à la réforme","Périodicité "&amp;PeriodiciteEPP&amp;" ans")))</f>
        <v/>
      </c>
      <c r="P494" s="43" t="str">
        <f aca="false">IF(OR($B494="",$H494=""),"",IF($N494="",EDATE($H494,DelaiPremierEPP),IF(AND(ReglesTransitoires="Oui",EDATE($N494,AnciennePeriodiciteEP*12)&lt;DateVigueur),EDATE($N494,AnciennePeriodiciteEP*12),EDATE($N494,PeriodiciteEPP*12))))</f>
        <v/>
      </c>
      <c r="Q494" s="40"/>
      <c r="R494" s="45" t="str">
        <f aca="false">IF(OR($P494="",AND($I494&lt;&gt;"",$I494&lt;=DateRef)),"",$P494-DateRef)</f>
        <v/>
      </c>
      <c r="S494" s="42" t="str">
        <f aca="false">IF($B494="","",IF(AND($I494&lt;&gt;"",$I494&lt;=DateRef),"Sorti",IF($H494="","À compléter",IF(AND($Q494&lt;&gt;"",$Q494&gt;=DateRef,$Q494&lt;=$P494),"Planifié",IF($R494&lt;0,"En retard",IF($R494&lt;=SeuilAlerteEPP,"À planifier","À jour"))))))</f>
        <v/>
      </c>
      <c r="T494" s="46" t="str">
        <f aca="false">IF(OR($B494="",$S494="Sorti"),"",MID(IF($H494=""," | Date d'embauche manquante","")&amp;IF(AND($K494="Plus d'un an",$N494="")," | Précédent entretien à renseigner (ancienneté &gt; 1 an)","")&amp;IF($O494="Retard antérieur à la réforme"," | Ancien délai de 2 ans expiré avant la réforme","")&amp;IF(AND($N494&lt;&gt;"",$H494&lt;&gt;"",$N494&lt;$H494)," | Entretien antérieur à l'embauche ?","")&amp;IF(AND($N494&lt;&gt;"",$N494&gt;DateRef)," | Entretien daté dans le futur ?","")&amp;IF(AND($Q494&lt;&gt;"",$P494&lt;&gt;"",$Q494&gt;$P494)," | Date prévue après l'échéance","")&amp;IF(AND($Q494&lt;&gt;"",$Q494&lt;DateRef,OR($N494="",$N494&lt;$Q494))," | Entretien prévu passé : le consigner au Journal","")&amp;IF(AND($G494&lt;&gt;"",$X494="",YEAR(DateRef)-YEAR($G494)&gt;=AgeMiCarriere-1,YEAR(DateRef)-YEAR($G494)&lt;=AgeMiCarriere+1)," | Visite de mi-carrière à vérifier",""),4,1000))</f>
        <v/>
      </c>
      <c r="U494" s="39"/>
      <c r="V494" s="40"/>
      <c r="W494" s="42" t="str">
        <f aca="false">IF(OR($B494="",$V494=""),"",IF(AND($I494&lt;&gt;"",$I494&lt;=DateRef),"",IF(AND($N494&lt;&gt;"",$N494&gt;=$V494),"Réalisé",IF(AND($N494&lt;&gt;"",$N494&gt;=EDATE($V494,-FenetreRetour)),"Dispensé (EPP récent)",IF($V494&gt;DateRef,"À prévoir à la reprise","À proposer (reprise passée)")))))</f>
        <v/>
      </c>
      <c r="X494" s="40"/>
      <c r="Y494" s="43" t="str">
        <f aca="false">IF(OR($B494="",$X494=""),"",EDATE($X494,DelaiMiCarriere))</f>
        <v/>
      </c>
      <c r="Z494" s="42" t="str">
        <f aca="false">IF(OR($B494="",$X494=""),"",IF(AND($I494&lt;&gt;"",$I494&lt;=DateRef),"",IF(AND($N494&lt;&gt;"",$N494&gt;=$X494),"Réalisé",IF($Y494&lt;DateRef,"En retard","À planifier"))))</f>
        <v/>
      </c>
      <c r="AA494" s="47" t="str">
        <f aca="false">IF(OR($B494="",$G494=""),"",IF($G494&gt;DateRef,"",DATEDIF($G494,DateRef,"y")))</f>
        <v/>
      </c>
      <c r="AB494" s="43" t="str">
        <f aca="false">IF(OR($B494="",$G494=""),"",EDATE($G494,AgeFinCarriere*12))</f>
        <v/>
      </c>
      <c r="AC494" s="42" t="str">
        <f aca="false">IF(OR($B494="",$G494="",$H494=""),"",IF(AND($I494&lt;&gt;"",$I494&lt;=DateRef),"",IF($AB494&lt;DateVigueur,"Non concerné",IF(AND($N494&lt;&gt;"",$N494&gt;=MAX(EDATE($AB494,-FenetreFinCarriere*12),DateVigueur),$N494&lt;=$AB494),"Réalisé",IF(DateRef&gt;$AB494,"Non réalisé",IF(AND($Q494&lt;&gt;"",$Q494&gt;=EDATE($AB494,-FenetreFinCarriere*12),$Q494&lt;=$AB494),"Planifié dans la fenêtre",IF(AND(MAX($P494,DateRef)&gt;=EDATE($AB494,-FenetreFinCarriere*12),MAX($P494,DateRef)&lt;=$AB494),"Prochain EPP dans la fenêtre",IF(MAX($P494,DateRef)&gt;$AB494,"À programmer avant 60 ans",""))))))))</f>
        <v/>
      </c>
      <c r="AD494" s="40"/>
      <c r="AE494" s="43" t="str">
        <f aca="false">IF(OR($B494="",$H494="",AND($I494&lt;&gt;"",$I494&lt;=DateRef)),"",MAX($H494,$AD494,IF($A494="",0,SUMPRODUCT(MAX((Journal!$A$6:$A$1005=$A494)*((Journal!$D$6:$D$1005=TypeEDL)+(Journal!$D$6:$D$1005=TypeBilan6))*Journal!$C$6:$C$1005)))))</f>
        <v/>
      </c>
      <c r="AF494" s="43" t="str">
        <f aca="false">IF($AE494="","",IF(AND(ReglesTransitoires="Oui",EDATE($AE494,AnciennePeriodiciteEDL*12)&lt;DateVigueur),EDATE($AE494,AnciennePeriodiciteEDL*12),EDATE($AE494,PeriodiciteEDL*12)))</f>
        <v/>
      </c>
      <c r="AG494" s="42" t="str">
        <f aca="false">IF($AF494="","",IF(AND($I494&lt;&gt;"",$I494&lt;=DateRef),"",IF($AF494&lt;DateRef,"En retard",IF($AF494-DateRef&lt;=SeuilAlerteEDL,"À prévoir","À jour"))))</f>
        <v/>
      </c>
      <c r="AH494" s="39"/>
      <c r="AI494" s="39"/>
      <c r="AJ494" s="42" t="str">
        <f aca="false">IF(OR($B494="",$H494=""),"",IF(AND($I494&lt;&gt;"",$I494&lt;=DateRef),"",IF(Effectif&lt;SeuilEffectif,"Non concerné (&lt; "&amp;SeuilEffectif&amp;" salariés)",IF($AH494="Oui","Pas de risque",IF(AND(OR($AI494="Non",$S494="En retard"),$AH494="Non"),"Risque abondement",IF(OR($AI494="Non",$S494="En retard"),"À vérifier (formation ?)",IF($AI494="Oui","Pas de risque","À compléter")))))))</f>
        <v/>
      </c>
      <c r="AK494" s="39"/>
    </row>
    <row r="495" customFormat="false" ht="15" hidden="false" customHeight="false" outlineLevel="0" collapsed="false">
      <c r="A495" s="39"/>
      <c r="B495" s="39"/>
      <c r="C495" s="39"/>
      <c r="D495" s="39"/>
      <c r="E495" s="39"/>
      <c r="F495" s="39"/>
      <c r="G495" s="40"/>
      <c r="H495" s="40"/>
      <c r="I495" s="40"/>
      <c r="J495" s="41" t="str">
        <f aca="false">IF(OR($B495="",$H495=""),"",IF($H495&gt;DateRef,0,YEARFRAC($H495,DateRef,1)))</f>
        <v/>
      </c>
      <c r="K495" s="42" t="str">
        <f aca="false">IF(OR($B495="",$H495=""),"",IF(EDATE($H495,12)&lt;=DateRef,"Plus d'un an","Moins d'un an"))</f>
        <v/>
      </c>
      <c r="L495" s="40"/>
      <c r="M495" s="43" t="str">
        <f aca="false">IF(OR($B495="",$A495=""),"",IF(SUMPRODUCT(MAX((Journal!$A$6:$A$1005=$A495)*Journal!$C$6:$C$1005))=0,"",SUMPRODUCT(MAX((Journal!$A$6:$A$1005=$A495)*Journal!$C$6:$C$1005))))</f>
        <v/>
      </c>
      <c r="N495" s="43" t="str">
        <f aca="false">IF($B495="","",IF(MAX($L495,$M495)=0,"",MAX($L495,$M495)))</f>
        <v/>
      </c>
      <c r="O495" s="44" t="str">
        <f aca="false">IF(OR($B495="",$H495=""),"",IF($N495="",IF(EDATE($H495,DelaiPremierEPP)&gt;DateRef,"1er EPP (1re année)","Aucun entretien renseigné"),IF(AND(ReglesTransitoires="Oui",EDATE($N495,AnciennePeriodiciteEP*12)&lt;DateVigueur),"Retard antérieur à la réforme","Périodicité "&amp;PeriodiciteEPP&amp;" ans")))</f>
        <v/>
      </c>
      <c r="P495" s="43" t="str">
        <f aca="false">IF(OR($B495="",$H495=""),"",IF($N495="",EDATE($H495,DelaiPremierEPP),IF(AND(ReglesTransitoires="Oui",EDATE($N495,AnciennePeriodiciteEP*12)&lt;DateVigueur),EDATE($N495,AnciennePeriodiciteEP*12),EDATE($N495,PeriodiciteEPP*12))))</f>
        <v/>
      </c>
      <c r="Q495" s="40"/>
      <c r="R495" s="45" t="str">
        <f aca="false">IF(OR($P495="",AND($I495&lt;&gt;"",$I495&lt;=DateRef)),"",$P495-DateRef)</f>
        <v/>
      </c>
      <c r="S495" s="42" t="str">
        <f aca="false">IF($B495="","",IF(AND($I495&lt;&gt;"",$I495&lt;=DateRef),"Sorti",IF($H495="","À compléter",IF(AND($Q495&lt;&gt;"",$Q495&gt;=DateRef,$Q495&lt;=$P495),"Planifié",IF($R495&lt;0,"En retard",IF($R495&lt;=SeuilAlerteEPP,"À planifier","À jour"))))))</f>
        <v/>
      </c>
      <c r="T495" s="46" t="str">
        <f aca="false">IF(OR($B495="",$S495="Sorti"),"",MID(IF($H495=""," | Date d'embauche manquante","")&amp;IF(AND($K495="Plus d'un an",$N495="")," | Précédent entretien à renseigner (ancienneté &gt; 1 an)","")&amp;IF($O495="Retard antérieur à la réforme"," | Ancien délai de 2 ans expiré avant la réforme","")&amp;IF(AND($N495&lt;&gt;"",$H495&lt;&gt;"",$N495&lt;$H495)," | Entretien antérieur à l'embauche ?","")&amp;IF(AND($N495&lt;&gt;"",$N495&gt;DateRef)," | Entretien daté dans le futur ?","")&amp;IF(AND($Q495&lt;&gt;"",$P495&lt;&gt;"",$Q495&gt;$P495)," | Date prévue après l'échéance","")&amp;IF(AND($Q495&lt;&gt;"",$Q495&lt;DateRef,OR($N495="",$N495&lt;$Q495))," | Entretien prévu passé : le consigner au Journal","")&amp;IF(AND($G495&lt;&gt;"",$X495="",YEAR(DateRef)-YEAR($G495)&gt;=AgeMiCarriere-1,YEAR(DateRef)-YEAR($G495)&lt;=AgeMiCarriere+1)," | Visite de mi-carrière à vérifier",""),4,1000))</f>
        <v/>
      </c>
      <c r="U495" s="39"/>
      <c r="V495" s="40"/>
      <c r="W495" s="42" t="str">
        <f aca="false">IF(OR($B495="",$V495=""),"",IF(AND($I495&lt;&gt;"",$I495&lt;=DateRef),"",IF(AND($N495&lt;&gt;"",$N495&gt;=$V495),"Réalisé",IF(AND($N495&lt;&gt;"",$N495&gt;=EDATE($V495,-FenetreRetour)),"Dispensé (EPP récent)",IF($V495&gt;DateRef,"À prévoir à la reprise","À proposer (reprise passée)")))))</f>
        <v/>
      </c>
      <c r="X495" s="40"/>
      <c r="Y495" s="43" t="str">
        <f aca="false">IF(OR($B495="",$X495=""),"",EDATE($X495,DelaiMiCarriere))</f>
        <v/>
      </c>
      <c r="Z495" s="42" t="str">
        <f aca="false">IF(OR($B495="",$X495=""),"",IF(AND($I495&lt;&gt;"",$I495&lt;=DateRef),"",IF(AND($N495&lt;&gt;"",$N495&gt;=$X495),"Réalisé",IF($Y495&lt;DateRef,"En retard","À planifier"))))</f>
        <v/>
      </c>
      <c r="AA495" s="47" t="str">
        <f aca="false">IF(OR($B495="",$G495=""),"",IF($G495&gt;DateRef,"",DATEDIF($G495,DateRef,"y")))</f>
        <v/>
      </c>
      <c r="AB495" s="43" t="str">
        <f aca="false">IF(OR($B495="",$G495=""),"",EDATE($G495,AgeFinCarriere*12))</f>
        <v/>
      </c>
      <c r="AC495" s="42" t="str">
        <f aca="false">IF(OR($B495="",$G495="",$H495=""),"",IF(AND($I495&lt;&gt;"",$I495&lt;=DateRef),"",IF($AB495&lt;DateVigueur,"Non concerné",IF(AND($N495&lt;&gt;"",$N495&gt;=MAX(EDATE($AB495,-FenetreFinCarriere*12),DateVigueur),$N495&lt;=$AB495),"Réalisé",IF(DateRef&gt;$AB495,"Non réalisé",IF(AND($Q495&lt;&gt;"",$Q495&gt;=EDATE($AB495,-FenetreFinCarriere*12),$Q495&lt;=$AB495),"Planifié dans la fenêtre",IF(AND(MAX($P495,DateRef)&gt;=EDATE($AB495,-FenetreFinCarriere*12),MAX($P495,DateRef)&lt;=$AB495),"Prochain EPP dans la fenêtre",IF(MAX($P495,DateRef)&gt;$AB495,"À programmer avant 60 ans",""))))))))</f>
        <v/>
      </c>
      <c r="AD495" s="40"/>
      <c r="AE495" s="43" t="str">
        <f aca="false">IF(OR($B495="",$H495="",AND($I495&lt;&gt;"",$I495&lt;=DateRef)),"",MAX($H495,$AD495,IF($A495="",0,SUMPRODUCT(MAX((Journal!$A$6:$A$1005=$A495)*((Journal!$D$6:$D$1005=TypeEDL)+(Journal!$D$6:$D$1005=TypeBilan6))*Journal!$C$6:$C$1005)))))</f>
        <v/>
      </c>
      <c r="AF495" s="43" t="str">
        <f aca="false">IF($AE495="","",IF(AND(ReglesTransitoires="Oui",EDATE($AE495,AnciennePeriodiciteEDL*12)&lt;DateVigueur),EDATE($AE495,AnciennePeriodiciteEDL*12),EDATE($AE495,PeriodiciteEDL*12)))</f>
        <v/>
      </c>
      <c r="AG495" s="42" t="str">
        <f aca="false">IF($AF495="","",IF(AND($I495&lt;&gt;"",$I495&lt;=DateRef),"",IF($AF495&lt;DateRef,"En retard",IF($AF495-DateRef&lt;=SeuilAlerteEDL,"À prévoir","À jour"))))</f>
        <v/>
      </c>
      <c r="AH495" s="39"/>
      <c r="AI495" s="39"/>
      <c r="AJ495" s="42" t="str">
        <f aca="false">IF(OR($B495="",$H495=""),"",IF(AND($I495&lt;&gt;"",$I495&lt;=DateRef),"",IF(Effectif&lt;SeuilEffectif,"Non concerné (&lt; "&amp;SeuilEffectif&amp;" salariés)",IF($AH495="Oui","Pas de risque",IF(AND(OR($AI495="Non",$S495="En retard"),$AH495="Non"),"Risque abondement",IF(OR($AI495="Non",$S495="En retard"),"À vérifier (formation ?)",IF($AI495="Oui","Pas de risque","À compléter")))))))</f>
        <v/>
      </c>
      <c r="AK495" s="39"/>
    </row>
    <row r="496" customFormat="false" ht="15" hidden="false" customHeight="false" outlineLevel="0" collapsed="false">
      <c r="A496" s="39"/>
      <c r="B496" s="39"/>
      <c r="C496" s="39"/>
      <c r="D496" s="39"/>
      <c r="E496" s="39"/>
      <c r="F496" s="39"/>
      <c r="G496" s="40"/>
      <c r="H496" s="40"/>
      <c r="I496" s="40"/>
      <c r="J496" s="41" t="str">
        <f aca="false">IF(OR($B496="",$H496=""),"",IF($H496&gt;DateRef,0,YEARFRAC($H496,DateRef,1)))</f>
        <v/>
      </c>
      <c r="K496" s="42" t="str">
        <f aca="false">IF(OR($B496="",$H496=""),"",IF(EDATE($H496,12)&lt;=DateRef,"Plus d'un an","Moins d'un an"))</f>
        <v/>
      </c>
      <c r="L496" s="40"/>
      <c r="M496" s="43" t="str">
        <f aca="false">IF(OR($B496="",$A496=""),"",IF(SUMPRODUCT(MAX((Journal!$A$6:$A$1005=$A496)*Journal!$C$6:$C$1005))=0,"",SUMPRODUCT(MAX((Journal!$A$6:$A$1005=$A496)*Journal!$C$6:$C$1005))))</f>
        <v/>
      </c>
      <c r="N496" s="43" t="str">
        <f aca="false">IF($B496="","",IF(MAX($L496,$M496)=0,"",MAX($L496,$M496)))</f>
        <v/>
      </c>
      <c r="O496" s="44" t="str">
        <f aca="false">IF(OR($B496="",$H496=""),"",IF($N496="",IF(EDATE($H496,DelaiPremierEPP)&gt;DateRef,"1er EPP (1re année)","Aucun entretien renseigné"),IF(AND(ReglesTransitoires="Oui",EDATE($N496,AnciennePeriodiciteEP*12)&lt;DateVigueur),"Retard antérieur à la réforme","Périodicité "&amp;PeriodiciteEPP&amp;" ans")))</f>
        <v/>
      </c>
      <c r="P496" s="43" t="str">
        <f aca="false">IF(OR($B496="",$H496=""),"",IF($N496="",EDATE($H496,DelaiPremierEPP),IF(AND(ReglesTransitoires="Oui",EDATE($N496,AnciennePeriodiciteEP*12)&lt;DateVigueur),EDATE($N496,AnciennePeriodiciteEP*12),EDATE($N496,PeriodiciteEPP*12))))</f>
        <v/>
      </c>
      <c r="Q496" s="40"/>
      <c r="R496" s="45" t="str">
        <f aca="false">IF(OR($P496="",AND($I496&lt;&gt;"",$I496&lt;=DateRef)),"",$P496-DateRef)</f>
        <v/>
      </c>
      <c r="S496" s="42" t="str">
        <f aca="false">IF($B496="","",IF(AND($I496&lt;&gt;"",$I496&lt;=DateRef),"Sorti",IF($H496="","À compléter",IF(AND($Q496&lt;&gt;"",$Q496&gt;=DateRef,$Q496&lt;=$P496),"Planifié",IF($R496&lt;0,"En retard",IF($R496&lt;=SeuilAlerteEPP,"À planifier","À jour"))))))</f>
        <v/>
      </c>
      <c r="T496" s="46" t="str">
        <f aca="false">IF(OR($B496="",$S496="Sorti"),"",MID(IF($H496=""," | Date d'embauche manquante","")&amp;IF(AND($K496="Plus d'un an",$N496="")," | Précédent entretien à renseigner (ancienneté &gt; 1 an)","")&amp;IF($O496="Retard antérieur à la réforme"," | Ancien délai de 2 ans expiré avant la réforme","")&amp;IF(AND($N496&lt;&gt;"",$H496&lt;&gt;"",$N496&lt;$H496)," | Entretien antérieur à l'embauche ?","")&amp;IF(AND($N496&lt;&gt;"",$N496&gt;DateRef)," | Entretien daté dans le futur ?","")&amp;IF(AND($Q496&lt;&gt;"",$P496&lt;&gt;"",$Q496&gt;$P496)," | Date prévue après l'échéance","")&amp;IF(AND($Q496&lt;&gt;"",$Q496&lt;DateRef,OR($N496="",$N496&lt;$Q496))," | Entretien prévu passé : le consigner au Journal","")&amp;IF(AND($G496&lt;&gt;"",$X496="",YEAR(DateRef)-YEAR($G496)&gt;=AgeMiCarriere-1,YEAR(DateRef)-YEAR($G496)&lt;=AgeMiCarriere+1)," | Visite de mi-carrière à vérifier",""),4,1000))</f>
        <v/>
      </c>
      <c r="U496" s="39"/>
      <c r="V496" s="40"/>
      <c r="W496" s="42" t="str">
        <f aca="false">IF(OR($B496="",$V496=""),"",IF(AND($I496&lt;&gt;"",$I496&lt;=DateRef),"",IF(AND($N496&lt;&gt;"",$N496&gt;=$V496),"Réalisé",IF(AND($N496&lt;&gt;"",$N496&gt;=EDATE($V496,-FenetreRetour)),"Dispensé (EPP récent)",IF($V496&gt;DateRef,"À prévoir à la reprise","À proposer (reprise passée)")))))</f>
        <v/>
      </c>
      <c r="X496" s="40"/>
      <c r="Y496" s="43" t="str">
        <f aca="false">IF(OR($B496="",$X496=""),"",EDATE($X496,DelaiMiCarriere))</f>
        <v/>
      </c>
      <c r="Z496" s="42" t="str">
        <f aca="false">IF(OR($B496="",$X496=""),"",IF(AND($I496&lt;&gt;"",$I496&lt;=DateRef),"",IF(AND($N496&lt;&gt;"",$N496&gt;=$X496),"Réalisé",IF($Y496&lt;DateRef,"En retard","À planifier"))))</f>
        <v/>
      </c>
      <c r="AA496" s="47" t="str">
        <f aca="false">IF(OR($B496="",$G496=""),"",IF($G496&gt;DateRef,"",DATEDIF($G496,DateRef,"y")))</f>
        <v/>
      </c>
      <c r="AB496" s="43" t="str">
        <f aca="false">IF(OR($B496="",$G496=""),"",EDATE($G496,AgeFinCarriere*12))</f>
        <v/>
      </c>
      <c r="AC496" s="42" t="str">
        <f aca="false">IF(OR($B496="",$G496="",$H496=""),"",IF(AND($I496&lt;&gt;"",$I496&lt;=DateRef),"",IF($AB496&lt;DateVigueur,"Non concerné",IF(AND($N496&lt;&gt;"",$N496&gt;=MAX(EDATE($AB496,-FenetreFinCarriere*12),DateVigueur),$N496&lt;=$AB496),"Réalisé",IF(DateRef&gt;$AB496,"Non réalisé",IF(AND($Q496&lt;&gt;"",$Q496&gt;=EDATE($AB496,-FenetreFinCarriere*12),$Q496&lt;=$AB496),"Planifié dans la fenêtre",IF(AND(MAX($P496,DateRef)&gt;=EDATE($AB496,-FenetreFinCarriere*12),MAX($P496,DateRef)&lt;=$AB496),"Prochain EPP dans la fenêtre",IF(MAX($P496,DateRef)&gt;$AB496,"À programmer avant 60 ans",""))))))))</f>
        <v/>
      </c>
      <c r="AD496" s="40"/>
      <c r="AE496" s="43" t="str">
        <f aca="false">IF(OR($B496="",$H496="",AND($I496&lt;&gt;"",$I496&lt;=DateRef)),"",MAX($H496,$AD496,IF($A496="",0,SUMPRODUCT(MAX((Journal!$A$6:$A$1005=$A496)*((Journal!$D$6:$D$1005=TypeEDL)+(Journal!$D$6:$D$1005=TypeBilan6))*Journal!$C$6:$C$1005)))))</f>
        <v/>
      </c>
      <c r="AF496" s="43" t="str">
        <f aca="false">IF($AE496="","",IF(AND(ReglesTransitoires="Oui",EDATE($AE496,AnciennePeriodiciteEDL*12)&lt;DateVigueur),EDATE($AE496,AnciennePeriodiciteEDL*12),EDATE($AE496,PeriodiciteEDL*12)))</f>
        <v/>
      </c>
      <c r="AG496" s="42" t="str">
        <f aca="false">IF($AF496="","",IF(AND($I496&lt;&gt;"",$I496&lt;=DateRef),"",IF($AF496&lt;DateRef,"En retard",IF($AF496-DateRef&lt;=SeuilAlerteEDL,"À prévoir","À jour"))))</f>
        <v/>
      </c>
      <c r="AH496" s="39"/>
      <c r="AI496" s="39"/>
      <c r="AJ496" s="42" t="str">
        <f aca="false">IF(OR($B496="",$H496=""),"",IF(AND($I496&lt;&gt;"",$I496&lt;=DateRef),"",IF(Effectif&lt;SeuilEffectif,"Non concerné (&lt; "&amp;SeuilEffectif&amp;" salariés)",IF($AH496="Oui","Pas de risque",IF(AND(OR($AI496="Non",$S496="En retard"),$AH496="Non"),"Risque abondement",IF(OR($AI496="Non",$S496="En retard"),"À vérifier (formation ?)",IF($AI496="Oui","Pas de risque","À compléter")))))))</f>
        <v/>
      </c>
      <c r="AK496" s="39"/>
    </row>
    <row r="497" customFormat="false" ht="15" hidden="false" customHeight="false" outlineLevel="0" collapsed="false">
      <c r="A497" s="39"/>
      <c r="B497" s="39"/>
      <c r="C497" s="39"/>
      <c r="D497" s="39"/>
      <c r="E497" s="39"/>
      <c r="F497" s="39"/>
      <c r="G497" s="40"/>
      <c r="H497" s="40"/>
      <c r="I497" s="40"/>
      <c r="J497" s="41" t="str">
        <f aca="false">IF(OR($B497="",$H497=""),"",IF($H497&gt;DateRef,0,YEARFRAC($H497,DateRef,1)))</f>
        <v/>
      </c>
      <c r="K497" s="42" t="str">
        <f aca="false">IF(OR($B497="",$H497=""),"",IF(EDATE($H497,12)&lt;=DateRef,"Plus d'un an","Moins d'un an"))</f>
        <v/>
      </c>
      <c r="L497" s="40"/>
      <c r="M497" s="43" t="str">
        <f aca="false">IF(OR($B497="",$A497=""),"",IF(SUMPRODUCT(MAX((Journal!$A$6:$A$1005=$A497)*Journal!$C$6:$C$1005))=0,"",SUMPRODUCT(MAX((Journal!$A$6:$A$1005=$A497)*Journal!$C$6:$C$1005))))</f>
        <v/>
      </c>
      <c r="N497" s="43" t="str">
        <f aca="false">IF($B497="","",IF(MAX($L497,$M497)=0,"",MAX($L497,$M497)))</f>
        <v/>
      </c>
      <c r="O497" s="44" t="str">
        <f aca="false">IF(OR($B497="",$H497=""),"",IF($N497="",IF(EDATE($H497,DelaiPremierEPP)&gt;DateRef,"1er EPP (1re année)","Aucun entretien renseigné"),IF(AND(ReglesTransitoires="Oui",EDATE($N497,AnciennePeriodiciteEP*12)&lt;DateVigueur),"Retard antérieur à la réforme","Périodicité "&amp;PeriodiciteEPP&amp;" ans")))</f>
        <v/>
      </c>
      <c r="P497" s="43" t="str">
        <f aca="false">IF(OR($B497="",$H497=""),"",IF($N497="",EDATE($H497,DelaiPremierEPP),IF(AND(ReglesTransitoires="Oui",EDATE($N497,AnciennePeriodiciteEP*12)&lt;DateVigueur),EDATE($N497,AnciennePeriodiciteEP*12),EDATE($N497,PeriodiciteEPP*12))))</f>
        <v/>
      </c>
      <c r="Q497" s="40"/>
      <c r="R497" s="45" t="str">
        <f aca="false">IF(OR($P497="",AND($I497&lt;&gt;"",$I497&lt;=DateRef)),"",$P497-DateRef)</f>
        <v/>
      </c>
      <c r="S497" s="42" t="str">
        <f aca="false">IF($B497="","",IF(AND($I497&lt;&gt;"",$I497&lt;=DateRef),"Sorti",IF($H497="","À compléter",IF(AND($Q497&lt;&gt;"",$Q497&gt;=DateRef,$Q497&lt;=$P497),"Planifié",IF($R497&lt;0,"En retard",IF($R497&lt;=SeuilAlerteEPP,"À planifier","À jour"))))))</f>
        <v/>
      </c>
      <c r="T497" s="46" t="str">
        <f aca="false">IF(OR($B497="",$S497="Sorti"),"",MID(IF($H497=""," | Date d'embauche manquante","")&amp;IF(AND($K497="Plus d'un an",$N497="")," | Précédent entretien à renseigner (ancienneté &gt; 1 an)","")&amp;IF($O497="Retard antérieur à la réforme"," | Ancien délai de 2 ans expiré avant la réforme","")&amp;IF(AND($N497&lt;&gt;"",$H497&lt;&gt;"",$N497&lt;$H497)," | Entretien antérieur à l'embauche ?","")&amp;IF(AND($N497&lt;&gt;"",$N497&gt;DateRef)," | Entretien daté dans le futur ?","")&amp;IF(AND($Q497&lt;&gt;"",$P497&lt;&gt;"",$Q497&gt;$P497)," | Date prévue après l'échéance","")&amp;IF(AND($Q497&lt;&gt;"",$Q497&lt;DateRef,OR($N497="",$N497&lt;$Q497))," | Entretien prévu passé : le consigner au Journal","")&amp;IF(AND($G497&lt;&gt;"",$X497="",YEAR(DateRef)-YEAR($G497)&gt;=AgeMiCarriere-1,YEAR(DateRef)-YEAR($G497)&lt;=AgeMiCarriere+1)," | Visite de mi-carrière à vérifier",""),4,1000))</f>
        <v/>
      </c>
      <c r="U497" s="39"/>
      <c r="V497" s="40"/>
      <c r="W497" s="42" t="str">
        <f aca="false">IF(OR($B497="",$V497=""),"",IF(AND($I497&lt;&gt;"",$I497&lt;=DateRef),"",IF(AND($N497&lt;&gt;"",$N497&gt;=$V497),"Réalisé",IF(AND($N497&lt;&gt;"",$N497&gt;=EDATE($V497,-FenetreRetour)),"Dispensé (EPP récent)",IF($V497&gt;DateRef,"À prévoir à la reprise","À proposer (reprise passée)")))))</f>
        <v/>
      </c>
      <c r="X497" s="40"/>
      <c r="Y497" s="43" t="str">
        <f aca="false">IF(OR($B497="",$X497=""),"",EDATE($X497,DelaiMiCarriere))</f>
        <v/>
      </c>
      <c r="Z497" s="42" t="str">
        <f aca="false">IF(OR($B497="",$X497=""),"",IF(AND($I497&lt;&gt;"",$I497&lt;=DateRef),"",IF(AND($N497&lt;&gt;"",$N497&gt;=$X497),"Réalisé",IF($Y497&lt;DateRef,"En retard","À planifier"))))</f>
        <v/>
      </c>
      <c r="AA497" s="47" t="str">
        <f aca="false">IF(OR($B497="",$G497=""),"",IF($G497&gt;DateRef,"",DATEDIF($G497,DateRef,"y")))</f>
        <v/>
      </c>
      <c r="AB497" s="43" t="str">
        <f aca="false">IF(OR($B497="",$G497=""),"",EDATE($G497,AgeFinCarriere*12))</f>
        <v/>
      </c>
      <c r="AC497" s="42" t="str">
        <f aca="false">IF(OR($B497="",$G497="",$H497=""),"",IF(AND($I497&lt;&gt;"",$I497&lt;=DateRef),"",IF($AB497&lt;DateVigueur,"Non concerné",IF(AND($N497&lt;&gt;"",$N497&gt;=MAX(EDATE($AB497,-FenetreFinCarriere*12),DateVigueur),$N497&lt;=$AB497),"Réalisé",IF(DateRef&gt;$AB497,"Non réalisé",IF(AND($Q497&lt;&gt;"",$Q497&gt;=EDATE($AB497,-FenetreFinCarriere*12),$Q497&lt;=$AB497),"Planifié dans la fenêtre",IF(AND(MAX($P497,DateRef)&gt;=EDATE($AB497,-FenetreFinCarriere*12),MAX($P497,DateRef)&lt;=$AB497),"Prochain EPP dans la fenêtre",IF(MAX($P497,DateRef)&gt;$AB497,"À programmer avant 60 ans",""))))))))</f>
        <v/>
      </c>
      <c r="AD497" s="40"/>
      <c r="AE497" s="43" t="str">
        <f aca="false">IF(OR($B497="",$H497="",AND($I497&lt;&gt;"",$I497&lt;=DateRef)),"",MAX($H497,$AD497,IF($A497="",0,SUMPRODUCT(MAX((Journal!$A$6:$A$1005=$A497)*((Journal!$D$6:$D$1005=TypeEDL)+(Journal!$D$6:$D$1005=TypeBilan6))*Journal!$C$6:$C$1005)))))</f>
        <v/>
      </c>
      <c r="AF497" s="43" t="str">
        <f aca="false">IF($AE497="","",IF(AND(ReglesTransitoires="Oui",EDATE($AE497,AnciennePeriodiciteEDL*12)&lt;DateVigueur),EDATE($AE497,AnciennePeriodiciteEDL*12),EDATE($AE497,PeriodiciteEDL*12)))</f>
        <v/>
      </c>
      <c r="AG497" s="42" t="str">
        <f aca="false">IF($AF497="","",IF(AND($I497&lt;&gt;"",$I497&lt;=DateRef),"",IF($AF497&lt;DateRef,"En retard",IF($AF497-DateRef&lt;=SeuilAlerteEDL,"À prévoir","À jour"))))</f>
        <v/>
      </c>
      <c r="AH497" s="39"/>
      <c r="AI497" s="39"/>
      <c r="AJ497" s="42" t="str">
        <f aca="false">IF(OR($B497="",$H497=""),"",IF(AND($I497&lt;&gt;"",$I497&lt;=DateRef),"",IF(Effectif&lt;SeuilEffectif,"Non concerné (&lt; "&amp;SeuilEffectif&amp;" salariés)",IF($AH497="Oui","Pas de risque",IF(AND(OR($AI497="Non",$S497="En retard"),$AH497="Non"),"Risque abondement",IF(OR($AI497="Non",$S497="En retard"),"À vérifier (formation ?)",IF($AI497="Oui","Pas de risque","À compléter")))))))</f>
        <v/>
      </c>
      <c r="AK497" s="39"/>
    </row>
    <row r="498" customFormat="false" ht="15" hidden="false" customHeight="false" outlineLevel="0" collapsed="false">
      <c r="A498" s="39"/>
      <c r="B498" s="39"/>
      <c r="C498" s="39"/>
      <c r="D498" s="39"/>
      <c r="E498" s="39"/>
      <c r="F498" s="39"/>
      <c r="G498" s="40"/>
      <c r="H498" s="40"/>
      <c r="I498" s="40"/>
      <c r="J498" s="41" t="str">
        <f aca="false">IF(OR($B498="",$H498=""),"",IF($H498&gt;DateRef,0,YEARFRAC($H498,DateRef,1)))</f>
        <v/>
      </c>
      <c r="K498" s="42" t="str">
        <f aca="false">IF(OR($B498="",$H498=""),"",IF(EDATE($H498,12)&lt;=DateRef,"Plus d'un an","Moins d'un an"))</f>
        <v/>
      </c>
      <c r="L498" s="40"/>
      <c r="M498" s="43" t="str">
        <f aca="false">IF(OR($B498="",$A498=""),"",IF(SUMPRODUCT(MAX((Journal!$A$6:$A$1005=$A498)*Journal!$C$6:$C$1005))=0,"",SUMPRODUCT(MAX((Journal!$A$6:$A$1005=$A498)*Journal!$C$6:$C$1005))))</f>
        <v/>
      </c>
      <c r="N498" s="43" t="str">
        <f aca="false">IF($B498="","",IF(MAX($L498,$M498)=0,"",MAX($L498,$M498)))</f>
        <v/>
      </c>
      <c r="O498" s="44" t="str">
        <f aca="false">IF(OR($B498="",$H498=""),"",IF($N498="",IF(EDATE($H498,DelaiPremierEPP)&gt;DateRef,"1er EPP (1re année)","Aucun entretien renseigné"),IF(AND(ReglesTransitoires="Oui",EDATE($N498,AnciennePeriodiciteEP*12)&lt;DateVigueur),"Retard antérieur à la réforme","Périodicité "&amp;PeriodiciteEPP&amp;" ans")))</f>
        <v/>
      </c>
      <c r="P498" s="43" t="str">
        <f aca="false">IF(OR($B498="",$H498=""),"",IF($N498="",EDATE($H498,DelaiPremierEPP),IF(AND(ReglesTransitoires="Oui",EDATE($N498,AnciennePeriodiciteEP*12)&lt;DateVigueur),EDATE($N498,AnciennePeriodiciteEP*12),EDATE($N498,PeriodiciteEPP*12))))</f>
        <v/>
      </c>
      <c r="Q498" s="40"/>
      <c r="R498" s="45" t="str">
        <f aca="false">IF(OR($P498="",AND($I498&lt;&gt;"",$I498&lt;=DateRef)),"",$P498-DateRef)</f>
        <v/>
      </c>
      <c r="S498" s="42" t="str">
        <f aca="false">IF($B498="","",IF(AND($I498&lt;&gt;"",$I498&lt;=DateRef),"Sorti",IF($H498="","À compléter",IF(AND($Q498&lt;&gt;"",$Q498&gt;=DateRef,$Q498&lt;=$P498),"Planifié",IF($R498&lt;0,"En retard",IF($R498&lt;=SeuilAlerteEPP,"À planifier","À jour"))))))</f>
        <v/>
      </c>
      <c r="T498" s="46" t="str">
        <f aca="false">IF(OR($B498="",$S498="Sorti"),"",MID(IF($H498=""," | Date d'embauche manquante","")&amp;IF(AND($K498="Plus d'un an",$N498="")," | Précédent entretien à renseigner (ancienneté &gt; 1 an)","")&amp;IF($O498="Retard antérieur à la réforme"," | Ancien délai de 2 ans expiré avant la réforme","")&amp;IF(AND($N498&lt;&gt;"",$H498&lt;&gt;"",$N498&lt;$H498)," | Entretien antérieur à l'embauche ?","")&amp;IF(AND($N498&lt;&gt;"",$N498&gt;DateRef)," | Entretien daté dans le futur ?","")&amp;IF(AND($Q498&lt;&gt;"",$P498&lt;&gt;"",$Q498&gt;$P498)," | Date prévue après l'échéance","")&amp;IF(AND($Q498&lt;&gt;"",$Q498&lt;DateRef,OR($N498="",$N498&lt;$Q498))," | Entretien prévu passé : le consigner au Journal","")&amp;IF(AND($G498&lt;&gt;"",$X498="",YEAR(DateRef)-YEAR($G498)&gt;=AgeMiCarriere-1,YEAR(DateRef)-YEAR($G498)&lt;=AgeMiCarriere+1)," | Visite de mi-carrière à vérifier",""),4,1000))</f>
        <v/>
      </c>
      <c r="U498" s="39"/>
      <c r="V498" s="40"/>
      <c r="W498" s="42" t="str">
        <f aca="false">IF(OR($B498="",$V498=""),"",IF(AND($I498&lt;&gt;"",$I498&lt;=DateRef),"",IF(AND($N498&lt;&gt;"",$N498&gt;=$V498),"Réalisé",IF(AND($N498&lt;&gt;"",$N498&gt;=EDATE($V498,-FenetreRetour)),"Dispensé (EPP récent)",IF($V498&gt;DateRef,"À prévoir à la reprise","À proposer (reprise passée)")))))</f>
        <v/>
      </c>
      <c r="X498" s="40"/>
      <c r="Y498" s="43" t="str">
        <f aca="false">IF(OR($B498="",$X498=""),"",EDATE($X498,DelaiMiCarriere))</f>
        <v/>
      </c>
      <c r="Z498" s="42" t="str">
        <f aca="false">IF(OR($B498="",$X498=""),"",IF(AND($I498&lt;&gt;"",$I498&lt;=DateRef),"",IF(AND($N498&lt;&gt;"",$N498&gt;=$X498),"Réalisé",IF($Y498&lt;DateRef,"En retard","À planifier"))))</f>
        <v/>
      </c>
      <c r="AA498" s="47" t="str">
        <f aca="false">IF(OR($B498="",$G498=""),"",IF($G498&gt;DateRef,"",DATEDIF($G498,DateRef,"y")))</f>
        <v/>
      </c>
      <c r="AB498" s="43" t="str">
        <f aca="false">IF(OR($B498="",$G498=""),"",EDATE($G498,AgeFinCarriere*12))</f>
        <v/>
      </c>
      <c r="AC498" s="42" t="str">
        <f aca="false">IF(OR($B498="",$G498="",$H498=""),"",IF(AND($I498&lt;&gt;"",$I498&lt;=DateRef),"",IF($AB498&lt;DateVigueur,"Non concerné",IF(AND($N498&lt;&gt;"",$N498&gt;=MAX(EDATE($AB498,-FenetreFinCarriere*12),DateVigueur),$N498&lt;=$AB498),"Réalisé",IF(DateRef&gt;$AB498,"Non réalisé",IF(AND($Q498&lt;&gt;"",$Q498&gt;=EDATE($AB498,-FenetreFinCarriere*12),$Q498&lt;=$AB498),"Planifié dans la fenêtre",IF(AND(MAX($P498,DateRef)&gt;=EDATE($AB498,-FenetreFinCarriere*12),MAX($P498,DateRef)&lt;=$AB498),"Prochain EPP dans la fenêtre",IF(MAX($P498,DateRef)&gt;$AB498,"À programmer avant 60 ans",""))))))))</f>
        <v/>
      </c>
      <c r="AD498" s="40"/>
      <c r="AE498" s="43" t="str">
        <f aca="false">IF(OR($B498="",$H498="",AND($I498&lt;&gt;"",$I498&lt;=DateRef)),"",MAX($H498,$AD498,IF($A498="",0,SUMPRODUCT(MAX((Journal!$A$6:$A$1005=$A498)*((Journal!$D$6:$D$1005=TypeEDL)+(Journal!$D$6:$D$1005=TypeBilan6))*Journal!$C$6:$C$1005)))))</f>
        <v/>
      </c>
      <c r="AF498" s="43" t="str">
        <f aca="false">IF($AE498="","",IF(AND(ReglesTransitoires="Oui",EDATE($AE498,AnciennePeriodiciteEDL*12)&lt;DateVigueur),EDATE($AE498,AnciennePeriodiciteEDL*12),EDATE($AE498,PeriodiciteEDL*12)))</f>
        <v/>
      </c>
      <c r="AG498" s="42" t="str">
        <f aca="false">IF($AF498="","",IF(AND($I498&lt;&gt;"",$I498&lt;=DateRef),"",IF($AF498&lt;DateRef,"En retard",IF($AF498-DateRef&lt;=SeuilAlerteEDL,"À prévoir","À jour"))))</f>
        <v/>
      </c>
      <c r="AH498" s="39"/>
      <c r="AI498" s="39"/>
      <c r="AJ498" s="42" t="str">
        <f aca="false">IF(OR($B498="",$H498=""),"",IF(AND($I498&lt;&gt;"",$I498&lt;=DateRef),"",IF(Effectif&lt;SeuilEffectif,"Non concerné (&lt; "&amp;SeuilEffectif&amp;" salariés)",IF($AH498="Oui","Pas de risque",IF(AND(OR($AI498="Non",$S498="En retard"),$AH498="Non"),"Risque abondement",IF(OR($AI498="Non",$S498="En retard"),"À vérifier (formation ?)",IF($AI498="Oui","Pas de risque","À compléter")))))))</f>
        <v/>
      </c>
      <c r="AK498" s="39"/>
    </row>
    <row r="499" customFormat="false" ht="15" hidden="false" customHeight="false" outlineLevel="0" collapsed="false">
      <c r="A499" s="39"/>
      <c r="B499" s="39"/>
      <c r="C499" s="39"/>
      <c r="D499" s="39"/>
      <c r="E499" s="39"/>
      <c r="F499" s="39"/>
      <c r="G499" s="40"/>
      <c r="H499" s="40"/>
      <c r="I499" s="40"/>
      <c r="J499" s="41" t="str">
        <f aca="false">IF(OR($B499="",$H499=""),"",IF($H499&gt;DateRef,0,YEARFRAC($H499,DateRef,1)))</f>
        <v/>
      </c>
      <c r="K499" s="42" t="str">
        <f aca="false">IF(OR($B499="",$H499=""),"",IF(EDATE($H499,12)&lt;=DateRef,"Plus d'un an","Moins d'un an"))</f>
        <v/>
      </c>
      <c r="L499" s="40"/>
      <c r="M499" s="43" t="str">
        <f aca="false">IF(OR($B499="",$A499=""),"",IF(SUMPRODUCT(MAX((Journal!$A$6:$A$1005=$A499)*Journal!$C$6:$C$1005))=0,"",SUMPRODUCT(MAX((Journal!$A$6:$A$1005=$A499)*Journal!$C$6:$C$1005))))</f>
        <v/>
      </c>
      <c r="N499" s="43" t="str">
        <f aca="false">IF($B499="","",IF(MAX($L499,$M499)=0,"",MAX($L499,$M499)))</f>
        <v/>
      </c>
      <c r="O499" s="44" t="str">
        <f aca="false">IF(OR($B499="",$H499=""),"",IF($N499="",IF(EDATE($H499,DelaiPremierEPP)&gt;DateRef,"1er EPP (1re année)","Aucun entretien renseigné"),IF(AND(ReglesTransitoires="Oui",EDATE($N499,AnciennePeriodiciteEP*12)&lt;DateVigueur),"Retard antérieur à la réforme","Périodicité "&amp;PeriodiciteEPP&amp;" ans")))</f>
        <v/>
      </c>
      <c r="P499" s="43" t="str">
        <f aca="false">IF(OR($B499="",$H499=""),"",IF($N499="",EDATE($H499,DelaiPremierEPP),IF(AND(ReglesTransitoires="Oui",EDATE($N499,AnciennePeriodiciteEP*12)&lt;DateVigueur),EDATE($N499,AnciennePeriodiciteEP*12),EDATE($N499,PeriodiciteEPP*12))))</f>
        <v/>
      </c>
      <c r="Q499" s="40"/>
      <c r="R499" s="45" t="str">
        <f aca="false">IF(OR($P499="",AND($I499&lt;&gt;"",$I499&lt;=DateRef)),"",$P499-DateRef)</f>
        <v/>
      </c>
      <c r="S499" s="42" t="str">
        <f aca="false">IF($B499="","",IF(AND($I499&lt;&gt;"",$I499&lt;=DateRef),"Sorti",IF($H499="","À compléter",IF(AND($Q499&lt;&gt;"",$Q499&gt;=DateRef,$Q499&lt;=$P499),"Planifié",IF($R499&lt;0,"En retard",IF($R499&lt;=SeuilAlerteEPP,"À planifier","À jour"))))))</f>
        <v/>
      </c>
      <c r="T499" s="46" t="str">
        <f aca="false">IF(OR($B499="",$S499="Sorti"),"",MID(IF($H499=""," | Date d'embauche manquante","")&amp;IF(AND($K499="Plus d'un an",$N499="")," | Précédent entretien à renseigner (ancienneté &gt; 1 an)","")&amp;IF($O499="Retard antérieur à la réforme"," | Ancien délai de 2 ans expiré avant la réforme","")&amp;IF(AND($N499&lt;&gt;"",$H499&lt;&gt;"",$N499&lt;$H499)," | Entretien antérieur à l'embauche ?","")&amp;IF(AND($N499&lt;&gt;"",$N499&gt;DateRef)," | Entretien daté dans le futur ?","")&amp;IF(AND($Q499&lt;&gt;"",$P499&lt;&gt;"",$Q499&gt;$P499)," | Date prévue après l'échéance","")&amp;IF(AND($Q499&lt;&gt;"",$Q499&lt;DateRef,OR($N499="",$N499&lt;$Q499))," | Entretien prévu passé : le consigner au Journal","")&amp;IF(AND($G499&lt;&gt;"",$X499="",YEAR(DateRef)-YEAR($G499)&gt;=AgeMiCarriere-1,YEAR(DateRef)-YEAR($G499)&lt;=AgeMiCarriere+1)," | Visite de mi-carrière à vérifier",""),4,1000))</f>
        <v/>
      </c>
      <c r="U499" s="39"/>
      <c r="V499" s="40"/>
      <c r="W499" s="42" t="str">
        <f aca="false">IF(OR($B499="",$V499=""),"",IF(AND($I499&lt;&gt;"",$I499&lt;=DateRef),"",IF(AND($N499&lt;&gt;"",$N499&gt;=$V499),"Réalisé",IF(AND($N499&lt;&gt;"",$N499&gt;=EDATE($V499,-FenetreRetour)),"Dispensé (EPP récent)",IF($V499&gt;DateRef,"À prévoir à la reprise","À proposer (reprise passée)")))))</f>
        <v/>
      </c>
      <c r="X499" s="40"/>
      <c r="Y499" s="43" t="str">
        <f aca="false">IF(OR($B499="",$X499=""),"",EDATE($X499,DelaiMiCarriere))</f>
        <v/>
      </c>
      <c r="Z499" s="42" t="str">
        <f aca="false">IF(OR($B499="",$X499=""),"",IF(AND($I499&lt;&gt;"",$I499&lt;=DateRef),"",IF(AND($N499&lt;&gt;"",$N499&gt;=$X499),"Réalisé",IF($Y499&lt;DateRef,"En retard","À planifier"))))</f>
        <v/>
      </c>
      <c r="AA499" s="47" t="str">
        <f aca="false">IF(OR($B499="",$G499=""),"",IF($G499&gt;DateRef,"",DATEDIF($G499,DateRef,"y")))</f>
        <v/>
      </c>
      <c r="AB499" s="43" t="str">
        <f aca="false">IF(OR($B499="",$G499=""),"",EDATE($G499,AgeFinCarriere*12))</f>
        <v/>
      </c>
      <c r="AC499" s="42" t="str">
        <f aca="false">IF(OR($B499="",$G499="",$H499=""),"",IF(AND($I499&lt;&gt;"",$I499&lt;=DateRef),"",IF($AB499&lt;DateVigueur,"Non concerné",IF(AND($N499&lt;&gt;"",$N499&gt;=MAX(EDATE($AB499,-FenetreFinCarriere*12),DateVigueur),$N499&lt;=$AB499),"Réalisé",IF(DateRef&gt;$AB499,"Non réalisé",IF(AND($Q499&lt;&gt;"",$Q499&gt;=EDATE($AB499,-FenetreFinCarriere*12),$Q499&lt;=$AB499),"Planifié dans la fenêtre",IF(AND(MAX($P499,DateRef)&gt;=EDATE($AB499,-FenetreFinCarriere*12),MAX($P499,DateRef)&lt;=$AB499),"Prochain EPP dans la fenêtre",IF(MAX($P499,DateRef)&gt;$AB499,"À programmer avant 60 ans",""))))))))</f>
        <v/>
      </c>
      <c r="AD499" s="40"/>
      <c r="AE499" s="43" t="str">
        <f aca="false">IF(OR($B499="",$H499="",AND($I499&lt;&gt;"",$I499&lt;=DateRef)),"",MAX($H499,$AD499,IF($A499="",0,SUMPRODUCT(MAX((Journal!$A$6:$A$1005=$A499)*((Journal!$D$6:$D$1005=TypeEDL)+(Journal!$D$6:$D$1005=TypeBilan6))*Journal!$C$6:$C$1005)))))</f>
        <v/>
      </c>
      <c r="AF499" s="43" t="str">
        <f aca="false">IF($AE499="","",IF(AND(ReglesTransitoires="Oui",EDATE($AE499,AnciennePeriodiciteEDL*12)&lt;DateVigueur),EDATE($AE499,AnciennePeriodiciteEDL*12),EDATE($AE499,PeriodiciteEDL*12)))</f>
        <v/>
      </c>
      <c r="AG499" s="42" t="str">
        <f aca="false">IF($AF499="","",IF(AND($I499&lt;&gt;"",$I499&lt;=DateRef),"",IF($AF499&lt;DateRef,"En retard",IF($AF499-DateRef&lt;=SeuilAlerteEDL,"À prévoir","À jour"))))</f>
        <v/>
      </c>
      <c r="AH499" s="39"/>
      <c r="AI499" s="39"/>
      <c r="AJ499" s="42" t="str">
        <f aca="false">IF(OR($B499="",$H499=""),"",IF(AND($I499&lt;&gt;"",$I499&lt;=DateRef),"",IF(Effectif&lt;SeuilEffectif,"Non concerné (&lt; "&amp;SeuilEffectif&amp;" salariés)",IF($AH499="Oui","Pas de risque",IF(AND(OR($AI499="Non",$S499="En retard"),$AH499="Non"),"Risque abondement",IF(OR($AI499="Non",$S499="En retard"),"À vérifier (formation ?)",IF($AI499="Oui","Pas de risque","À compléter")))))))</f>
        <v/>
      </c>
      <c r="AK499" s="39"/>
    </row>
    <row r="500" customFormat="false" ht="15" hidden="false" customHeight="false" outlineLevel="0" collapsed="false">
      <c r="A500" s="39"/>
      <c r="B500" s="39"/>
      <c r="C500" s="39"/>
      <c r="D500" s="39"/>
      <c r="E500" s="39"/>
      <c r="F500" s="39"/>
      <c r="G500" s="40"/>
      <c r="H500" s="40"/>
      <c r="I500" s="40"/>
      <c r="J500" s="41" t="str">
        <f aca="false">IF(OR($B500="",$H500=""),"",IF($H500&gt;DateRef,0,YEARFRAC($H500,DateRef,1)))</f>
        <v/>
      </c>
      <c r="K500" s="42" t="str">
        <f aca="false">IF(OR($B500="",$H500=""),"",IF(EDATE($H500,12)&lt;=DateRef,"Plus d'un an","Moins d'un an"))</f>
        <v/>
      </c>
      <c r="L500" s="40"/>
      <c r="M500" s="43" t="str">
        <f aca="false">IF(OR($B500="",$A500=""),"",IF(SUMPRODUCT(MAX((Journal!$A$6:$A$1005=$A500)*Journal!$C$6:$C$1005))=0,"",SUMPRODUCT(MAX((Journal!$A$6:$A$1005=$A500)*Journal!$C$6:$C$1005))))</f>
        <v/>
      </c>
      <c r="N500" s="43" t="str">
        <f aca="false">IF($B500="","",IF(MAX($L500,$M500)=0,"",MAX($L500,$M500)))</f>
        <v/>
      </c>
      <c r="O500" s="44" t="str">
        <f aca="false">IF(OR($B500="",$H500=""),"",IF($N500="",IF(EDATE($H500,DelaiPremierEPP)&gt;DateRef,"1er EPP (1re année)","Aucun entretien renseigné"),IF(AND(ReglesTransitoires="Oui",EDATE($N500,AnciennePeriodiciteEP*12)&lt;DateVigueur),"Retard antérieur à la réforme","Périodicité "&amp;PeriodiciteEPP&amp;" ans")))</f>
        <v/>
      </c>
      <c r="P500" s="43" t="str">
        <f aca="false">IF(OR($B500="",$H500=""),"",IF($N500="",EDATE($H500,DelaiPremierEPP),IF(AND(ReglesTransitoires="Oui",EDATE($N500,AnciennePeriodiciteEP*12)&lt;DateVigueur),EDATE($N500,AnciennePeriodiciteEP*12),EDATE($N500,PeriodiciteEPP*12))))</f>
        <v/>
      </c>
      <c r="Q500" s="40"/>
      <c r="R500" s="45" t="str">
        <f aca="false">IF(OR($P500="",AND($I500&lt;&gt;"",$I500&lt;=DateRef)),"",$P500-DateRef)</f>
        <v/>
      </c>
      <c r="S500" s="42" t="str">
        <f aca="false">IF($B500="","",IF(AND($I500&lt;&gt;"",$I500&lt;=DateRef),"Sorti",IF($H500="","À compléter",IF(AND($Q500&lt;&gt;"",$Q500&gt;=DateRef,$Q500&lt;=$P500),"Planifié",IF($R500&lt;0,"En retard",IF($R500&lt;=SeuilAlerteEPP,"À planifier","À jour"))))))</f>
        <v/>
      </c>
      <c r="T500" s="46" t="str">
        <f aca="false">IF(OR($B500="",$S500="Sorti"),"",MID(IF($H500=""," | Date d'embauche manquante","")&amp;IF(AND($K500="Plus d'un an",$N500="")," | Précédent entretien à renseigner (ancienneté &gt; 1 an)","")&amp;IF($O500="Retard antérieur à la réforme"," | Ancien délai de 2 ans expiré avant la réforme","")&amp;IF(AND($N500&lt;&gt;"",$H500&lt;&gt;"",$N500&lt;$H500)," | Entretien antérieur à l'embauche ?","")&amp;IF(AND($N500&lt;&gt;"",$N500&gt;DateRef)," | Entretien daté dans le futur ?","")&amp;IF(AND($Q500&lt;&gt;"",$P500&lt;&gt;"",$Q500&gt;$P500)," | Date prévue après l'échéance","")&amp;IF(AND($Q500&lt;&gt;"",$Q500&lt;DateRef,OR($N500="",$N500&lt;$Q500))," | Entretien prévu passé : le consigner au Journal","")&amp;IF(AND($G500&lt;&gt;"",$X500="",YEAR(DateRef)-YEAR($G500)&gt;=AgeMiCarriere-1,YEAR(DateRef)-YEAR($G500)&lt;=AgeMiCarriere+1)," | Visite de mi-carrière à vérifier",""),4,1000))</f>
        <v/>
      </c>
      <c r="U500" s="39"/>
      <c r="V500" s="40"/>
      <c r="W500" s="42" t="str">
        <f aca="false">IF(OR($B500="",$V500=""),"",IF(AND($I500&lt;&gt;"",$I500&lt;=DateRef),"",IF(AND($N500&lt;&gt;"",$N500&gt;=$V500),"Réalisé",IF(AND($N500&lt;&gt;"",$N500&gt;=EDATE($V500,-FenetreRetour)),"Dispensé (EPP récent)",IF($V500&gt;DateRef,"À prévoir à la reprise","À proposer (reprise passée)")))))</f>
        <v/>
      </c>
      <c r="X500" s="40"/>
      <c r="Y500" s="43" t="str">
        <f aca="false">IF(OR($B500="",$X500=""),"",EDATE($X500,DelaiMiCarriere))</f>
        <v/>
      </c>
      <c r="Z500" s="42" t="str">
        <f aca="false">IF(OR($B500="",$X500=""),"",IF(AND($I500&lt;&gt;"",$I500&lt;=DateRef),"",IF(AND($N500&lt;&gt;"",$N500&gt;=$X500),"Réalisé",IF($Y500&lt;DateRef,"En retard","À planifier"))))</f>
        <v/>
      </c>
      <c r="AA500" s="47" t="str">
        <f aca="false">IF(OR($B500="",$G500=""),"",IF($G500&gt;DateRef,"",DATEDIF($G500,DateRef,"y")))</f>
        <v/>
      </c>
      <c r="AB500" s="43" t="str">
        <f aca="false">IF(OR($B500="",$G500=""),"",EDATE($G500,AgeFinCarriere*12))</f>
        <v/>
      </c>
      <c r="AC500" s="42" t="str">
        <f aca="false">IF(OR($B500="",$G500="",$H500=""),"",IF(AND($I500&lt;&gt;"",$I500&lt;=DateRef),"",IF($AB500&lt;DateVigueur,"Non concerné",IF(AND($N500&lt;&gt;"",$N500&gt;=MAX(EDATE($AB500,-FenetreFinCarriere*12),DateVigueur),$N500&lt;=$AB500),"Réalisé",IF(DateRef&gt;$AB500,"Non réalisé",IF(AND($Q500&lt;&gt;"",$Q500&gt;=EDATE($AB500,-FenetreFinCarriere*12),$Q500&lt;=$AB500),"Planifié dans la fenêtre",IF(AND(MAX($P500,DateRef)&gt;=EDATE($AB500,-FenetreFinCarriere*12),MAX($P500,DateRef)&lt;=$AB500),"Prochain EPP dans la fenêtre",IF(MAX($P500,DateRef)&gt;$AB500,"À programmer avant 60 ans",""))))))))</f>
        <v/>
      </c>
      <c r="AD500" s="40"/>
      <c r="AE500" s="43" t="str">
        <f aca="false">IF(OR($B500="",$H500="",AND($I500&lt;&gt;"",$I500&lt;=DateRef)),"",MAX($H500,$AD500,IF($A500="",0,SUMPRODUCT(MAX((Journal!$A$6:$A$1005=$A500)*((Journal!$D$6:$D$1005=TypeEDL)+(Journal!$D$6:$D$1005=TypeBilan6))*Journal!$C$6:$C$1005)))))</f>
        <v/>
      </c>
      <c r="AF500" s="43" t="str">
        <f aca="false">IF($AE500="","",IF(AND(ReglesTransitoires="Oui",EDATE($AE500,AnciennePeriodiciteEDL*12)&lt;DateVigueur),EDATE($AE500,AnciennePeriodiciteEDL*12),EDATE($AE500,PeriodiciteEDL*12)))</f>
        <v/>
      </c>
      <c r="AG500" s="42" t="str">
        <f aca="false">IF($AF500="","",IF(AND($I500&lt;&gt;"",$I500&lt;=DateRef),"",IF($AF500&lt;DateRef,"En retard",IF($AF500-DateRef&lt;=SeuilAlerteEDL,"À prévoir","À jour"))))</f>
        <v/>
      </c>
      <c r="AH500" s="39"/>
      <c r="AI500" s="39"/>
      <c r="AJ500" s="42" t="str">
        <f aca="false">IF(OR($B500="",$H500=""),"",IF(AND($I500&lt;&gt;"",$I500&lt;=DateRef),"",IF(Effectif&lt;SeuilEffectif,"Non concerné (&lt; "&amp;SeuilEffectif&amp;" salariés)",IF($AH500="Oui","Pas de risque",IF(AND(OR($AI500="Non",$S500="En retard"),$AH500="Non"),"Risque abondement",IF(OR($AI500="Non",$S500="En retard"),"À vérifier (formation ?)",IF($AI500="Oui","Pas de risque","À compléter")))))))</f>
        <v/>
      </c>
      <c r="AK500" s="39"/>
    </row>
    <row r="501" customFormat="false" ht="15" hidden="false" customHeight="false" outlineLevel="0" collapsed="false">
      <c r="A501" s="39"/>
      <c r="B501" s="39"/>
      <c r="C501" s="39"/>
      <c r="D501" s="39"/>
      <c r="E501" s="39"/>
      <c r="F501" s="39"/>
      <c r="G501" s="40"/>
      <c r="H501" s="40"/>
      <c r="I501" s="40"/>
      <c r="J501" s="41" t="str">
        <f aca="false">IF(OR($B501="",$H501=""),"",IF($H501&gt;DateRef,0,YEARFRAC($H501,DateRef,1)))</f>
        <v/>
      </c>
      <c r="K501" s="42" t="str">
        <f aca="false">IF(OR($B501="",$H501=""),"",IF(EDATE($H501,12)&lt;=DateRef,"Plus d'un an","Moins d'un an"))</f>
        <v/>
      </c>
      <c r="L501" s="40"/>
      <c r="M501" s="43" t="str">
        <f aca="false">IF(OR($B501="",$A501=""),"",IF(SUMPRODUCT(MAX((Journal!$A$6:$A$1005=$A501)*Journal!$C$6:$C$1005))=0,"",SUMPRODUCT(MAX((Journal!$A$6:$A$1005=$A501)*Journal!$C$6:$C$1005))))</f>
        <v/>
      </c>
      <c r="N501" s="43" t="str">
        <f aca="false">IF($B501="","",IF(MAX($L501,$M501)=0,"",MAX($L501,$M501)))</f>
        <v/>
      </c>
      <c r="O501" s="44" t="str">
        <f aca="false">IF(OR($B501="",$H501=""),"",IF($N501="",IF(EDATE($H501,DelaiPremierEPP)&gt;DateRef,"1er EPP (1re année)","Aucun entretien renseigné"),IF(AND(ReglesTransitoires="Oui",EDATE($N501,AnciennePeriodiciteEP*12)&lt;DateVigueur),"Retard antérieur à la réforme","Périodicité "&amp;PeriodiciteEPP&amp;" ans")))</f>
        <v/>
      </c>
      <c r="P501" s="43" t="str">
        <f aca="false">IF(OR($B501="",$H501=""),"",IF($N501="",EDATE($H501,DelaiPremierEPP),IF(AND(ReglesTransitoires="Oui",EDATE($N501,AnciennePeriodiciteEP*12)&lt;DateVigueur),EDATE($N501,AnciennePeriodiciteEP*12),EDATE($N501,PeriodiciteEPP*12))))</f>
        <v/>
      </c>
      <c r="Q501" s="40"/>
      <c r="R501" s="45" t="str">
        <f aca="false">IF(OR($P501="",AND($I501&lt;&gt;"",$I501&lt;=DateRef)),"",$P501-DateRef)</f>
        <v/>
      </c>
      <c r="S501" s="42" t="str">
        <f aca="false">IF($B501="","",IF(AND($I501&lt;&gt;"",$I501&lt;=DateRef),"Sorti",IF($H501="","À compléter",IF(AND($Q501&lt;&gt;"",$Q501&gt;=DateRef,$Q501&lt;=$P501),"Planifié",IF($R501&lt;0,"En retard",IF($R501&lt;=SeuilAlerteEPP,"À planifier","À jour"))))))</f>
        <v/>
      </c>
      <c r="T501" s="46" t="str">
        <f aca="false">IF(OR($B501="",$S501="Sorti"),"",MID(IF($H501=""," | Date d'embauche manquante","")&amp;IF(AND($K501="Plus d'un an",$N501="")," | Précédent entretien à renseigner (ancienneté &gt; 1 an)","")&amp;IF($O501="Retard antérieur à la réforme"," | Ancien délai de 2 ans expiré avant la réforme","")&amp;IF(AND($N501&lt;&gt;"",$H501&lt;&gt;"",$N501&lt;$H501)," | Entretien antérieur à l'embauche ?","")&amp;IF(AND($N501&lt;&gt;"",$N501&gt;DateRef)," | Entretien daté dans le futur ?","")&amp;IF(AND($Q501&lt;&gt;"",$P501&lt;&gt;"",$Q501&gt;$P501)," | Date prévue après l'échéance","")&amp;IF(AND($Q501&lt;&gt;"",$Q501&lt;DateRef,OR($N501="",$N501&lt;$Q501))," | Entretien prévu passé : le consigner au Journal","")&amp;IF(AND($G501&lt;&gt;"",$X501="",YEAR(DateRef)-YEAR($G501)&gt;=AgeMiCarriere-1,YEAR(DateRef)-YEAR($G501)&lt;=AgeMiCarriere+1)," | Visite de mi-carrière à vérifier",""),4,1000))</f>
        <v/>
      </c>
      <c r="U501" s="39"/>
      <c r="V501" s="40"/>
      <c r="W501" s="42" t="str">
        <f aca="false">IF(OR($B501="",$V501=""),"",IF(AND($I501&lt;&gt;"",$I501&lt;=DateRef),"",IF(AND($N501&lt;&gt;"",$N501&gt;=$V501),"Réalisé",IF(AND($N501&lt;&gt;"",$N501&gt;=EDATE($V501,-FenetreRetour)),"Dispensé (EPP récent)",IF($V501&gt;DateRef,"À prévoir à la reprise","À proposer (reprise passée)")))))</f>
        <v/>
      </c>
      <c r="X501" s="40"/>
      <c r="Y501" s="43" t="str">
        <f aca="false">IF(OR($B501="",$X501=""),"",EDATE($X501,DelaiMiCarriere))</f>
        <v/>
      </c>
      <c r="Z501" s="42" t="str">
        <f aca="false">IF(OR($B501="",$X501=""),"",IF(AND($I501&lt;&gt;"",$I501&lt;=DateRef),"",IF(AND($N501&lt;&gt;"",$N501&gt;=$X501),"Réalisé",IF($Y501&lt;DateRef,"En retard","À planifier"))))</f>
        <v/>
      </c>
      <c r="AA501" s="47" t="str">
        <f aca="false">IF(OR($B501="",$G501=""),"",IF($G501&gt;DateRef,"",DATEDIF($G501,DateRef,"y")))</f>
        <v/>
      </c>
      <c r="AB501" s="43" t="str">
        <f aca="false">IF(OR($B501="",$G501=""),"",EDATE($G501,AgeFinCarriere*12))</f>
        <v/>
      </c>
      <c r="AC501" s="42" t="str">
        <f aca="false">IF(OR($B501="",$G501="",$H501=""),"",IF(AND($I501&lt;&gt;"",$I501&lt;=DateRef),"",IF($AB501&lt;DateVigueur,"Non concerné",IF(AND($N501&lt;&gt;"",$N501&gt;=MAX(EDATE($AB501,-FenetreFinCarriere*12),DateVigueur),$N501&lt;=$AB501),"Réalisé",IF(DateRef&gt;$AB501,"Non réalisé",IF(AND($Q501&lt;&gt;"",$Q501&gt;=EDATE($AB501,-FenetreFinCarriere*12),$Q501&lt;=$AB501),"Planifié dans la fenêtre",IF(AND(MAX($P501,DateRef)&gt;=EDATE($AB501,-FenetreFinCarriere*12),MAX($P501,DateRef)&lt;=$AB501),"Prochain EPP dans la fenêtre",IF(MAX($P501,DateRef)&gt;$AB501,"À programmer avant 60 ans",""))))))))</f>
        <v/>
      </c>
      <c r="AD501" s="40"/>
      <c r="AE501" s="43" t="str">
        <f aca="false">IF(OR($B501="",$H501="",AND($I501&lt;&gt;"",$I501&lt;=DateRef)),"",MAX($H501,$AD501,IF($A501="",0,SUMPRODUCT(MAX((Journal!$A$6:$A$1005=$A501)*((Journal!$D$6:$D$1005=TypeEDL)+(Journal!$D$6:$D$1005=TypeBilan6))*Journal!$C$6:$C$1005)))))</f>
        <v/>
      </c>
      <c r="AF501" s="43" t="str">
        <f aca="false">IF($AE501="","",IF(AND(ReglesTransitoires="Oui",EDATE($AE501,AnciennePeriodiciteEDL*12)&lt;DateVigueur),EDATE($AE501,AnciennePeriodiciteEDL*12),EDATE($AE501,PeriodiciteEDL*12)))</f>
        <v/>
      </c>
      <c r="AG501" s="42" t="str">
        <f aca="false">IF($AF501="","",IF(AND($I501&lt;&gt;"",$I501&lt;=DateRef),"",IF($AF501&lt;DateRef,"En retard",IF($AF501-DateRef&lt;=SeuilAlerteEDL,"À prévoir","À jour"))))</f>
        <v/>
      </c>
      <c r="AH501" s="39"/>
      <c r="AI501" s="39"/>
      <c r="AJ501" s="42" t="str">
        <f aca="false">IF(OR($B501="",$H501=""),"",IF(AND($I501&lt;&gt;"",$I501&lt;=DateRef),"",IF(Effectif&lt;SeuilEffectif,"Non concerné (&lt; "&amp;SeuilEffectif&amp;" salariés)",IF($AH501="Oui","Pas de risque",IF(AND(OR($AI501="Non",$S501="En retard"),$AH501="Non"),"Risque abondement",IF(OR($AI501="Non",$S501="En retard"),"À vérifier (formation ?)",IF($AI501="Oui","Pas de risque","À compléter")))))))</f>
        <v/>
      </c>
      <c r="AK501" s="39"/>
    </row>
    <row r="502" customFormat="false" ht="15" hidden="false" customHeight="false" outlineLevel="0" collapsed="false">
      <c r="A502" s="39"/>
      <c r="B502" s="39"/>
      <c r="C502" s="39"/>
      <c r="D502" s="39"/>
      <c r="E502" s="39"/>
      <c r="F502" s="39"/>
      <c r="G502" s="40"/>
      <c r="H502" s="40"/>
      <c r="I502" s="40"/>
      <c r="J502" s="41" t="str">
        <f aca="false">IF(OR($B502="",$H502=""),"",IF($H502&gt;DateRef,0,YEARFRAC($H502,DateRef,1)))</f>
        <v/>
      </c>
      <c r="K502" s="42" t="str">
        <f aca="false">IF(OR($B502="",$H502=""),"",IF(EDATE($H502,12)&lt;=DateRef,"Plus d'un an","Moins d'un an"))</f>
        <v/>
      </c>
      <c r="L502" s="40"/>
      <c r="M502" s="43" t="str">
        <f aca="false">IF(OR($B502="",$A502=""),"",IF(SUMPRODUCT(MAX((Journal!$A$6:$A$1005=$A502)*Journal!$C$6:$C$1005))=0,"",SUMPRODUCT(MAX((Journal!$A$6:$A$1005=$A502)*Journal!$C$6:$C$1005))))</f>
        <v/>
      </c>
      <c r="N502" s="43" t="str">
        <f aca="false">IF($B502="","",IF(MAX($L502,$M502)=0,"",MAX($L502,$M502)))</f>
        <v/>
      </c>
      <c r="O502" s="44" t="str">
        <f aca="false">IF(OR($B502="",$H502=""),"",IF($N502="",IF(EDATE($H502,DelaiPremierEPP)&gt;DateRef,"1er EPP (1re année)","Aucun entretien renseigné"),IF(AND(ReglesTransitoires="Oui",EDATE($N502,AnciennePeriodiciteEP*12)&lt;DateVigueur),"Retard antérieur à la réforme","Périodicité "&amp;PeriodiciteEPP&amp;" ans")))</f>
        <v/>
      </c>
      <c r="P502" s="43" t="str">
        <f aca="false">IF(OR($B502="",$H502=""),"",IF($N502="",EDATE($H502,DelaiPremierEPP),IF(AND(ReglesTransitoires="Oui",EDATE($N502,AnciennePeriodiciteEP*12)&lt;DateVigueur),EDATE($N502,AnciennePeriodiciteEP*12),EDATE($N502,PeriodiciteEPP*12))))</f>
        <v/>
      </c>
      <c r="Q502" s="40"/>
      <c r="R502" s="45" t="str">
        <f aca="false">IF(OR($P502="",AND($I502&lt;&gt;"",$I502&lt;=DateRef)),"",$P502-DateRef)</f>
        <v/>
      </c>
      <c r="S502" s="42" t="str">
        <f aca="false">IF($B502="","",IF(AND($I502&lt;&gt;"",$I502&lt;=DateRef),"Sorti",IF($H502="","À compléter",IF(AND($Q502&lt;&gt;"",$Q502&gt;=DateRef,$Q502&lt;=$P502),"Planifié",IF($R502&lt;0,"En retard",IF($R502&lt;=SeuilAlerteEPP,"À planifier","À jour"))))))</f>
        <v/>
      </c>
      <c r="T502" s="46" t="str">
        <f aca="false">IF(OR($B502="",$S502="Sorti"),"",MID(IF($H502=""," | Date d'embauche manquante","")&amp;IF(AND($K502="Plus d'un an",$N502="")," | Précédent entretien à renseigner (ancienneté &gt; 1 an)","")&amp;IF($O502="Retard antérieur à la réforme"," | Ancien délai de 2 ans expiré avant la réforme","")&amp;IF(AND($N502&lt;&gt;"",$H502&lt;&gt;"",$N502&lt;$H502)," | Entretien antérieur à l'embauche ?","")&amp;IF(AND($N502&lt;&gt;"",$N502&gt;DateRef)," | Entretien daté dans le futur ?","")&amp;IF(AND($Q502&lt;&gt;"",$P502&lt;&gt;"",$Q502&gt;$P502)," | Date prévue après l'échéance","")&amp;IF(AND($Q502&lt;&gt;"",$Q502&lt;DateRef,OR($N502="",$N502&lt;$Q502))," | Entretien prévu passé : le consigner au Journal","")&amp;IF(AND($G502&lt;&gt;"",$X502="",YEAR(DateRef)-YEAR($G502)&gt;=AgeMiCarriere-1,YEAR(DateRef)-YEAR($G502)&lt;=AgeMiCarriere+1)," | Visite de mi-carrière à vérifier",""),4,1000))</f>
        <v/>
      </c>
      <c r="U502" s="39"/>
      <c r="V502" s="40"/>
      <c r="W502" s="42" t="str">
        <f aca="false">IF(OR($B502="",$V502=""),"",IF(AND($I502&lt;&gt;"",$I502&lt;=DateRef),"",IF(AND($N502&lt;&gt;"",$N502&gt;=$V502),"Réalisé",IF(AND($N502&lt;&gt;"",$N502&gt;=EDATE($V502,-FenetreRetour)),"Dispensé (EPP récent)",IF($V502&gt;DateRef,"À prévoir à la reprise","À proposer (reprise passée)")))))</f>
        <v/>
      </c>
      <c r="X502" s="40"/>
      <c r="Y502" s="43" t="str">
        <f aca="false">IF(OR($B502="",$X502=""),"",EDATE($X502,DelaiMiCarriere))</f>
        <v/>
      </c>
      <c r="Z502" s="42" t="str">
        <f aca="false">IF(OR($B502="",$X502=""),"",IF(AND($I502&lt;&gt;"",$I502&lt;=DateRef),"",IF(AND($N502&lt;&gt;"",$N502&gt;=$X502),"Réalisé",IF($Y502&lt;DateRef,"En retard","À planifier"))))</f>
        <v/>
      </c>
      <c r="AA502" s="47" t="str">
        <f aca="false">IF(OR($B502="",$G502=""),"",IF($G502&gt;DateRef,"",DATEDIF($G502,DateRef,"y")))</f>
        <v/>
      </c>
      <c r="AB502" s="43" t="str">
        <f aca="false">IF(OR($B502="",$G502=""),"",EDATE($G502,AgeFinCarriere*12))</f>
        <v/>
      </c>
      <c r="AC502" s="42" t="str">
        <f aca="false">IF(OR($B502="",$G502="",$H502=""),"",IF(AND($I502&lt;&gt;"",$I502&lt;=DateRef),"",IF($AB502&lt;DateVigueur,"Non concerné",IF(AND($N502&lt;&gt;"",$N502&gt;=MAX(EDATE($AB502,-FenetreFinCarriere*12),DateVigueur),$N502&lt;=$AB502),"Réalisé",IF(DateRef&gt;$AB502,"Non réalisé",IF(AND($Q502&lt;&gt;"",$Q502&gt;=EDATE($AB502,-FenetreFinCarriere*12),$Q502&lt;=$AB502),"Planifié dans la fenêtre",IF(AND(MAX($P502,DateRef)&gt;=EDATE($AB502,-FenetreFinCarriere*12),MAX($P502,DateRef)&lt;=$AB502),"Prochain EPP dans la fenêtre",IF(MAX($P502,DateRef)&gt;$AB502,"À programmer avant 60 ans",""))))))))</f>
        <v/>
      </c>
      <c r="AD502" s="40"/>
      <c r="AE502" s="43" t="str">
        <f aca="false">IF(OR($B502="",$H502="",AND($I502&lt;&gt;"",$I502&lt;=DateRef)),"",MAX($H502,$AD502,IF($A502="",0,SUMPRODUCT(MAX((Journal!$A$6:$A$1005=$A502)*((Journal!$D$6:$D$1005=TypeEDL)+(Journal!$D$6:$D$1005=TypeBilan6))*Journal!$C$6:$C$1005)))))</f>
        <v/>
      </c>
      <c r="AF502" s="43" t="str">
        <f aca="false">IF($AE502="","",IF(AND(ReglesTransitoires="Oui",EDATE($AE502,AnciennePeriodiciteEDL*12)&lt;DateVigueur),EDATE($AE502,AnciennePeriodiciteEDL*12),EDATE($AE502,PeriodiciteEDL*12)))</f>
        <v/>
      </c>
      <c r="AG502" s="42" t="str">
        <f aca="false">IF($AF502="","",IF(AND($I502&lt;&gt;"",$I502&lt;=DateRef),"",IF($AF502&lt;DateRef,"En retard",IF($AF502-DateRef&lt;=SeuilAlerteEDL,"À prévoir","À jour"))))</f>
        <v/>
      </c>
      <c r="AH502" s="39"/>
      <c r="AI502" s="39"/>
      <c r="AJ502" s="42" t="str">
        <f aca="false">IF(OR($B502="",$H502=""),"",IF(AND($I502&lt;&gt;"",$I502&lt;=DateRef),"",IF(Effectif&lt;SeuilEffectif,"Non concerné (&lt; "&amp;SeuilEffectif&amp;" salariés)",IF($AH502="Oui","Pas de risque",IF(AND(OR($AI502="Non",$S502="En retard"),$AH502="Non"),"Risque abondement",IF(OR($AI502="Non",$S502="En retard"),"À vérifier (formation ?)",IF($AI502="Oui","Pas de risque","À compléter")))))))</f>
        <v/>
      </c>
      <c r="AK502" s="39"/>
    </row>
    <row r="503" customFormat="false" ht="15" hidden="false" customHeight="false" outlineLevel="0" collapsed="false">
      <c r="A503" s="39"/>
      <c r="B503" s="39"/>
      <c r="C503" s="39"/>
      <c r="D503" s="39"/>
      <c r="E503" s="39"/>
      <c r="F503" s="39"/>
      <c r="G503" s="40"/>
      <c r="H503" s="40"/>
      <c r="I503" s="40"/>
      <c r="J503" s="41" t="str">
        <f aca="false">IF(OR($B503="",$H503=""),"",IF($H503&gt;DateRef,0,YEARFRAC($H503,DateRef,1)))</f>
        <v/>
      </c>
      <c r="K503" s="42" t="str">
        <f aca="false">IF(OR($B503="",$H503=""),"",IF(EDATE($H503,12)&lt;=DateRef,"Plus d'un an","Moins d'un an"))</f>
        <v/>
      </c>
      <c r="L503" s="40"/>
      <c r="M503" s="43" t="str">
        <f aca="false">IF(OR($B503="",$A503=""),"",IF(SUMPRODUCT(MAX((Journal!$A$6:$A$1005=$A503)*Journal!$C$6:$C$1005))=0,"",SUMPRODUCT(MAX((Journal!$A$6:$A$1005=$A503)*Journal!$C$6:$C$1005))))</f>
        <v/>
      </c>
      <c r="N503" s="43" t="str">
        <f aca="false">IF($B503="","",IF(MAX($L503,$M503)=0,"",MAX($L503,$M503)))</f>
        <v/>
      </c>
      <c r="O503" s="44" t="str">
        <f aca="false">IF(OR($B503="",$H503=""),"",IF($N503="",IF(EDATE($H503,DelaiPremierEPP)&gt;DateRef,"1er EPP (1re année)","Aucun entretien renseigné"),IF(AND(ReglesTransitoires="Oui",EDATE($N503,AnciennePeriodiciteEP*12)&lt;DateVigueur),"Retard antérieur à la réforme","Périodicité "&amp;PeriodiciteEPP&amp;" ans")))</f>
        <v/>
      </c>
      <c r="P503" s="43" t="str">
        <f aca="false">IF(OR($B503="",$H503=""),"",IF($N503="",EDATE($H503,DelaiPremierEPP),IF(AND(ReglesTransitoires="Oui",EDATE($N503,AnciennePeriodiciteEP*12)&lt;DateVigueur),EDATE($N503,AnciennePeriodiciteEP*12),EDATE($N503,PeriodiciteEPP*12))))</f>
        <v/>
      </c>
      <c r="Q503" s="40"/>
      <c r="R503" s="45" t="str">
        <f aca="false">IF(OR($P503="",AND($I503&lt;&gt;"",$I503&lt;=DateRef)),"",$P503-DateRef)</f>
        <v/>
      </c>
      <c r="S503" s="42" t="str">
        <f aca="false">IF($B503="","",IF(AND($I503&lt;&gt;"",$I503&lt;=DateRef),"Sorti",IF($H503="","À compléter",IF(AND($Q503&lt;&gt;"",$Q503&gt;=DateRef,$Q503&lt;=$P503),"Planifié",IF($R503&lt;0,"En retard",IF($R503&lt;=SeuilAlerteEPP,"À planifier","À jour"))))))</f>
        <v/>
      </c>
      <c r="T503" s="46" t="str">
        <f aca="false">IF(OR($B503="",$S503="Sorti"),"",MID(IF($H503=""," | Date d'embauche manquante","")&amp;IF(AND($K503="Plus d'un an",$N503="")," | Précédent entretien à renseigner (ancienneté &gt; 1 an)","")&amp;IF($O503="Retard antérieur à la réforme"," | Ancien délai de 2 ans expiré avant la réforme","")&amp;IF(AND($N503&lt;&gt;"",$H503&lt;&gt;"",$N503&lt;$H503)," | Entretien antérieur à l'embauche ?","")&amp;IF(AND($N503&lt;&gt;"",$N503&gt;DateRef)," | Entretien daté dans le futur ?","")&amp;IF(AND($Q503&lt;&gt;"",$P503&lt;&gt;"",$Q503&gt;$P503)," | Date prévue après l'échéance","")&amp;IF(AND($Q503&lt;&gt;"",$Q503&lt;DateRef,OR($N503="",$N503&lt;$Q503))," | Entretien prévu passé : le consigner au Journal","")&amp;IF(AND($G503&lt;&gt;"",$X503="",YEAR(DateRef)-YEAR($G503)&gt;=AgeMiCarriere-1,YEAR(DateRef)-YEAR($G503)&lt;=AgeMiCarriere+1)," | Visite de mi-carrière à vérifier",""),4,1000))</f>
        <v/>
      </c>
      <c r="U503" s="39"/>
      <c r="V503" s="40"/>
      <c r="W503" s="42" t="str">
        <f aca="false">IF(OR($B503="",$V503=""),"",IF(AND($I503&lt;&gt;"",$I503&lt;=DateRef),"",IF(AND($N503&lt;&gt;"",$N503&gt;=$V503),"Réalisé",IF(AND($N503&lt;&gt;"",$N503&gt;=EDATE($V503,-FenetreRetour)),"Dispensé (EPP récent)",IF($V503&gt;DateRef,"À prévoir à la reprise","À proposer (reprise passée)")))))</f>
        <v/>
      </c>
      <c r="X503" s="40"/>
      <c r="Y503" s="43" t="str">
        <f aca="false">IF(OR($B503="",$X503=""),"",EDATE($X503,DelaiMiCarriere))</f>
        <v/>
      </c>
      <c r="Z503" s="42" t="str">
        <f aca="false">IF(OR($B503="",$X503=""),"",IF(AND($I503&lt;&gt;"",$I503&lt;=DateRef),"",IF(AND($N503&lt;&gt;"",$N503&gt;=$X503),"Réalisé",IF($Y503&lt;DateRef,"En retard","À planifier"))))</f>
        <v/>
      </c>
      <c r="AA503" s="47" t="str">
        <f aca="false">IF(OR($B503="",$G503=""),"",IF($G503&gt;DateRef,"",DATEDIF($G503,DateRef,"y")))</f>
        <v/>
      </c>
      <c r="AB503" s="43" t="str">
        <f aca="false">IF(OR($B503="",$G503=""),"",EDATE($G503,AgeFinCarriere*12))</f>
        <v/>
      </c>
      <c r="AC503" s="42" t="str">
        <f aca="false">IF(OR($B503="",$G503="",$H503=""),"",IF(AND($I503&lt;&gt;"",$I503&lt;=DateRef),"",IF($AB503&lt;DateVigueur,"Non concerné",IF(AND($N503&lt;&gt;"",$N503&gt;=MAX(EDATE($AB503,-FenetreFinCarriere*12),DateVigueur),$N503&lt;=$AB503),"Réalisé",IF(DateRef&gt;$AB503,"Non réalisé",IF(AND($Q503&lt;&gt;"",$Q503&gt;=EDATE($AB503,-FenetreFinCarriere*12),$Q503&lt;=$AB503),"Planifié dans la fenêtre",IF(AND(MAX($P503,DateRef)&gt;=EDATE($AB503,-FenetreFinCarriere*12),MAX($P503,DateRef)&lt;=$AB503),"Prochain EPP dans la fenêtre",IF(MAX($P503,DateRef)&gt;$AB503,"À programmer avant 60 ans",""))))))))</f>
        <v/>
      </c>
      <c r="AD503" s="40"/>
      <c r="AE503" s="43" t="str">
        <f aca="false">IF(OR($B503="",$H503="",AND($I503&lt;&gt;"",$I503&lt;=DateRef)),"",MAX($H503,$AD503,IF($A503="",0,SUMPRODUCT(MAX((Journal!$A$6:$A$1005=$A503)*((Journal!$D$6:$D$1005=TypeEDL)+(Journal!$D$6:$D$1005=TypeBilan6))*Journal!$C$6:$C$1005)))))</f>
        <v/>
      </c>
      <c r="AF503" s="43" t="str">
        <f aca="false">IF($AE503="","",IF(AND(ReglesTransitoires="Oui",EDATE($AE503,AnciennePeriodiciteEDL*12)&lt;DateVigueur),EDATE($AE503,AnciennePeriodiciteEDL*12),EDATE($AE503,PeriodiciteEDL*12)))</f>
        <v/>
      </c>
      <c r="AG503" s="42" t="str">
        <f aca="false">IF($AF503="","",IF(AND($I503&lt;&gt;"",$I503&lt;=DateRef),"",IF($AF503&lt;DateRef,"En retard",IF($AF503-DateRef&lt;=SeuilAlerteEDL,"À prévoir","À jour"))))</f>
        <v/>
      </c>
      <c r="AH503" s="39"/>
      <c r="AI503" s="39"/>
      <c r="AJ503" s="42" t="str">
        <f aca="false">IF(OR($B503="",$H503=""),"",IF(AND($I503&lt;&gt;"",$I503&lt;=DateRef),"",IF(Effectif&lt;SeuilEffectif,"Non concerné (&lt; "&amp;SeuilEffectif&amp;" salariés)",IF($AH503="Oui","Pas de risque",IF(AND(OR($AI503="Non",$S503="En retard"),$AH503="Non"),"Risque abondement",IF(OR($AI503="Non",$S503="En retard"),"À vérifier (formation ?)",IF($AI503="Oui","Pas de risque","À compléter")))))))</f>
        <v/>
      </c>
      <c r="AK503" s="39"/>
    </row>
    <row r="504" customFormat="false" ht="15" hidden="false" customHeight="false" outlineLevel="0" collapsed="false">
      <c r="A504" s="39"/>
      <c r="B504" s="39"/>
      <c r="C504" s="39"/>
      <c r="D504" s="39"/>
      <c r="E504" s="39"/>
      <c r="F504" s="39"/>
      <c r="G504" s="40"/>
      <c r="H504" s="40"/>
      <c r="I504" s="40"/>
      <c r="J504" s="41" t="str">
        <f aca="false">IF(OR($B504="",$H504=""),"",IF($H504&gt;DateRef,0,YEARFRAC($H504,DateRef,1)))</f>
        <v/>
      </c>
      <c r="K504" s="42" t="str">
        <f aca="false">IF(OR($B504="",$H504=""),"",IF(EDATE($H504,12)&lt;=DateRef,"Plus d'un an","Moins d'un an"))</f>
        <v/>
      </c>
      <c r="L504" s="40"/>
      <c r="M504" s="43" t="str">
        <f aca="false">IF(OR($B504="",$A504=""),"",IF(SUMPRODUCT(MAX((Journal!$A$6:$A$1005=$A504)*Journal!$C$6:$C$1005))=0,"",SUMPRODUCT(MAX((Journal!$A$6:$A$1005=$A504)*Journal!$C$6:$C$1005))))</f>
        <v/>
      </c>
      <c r="N504" s="43" t="str">
        <f aca="false">IF($B504="","",IF(MAX($L504,$M504)=0,"",MAX($L504,$M504)))</f>
        <v/>
      </c>
      <c r="O504" s="44" t="str">
        <f aca="false">IF(OR($B504="",$H504=""),"",IF($N504="",IF(EDATE($H504,DelaiPremierEPP)&gt;DateRef,"1er EPP (1re année)","Aucun entretien renseigné"),IF(AND(ReglesTransitoires="Oui",EDATE($N504,AnciennePeriodiciteEP*12)&lt;DateVigueur),"Retard antérieur à la réforme","Périodicité "&amp;PeriodiciteEPP&amp;" ans")))</f>
        <v/>
      </c>
      <c r="P504" s="43" t="str">
        <f aca="false">IF(OR($B504="",$H504=""),"",IF($N504="",EDATE($H504,DelaiPremierEPP),IF(AND(ReglesTransitoires="Oui",EDATE($N504,AnciennePeriodiciteEP*12)&lt;DateVigueur),EDATE($N504,AnciennePeriodiciteEP*12),EDATE($N504,PeriodiciteEPP*12))))</f>
        <v/>
      </c>
      <c r="Q504" s="40"/>
      <c r="R504" s="45" t="str">
        <f aca="false">IF(OR($P504="",AND($I504&lt;&gt;"",$I504&lt;=DateRef)),"",$P504-DateRef)</f>
        <v/>
      </c>
      <c r="S504" s="42" t="str">
        <f aca="false">IF($B504="","",IF(AND($I504&lt;&gt;"",$I504&lt;=DateRef),"Sorti",IF($H504="","À compléter",IF(AND($Q504&lt;&gt;"",$Q504&gt;=DateRef,$Q504&lt;=$P504),"Planifié",IF($R504&lt;0,"En retard",IF($R504&lt;=SeuilAlerteEPP,"À planifier","À jour"))))))</f>
        <v/>
      </c>
      <c r="T504" s="46" t="str">
        <f aca="false">IF(OR($B504="",$S504="Sorti"),"",MID(IF($H504=""," | Date d'embauche manquante","")&amp;IF(AND($K504="Plus d'un an",$N504="")," | Précédent entretien à renseigner (ancienneté &gt; 1 an)","")&amp;IF($O504="Retard antérieur à la réforme"," | Ancien délai de 2 ans expiré avant la réforme","")&amp;IF(AND($N504&lt;&gt;"",$H504&lt;&gt;"",$N504&lt;$H504)," | Entretien antérieur à l'embauche ?","")&amp;IF(AND($N504&lt;&gt;"",$N504&gt;DateRef)," | Entretien daté dans le futur ?","")&amp;IF(AND($Q504&lt;&gt;"",$P504&lt;&gt;"",$Q504&gt;$P504)," | Date prévue après l'échéance","")&amp;IF(AND($Q504&lt;&gt;"",$Q504&lt;DateRef,OR($N504="",$N504&lt;$Q504))," | Entretien prévu passé : le consigner au Journal","")&amp;IF(AND($G504&lt;&gt;"",$X504="",YEAR(DateRef)-YEAR($G504)&gt;=AgeMiCarriere-1,YEAR(DateRef)-YEAR($G504)&lt;=AgeMiCarriere+1)," | Visite de mi-carrière à vérifier",""),4,1000))</f>
        <v/>
      </c>
      <c r="U504" s="39"/>
      <c r="V504" s="40"/>
      <c r="W504" s="42" t="str">
        <f aca="false">IF(OR($B504="",$V504=""),"",IF(AND($I504&lt;&gt;"",$I504&lt;=DateRef),"",IF(AND($N504&lt;&gt;"",$N504&gt;=$V504),"Réalisé",IF(AND($N504&lt;&gt;"",$N504&gt;=EDATE($V504,-FenetreRetour)),"Dispensé (EPP récent)",IF($V504&gt;DateRef,"À prévoir à la reprise","À proposer (reprise passée)")))))</f>
        <v/>
      </c>
      <c r="X504" s="40"/>
      <c r="Y504" s="43" t="str">
        <f aca="false">IF(OR($B504="",$X504=""),"",EDATE($X504,DelaiMiCarriere))</f>
        <v/>
      </c>
      <c r="Z504" s="42" t="str">
        <f aca="false">IF(OR($B504="",$X504=""),"",IF(AND($I504&lt;&gt;"",$I504&lt;=DateRef),"",IF(AND($N504&lt;&gt;"",$N504&gt;=$X504),"Réalisé",IF($Y504&lt;DateRef,"En retard","À planifier"))))</f>
        <v/>
      </c>
      <c r="AA504" s="47" t="str">
        <f aca="false">IF(OR($B504="",$G504=""),"",IF($G504&gt;DateRef,"",DATEDIF($G504,DateRef,"y")))</f>
        <v/>
      </c>
      <c r="AB504" s="43" t="str">
        <f aca="false">IF(OR($B504="",$G504=""),"",EDATE($G504,AgeFinCarriere*12))</f>
        <v/>
      </c>
      <c r="AC504" s="42" t="str">
        <f aca="false">IF(OR($B504="",$G504="",$H504=""),"",IF(AND($I504&lt;&gt;"",$I504&lt;=DateRef),"",IF($AB504&lt;DateVigueur,"Non concerné",IF(AND($N504&lt;&gt;"",$N504&gt;=MAX(EDATE($AB504,-FenetreFinCarriere*12),DateVigueur),$N504&lt;=$AB504),"Réalisé",IF(DateRef&gt;$AB504,"Non réalisé",IF(AND($Q504&lt;&gt;"",$Q504&gt;=EDATE($AB504,-FenetreFinCarriere*12),$Q504&lt;=$AB504),"Planifié dans la fenêtre",IF(AND(MAX($P504,DateRef)&gt;=EDATE($AB504,-FenetreFinCarriere*12),MAX($P504,DateRef)&lt;=$AB504),"Prochain EPP dans la fenêtre",IF(MAX($P504,DateRef)&gt;$AB504,"À programmer avant 60 ans",""))))))))</f>
        <v/>
      </c>
      <c r="AD504" s="40"/>
      <c r="AE504" s="43" t="str">
        <f aca="false">IF(OR($B504="",$H504="",AND($I504&lt;&gt;"",$I504&lt;=DateRef)),"",MAX($H504,$AD504,IF($A504="",0,SUMPRODUCT(MAX((Journal!$A$6:$A$1005=$A504)*((Journal!$D$6:$D$1005=TypeEDL)+(Journal!$D$6:$D$1005=TypeBilan6))*Journal!$C$6:$C$1005)))))</f>
        <v/>
      </c>
      <c r="AF504" s="43" t="str">
        <f aca="false">IF($AE504="","",IF(AND(ReglesTransitoires="Oui",EDATE($AE504,AnciennePeriodiciteEDL*12)&lt;DateVigueur),EDATE($AE504,AnciennePeriodiciteEDL*12),EDATE($AE504,PeriodiciteEDL*12)))</f>
        <v/>
      </c>
      <c r="AG504" s="42" t="str">
        <f aca="false">IF($AF504="","",IF(AND($I504&lt;&gt;"",$I504&lt;=DateRef),"",IF($AF504&lt;DateRef,"En retard",IF($AF504-DateRef&lt;=SeuilAlerteEDL,"À prévoir","À jour"))))</f>
        <v/>
      </c>
      <c r="AH504" s="39"/>
      <c r="AI504" s="39"/>
      <c r="AJ504" s="42" t="str">
        <f aca="false">IF(OR($B504="",$H504=""),"",IF(AND($I504&lt;&gt;"",$I504&lt;=DateRef),"",IF(Effectif&lt;SeuilEffectif,"Non concerné (&lt; "&amp;SeuilEffectif&amp;" salariés)",IF($AH504="Oui","Pas de risque",IF(AND(OR($AI504="Non",$S504="En retard"),$AH504="Non"),"Risque abondement",IF(OR($AI504="Non",$S504="En retard"),"À vérifier (formation ?)",IF($AI504="Oui","Pas de risque","À compléter")))))))</f>
        <v/>
      </c>
      <c r="AK504" s="39"/>
    </row>
    <row r="505" customFormat="false" ht="15" hidden="false" customHeight="false" outlineLevel="0" collapsed="false">
      <c r="A505" s="39"/>
      <c r="B505" s="39"/>
      <c r="C505" s="39"/>
      <c r="D505" s="39"/>
      <c r="E505" s="39"/>
      <c r="F505" s="39"/>
      <c r="G505" s="40"/>
      <c r="H505" s="40"/>
      <c r="I505" s="40"/>
      <c r="J505" s="41" t="str">
        <f aca="false">IF(OR($B505="",$H505=""),"",IF($H505&gt;DateRef,0,YEARFRAC($H505,DateRef,1)))</f>
        <v/>
      </c>
      <c r="K505" s="42" t="str">
        <f aca="false">IF(OR($B505="",$H505=""),"",IF(EDATE($H505,12)&lt;=DateRef,"Plus d'un an","Moins d'un an"))</f>
        <v/>
      </c>
      <c r="L505" s="40"/>
      <c r="M505" s="43" t="str">
        <f aca="false">IF(OR($B505="",$A505=""),"",IF(SUMPRODUCT(MAX((Journal!$A$6:$A$1005=$A505)*Journal!$C$6:$C$1005))=0,"",SUMPRODUCT(MAX((Journal!$A$6:$A$1005=$A505)*Journal!$C$6:$C$1005))))</f>
        <v/>
      </c>
      <c r="N505" s="43" t="str">
        <f aca="false">IF($B505="","",IF(MAX($L505,$M505)=0,"",MAX($L505,$M505)))</f>
        <v/>
      </c>
      <c r="O505" s="44" t="str">
        <f aca="false">IF(OR($B505="",$H505=""),"",IF($N505="",IF(EDATE($H505,DelaiPremierEPP)&gt;DateRef,"1er EPP (1re année)","Aucun entretien renseigné"),IF(AND(ReglesTransitoires="Oui",EDATE($N505,AnciennePeriodiciteEP*12)&lt;DateVigueur),"Retard antérieur à la réforme","Périodicité "&amp;PeriodiciteEPP&amp;" ans")))</f>
        <v/>
      </c>
      <c r="P505" s="43" t="str">
        <f aca="false">IF(OR($B505="",$H505=""),"",IF($N505="",EDATE($H505,DelaiPremierEPP),IF(AND(ReglesTransitoires="Oui",EDATE($N505,AnciennePeriodiciteEP*12)&lt;DateVigueur),EDATE($N505,AnciennePeriodiciteEP*12),EDATE($N505,PeriodiciteEPP*12))))</f>
        <v/>
      </c>
      <c r="Q505" s="40"/>
      <c r="R505" s="45" t="str">
        <f aca="false">IF(OR($P505="",AND($I505&lt;&gt;"",$I505&lt;=DateRef)),"",$P505-DateRef)</f>
        <v/>
      </c>
      <c r="S505" s="42" t="str">
        <f aca="false">IF($B505="","",IF(AND($I505&lt;&gt;"",$I505&lt;=DateRef),"Sorti",IF($H505="","À compléter",IF(AND($Q505&lt;&gt;"",$Q505&gt;=DateRef,$Q505&lt;=$P505),"Planifié",IF($R505&lt;0,"En retard",IF($R505&lt;=SeuilAlerteEPP,"À planifier","À jour"))))))</f>
        <v/>
      </c>
      <c r="T505" s="46" t="str">
        <f aca="false">IF(OR($B505="",$S505="Sorti"),"",MID(IF($H505=""," | Date d'embauche manquante","")&amp;IF(AND($K505="Plus d'un an",$N505="")," | Précédent entretien à renseigner (ancienneté &gt; 1 an)","")&amp;IF($O505="Retard antérieur à la réforme"," | Ancien délai de 2 ans expiré avant la réforme","")&amp;IF(AND($N505&lt;&gt;"",$H505&lt;&gt;"",$N505&lt;$H505)," | Entretien antérieur à l'embauche ?","")&amp;IF(AND($N505&lt;&gt;"",$N505&gt;DateRef)," | Entretien daté dans le futur ?","")&amp;IF(AND($Q505&lt;&gt;"",$P505&lt;&gt;"",$Q505&gt;$P505)," | Date prévue après l'échéance","")&amp;IF(AND($Q505&lt;&gt;"",$Q505&lt;DateRef,OR($N505="",$N505&lt;$Q505))," | Entretien prévu passé : le consigner au Journal","")&amp;IF(AND($G505&lt;&gt;"",$X505="",YEAR(DateRef)-YEAR($G505)&gt;=AgeMiCarriere-1,YEAR(DateRef)-YEAR($G505)&lt;=AgeMiCarriere+1)," | Visite de mi-carrière à vérifier",""),4,1000))</f>
        <v/>
      </c>
      <c r="U505" s="39"/>
      <c r="V505" s="40"/>
      <c r="W505" s="42" t="str">
        <f aca="false">IF(OR($B505="",$V505=""),"",IF(AND($I505&lt;&gt;"",$I505&lt;=DateRef),"",IF(AND($N505&lt;&gt;"",$N505&gt;=$V505),"Réalisé",IF(AND($N505&lt;&gt;"",$N505&gt;=EDATE($V505,-FenetreRetour)),"Dispensé (EPP récent)",IF($V505&gt;DateRef,"À prévoir à la reprise","À proposer (reprise passée)")))))</f>
        <v/>
      </c>
      <c r="X505" s="40"/>
      <c r="Y505" s="43" t="str">
        <f aca="false">IF(OR($B505="",$X505=""),"",EDATE($X505,DelaiMiCarriere))</f>
        <v/>
      </c>
      <c r="Z505" s="42" t="str">
        <f aca="false">IF(OR($B505="",$X505=""),"",IF(AND($I505&lt;&gt;"",$I505&lt;=DateRef),"",IF(AND($N505&lt;&gt;"",$N505&gt;=$X505),"Réalisé",IF($Y505&lt;DateRef,"En retard","À planifier"))))</f>
        <v/>
      </c>
      <c r="AA505" s="47" t="str">
        <f aca="false">IF(OR($B505="",$G505=""),"",IF($G505&gt;DateRef,"",DATEDIF($G505,DateRef,"y")))</f>
        <v/>
      </c>
      <c r="AB505" s="43" t="str">
        <f aca="false">IF(OR($B505="",$G505=""),"",EDATE($G505,AgeFinCarriere*12))</f>
        <v/>
      </c>
      <c r="AC505" s="42" t="str">
        <f aca="false">IF(OR($B505="",$G505="",$H505=""),"",IF(AND($I505&lt;&gt;"",$I505&lt;=DateRef),"",IF($AB505&lt;DateVigueur,"Non concerné",IF(AND($N505&lt;&gt;"",$N505&gt;=MAX(EDATE($AB505,-FenetreFinCarriere*12),DateVigueur),$N505&lt;=$AB505),"Réalisé",IF(DateRef&gt;$AB505,"Non réalisé",IF(AND($Q505&lt;&gt;"",$Q505&gt;=EDATE($AB505,-FenetreFinCarriere*12),$Q505&lt;=$AB505),"Planifié dans la fenêtre",IF(AND(MAX($P505,DateRef)&gt;=EDATE($AB505,-FenetreFinCarriere*12),MAX($P505,DateRef)&lt;=$AB505),"Prochain EPP dans la fenêtre",IF(MAX($P505,DateRef)&gt;$AB505,"À programmer avant 60 ans",""))))))))</f>
        <v/>
      </c>
      <c r="AD505" s="40"/>
      <c r="AE505" s="43" t="str">
        <f aca="false">IF(OR($B505="",$H505="",AND($I505&lt;&gt;"",$I505&lt;=DateRef)),"",MAX($H505,$AD505,IF($A505="",0,SUMPRODUCT(MAX((Journal!$A$6:$A$1005=$A505)*((Journal!$D$6:$D$1005=TypeEDL)+(Journal!$D$6:$D$1005=TypeBilan6))*Journal!$C$6:$C$1005)))))</f>
        <v/>
      </c>
      <c r="AF505" s="43" t="str">
        <f aca="false">IF($AE505="","",IF(AND(ReglesTransitoires="Oui",EDATE($AE505,AnciennePeriodiciteEDL*12)&lt;DateVigueur),EDATE($AE505,AnciennePeriodiciteEDL*12),EDATE($AE505,PeriodiciteEDL*12)))</f>
        <v/>
      </c>
      <c r="AG505" s="42" t="str">
        <f aca="false">IF($AF505="","",IF(AND($I505&lt;&gt;"",$I505&lt;=DateRef),"",IF($AF505&lt;DateRef,"En retard",IF($AF505-DateRef&lt;=SeuilAlerteEDL,"À prévoir","À jour"))))</f>
        <v/>
      </c>
      <c r="AH505" s="39"/>
      <c r="AI505" s="39"/>
      <c r="AJ505" s="42" t="str">
        <f aca="false">IF(OR($B505="",$H505=""),"",IF(AND($I505&lt;&gt;"",$I505&lt;=DateRef),"",IF(Effectif&lt;SeuilEffectif,"Non concerné (&lt; "&amp;SeuilEffectif&amp;" salariés)",IF($AH505="Oui","Pas de risque",IF(AND(OR($AI505="Non",$S505="En retard"),$AH505="Non"),"Risque abondement",IF(OR($AI505="Non",$S505="En retard"),"À vérifier (formation ?)",IF($AI505="Oui","Pas de risque","À compléter")))))))</f>
        <v/>
      </c>
      <c r="AK505" s="39"/>
    </row>
  </sheetData>
  <autoFilter ref="A5:AK505"/>
  <mergeCells count="9">
    <mergeCell ref="A1:O1"/>
    <mergeCell ref="A2:B2"/>
    <mergeCell ref="A4:I4"/>
    <mergeCell ref="J4:N4"/>
    <mergeCell ref="O4:T4"/>
    <mergeCell ref="U4:W4"/>
    <mergeCell ref="X4:Z4"/>
    <mergeCell ref="AA4:AC4"/>
    <mergeCell ref="AD4:AJ4"/>
  </mergeCells>
  <conditionalFormatting sqref="S6:S505">
    <cfRule type="expression" priority="2" aboveAverage="0" equalAverage="0" bottom="0" percent="0" rank="0" text="" dxfId="23">
      <formula>OR(S6="En retard",S6="À proposer (reprise passée)",S6="Non réalisé",S6="Risque abondement")</formula>
    </cfRule>
    <cfRule type="expression" priority="3" aboveAverage="0" equalAverage="0" bottom="0" percent="0" rank="0" text="" dxfId="24">
      <formula>OR(S6="À planifier",S6="À prévoir",S6="À prévoir à la reprise",S6="À programmer avant 60 ans",S6="À vérifier (formation ?)",S6="À compléter")</formula>
    </cfRule>
    <cfRule type="expression" priority="4" aboveAverage="0" equalAverage="0" bottom="0" percent="0" rank="0" text="" dxfId="25">
      <formula>OR(S6="Planifié",S6="Planifié dans la fenêtre",S6="Prochain EPP dans la fenêtre")</formula>
    </cfRule>
    <cfRule type="expression" priority="5" aboveAverage="0" equalAverage="0" bottom="0" percent="0" rank="0" text="" dxfId="26">
      <formula>OR(S6="À jour",S6="Réalisé",S6="Dispensé (EPP récent)",S6="Pas de risque")</formula>
    </cfRule>
    <cfRule type="expression" priority="6" aboveAverage="0" equalAverage="0" bottom="0" percent="0" rank="0" text="" dxfId="27">
      <formula>OR(S6="Sorti",S6="Non concerné",LEFT(S6,12)="Non concerné")</formula>
    </cfRule>
  </conditionalFormatting>
  <conditionalFormatting sqref="W6:W505">
    <cfRule type="expression" priority="7" aboveAverage="0" equalAverage="0" bottom="0" percent="0" rank="0" text="" dxfId="23">
      <formula>OR(W6="En retard",W6="À proposer (reprise passée)",W6="Non réalisé",W6="Risque abondement")</formula>
    </cfRule>
    <cfRule type="expression" priority="8" aboveAverage="0" equalAverage="0" bottom="0" percent="0" rank="0" text="" dxfId="24">
      <formula>OR(W6="À planifier",W6="À prévoir",W6="À prévoir à la reprise",W6="À programmer avant 60 ans",W6="À vérifier (formation ?)",W6="À compléter")</formula>
    </cfRule>
    <cfRule type="expression" priority="9" aboveAverage="0" equalAverage="0" bottom="0" percent="0" rank="0" text="" dxfId="25">
      <formula>OR(W6="Planifié",W6="Planifié dans la fenêtre",W6="Prochain EPP dans la fenêtre")</formula>
    </cfRule>
    <cfRule type="expression" priority="10" aboveAverage="0" equalAverage="0" bottom="0" percent="0" rank="0" text="" dxfId="26">
      <formula>OR(W6="À jour",W6="Réalisé",W6="Dispensé (EPP récent)",W6="Pas de risque")</formula>
    </cfRule>
    <cfRule type="expression" priority="11" aboveAverage="0" equalAverage="0" bottom="0" percent="0" rank="0" text="" dxfId="27">
      <formula>OR(W6="Sorti",W6="Non concerné",LEFT(W6,12)="Non concerné")</formula>
    </cfRule>
  </conditionalFormatting>
  <conditionalFormatting sqref="Z6:Z505">
    <cfRule type="expression" priority="12" aboveAverage="0" equalAverage="0" bottom="0" percent="0" rank="0" text="" dxfId="23">
      <formula>OR(Z6="En retard",Z6="À proposer (reprise passée)",Z6="Non réalisé",Z6="Risque abondement")</formula>
    </cfRule>
    <cfRule type="expression" priority="13" aboveAverage="0" equalAverage="0" bottom="0" percent="0" rank="0" text="" dxfId="24">
      <formula>OR(Z6="À planifier",Z6="À prévoir",Z6="À prévoir à la reprise",Z6="À programmer avant 60 ans",Z6="À vérifier (formation ?)",Z6="À compléter")</formula>
    </cfRule>
    <cfRule type="expression" priority="14" aboveAverage="0" equalAverage="0" bottom="0" percent="0" rank="0" text="" dxfId="25">
      <formula>OR(Z6="Planifié",Z6="Planifié dans la fenêtre",Z6="Prochain EPP dans la fenêtre")</formula>
    </cfRule>
    <cfRule type="expression" priority="15" aboveAverage="0" equalAverage="0" bottom="0" percent="0" rank="0" text="" dxfId="26">
      <formula>OR(Z6="À jour",Z6="Réalisé",Z6="Dispensé (EPP récent)",Z6="Pas de risque")</formula>
    </cfRule>
    <cfRule type="expression" priority="16" aboveAverage="0" equalAverage="0" bottom="0" percent="0" rank="0" text="" dxfId="27">
      <formula>OR(Z6="Sorti",Z6="Non concerné",LEFT(Z6,12)="Non concerné")</formula>
    </cfRule>
  </conditionalFormatting>
  <conditionalFormatting sqref="AC6:AC505">
    <cfRule type="expression" priority="17" aboveAverage="0" equalAverage="0" bottom="0" percent="0" rank="0" text="" dxfId="23">
      <formula>OR(AC6="En retard",AC6="À proposer (reprise passée)",AC6="Non réalisé",AC6="Risque abondement")</formula>
    </cfRule>
    <cfRule type="expression" priority="18" aboveAverage="0" equalAverage="0" bottom="0" percent="0" rank="0" text="" dxfId="24">
      <formula>OR(AC6="À planifier",AC6="À prévoir",AC6="À prévoir à la reprise",AC6="À programmer avant 60 ans",AC6="À vérifier (formation ?)",AC6="À compléter")</formula>
    </cfRule>
    <cfRule type="expression" priority="19" aboveAverage="0" equalAverage="0" bottom="0" percent="0" rank="0" text="" dxfId="25">
      <formula>OR(AC6="Planifié",AC6="Planifié dans la fenêtre",AC6="Prochain EPP dans la fenêtre")</formula>
    </cfRule>
    <cfRule type="expression" priority="20" aboveAverage="0" equalAverage="0" bottom="0" percent="0" rank="0" text="" dxfId="26">
      <formula>OR(AC6="À jour",AC6="Réalisé",AC6="Dispensé (EPP récent)",AC6="Pas de risque")</formula>
    </cfRule>
    <cfRule type="expression" priority="21" aboveAverage="0" equalAverage="0" bottom="0" percent="0" rank="0" text="" dxfId="27">
      <formula>OR(AC6="Sorti",AC6="Non concerné",LEFT(AC6,12)="Non concerné")</formula>
    </cfRule>
  </conditionalFormatting>
  <conditionalFormatting sqref="AG6:AG505">
    <cfRule type="expression" priority="22" aboveAverage="0" equalAverage="0" bottom="0" percent="0" rank="0" text="" dxfId="23">
      <formula>OR(AG6="En retard",AG6="À proposer (reprise passée)",AG6="Non réalisé",AG6="Risque abondement")</formula>
    </cfRule>
    <cfRule type="expression" priority="23" aboveAverage="0" equalAverage="0" bottom="0" percent="0" rank="0" text="" dxfId="24">
      <formula>OR(AG6="À planifier",AG6="À prévoir",AG6="À prévoir à la reprise",AG6="À programmer avant 60 ans",AG6="À vérifier (formation ?)",AG6="À compléter")</formula>
    </cfRule>
    <cfRule type="expression" priority="24" aboveAverage="0" equalAverage="0" bottom="0" percent="0" rank="0" text="" dxfId="25">
      <formula>OR(AG6="Planifié",AG6="Planifié dans la fenêtre",AG6="Prochain EPP dans la fenêtre")</formula>
    </cfRule>
    <cfRule type="expression" priority="25" aboveAverage="0" equalAverage="0" bottom="0" percent="0" rank="0" text="" dxfId="26">
      <formula>OR(AG6="À jour",AG6="Réalisé",AG6="Dispensé (EPP récent)",AG6="Pas de risque")</formula>
    </cfRule>
    <cfRule type="expression" priority="26" aboveAverage="0" equalAverage="0" bottom="0" percent="0" rank="0" text="" dxfId="27">
      <formula>OR(AG6="Sorti",AG6="Non concerné",LEFT(AG6,12)="Non concerné")</formula>
    </cfRule>
  </conditionalFormatting>
  <conditionalFormatting sqref="AJ6:AJ505">
    <cfRule type="expression" priority="27" aboveAverage="0" equalAverage="0" bottom="0" percent="0" rank="0" text="" dxfId="23">
      <formula>OR(AJ6="En retard",AJ6="À proposer (reprise passée)",AJ6="Non réalisé",AJ6="Risque abondement")</formula>
    </cfRule>
    <cfRule type="expression" priority="28" aboveAverage="0" equalAverage="0" bottom="0" percent="0" rank="0" text="" dxfId="24">
      <formula>OR(AJ6="À planifier",AJ6="À prévoir",AJ6="À prévoir à la reprise",AJ6="À programmer avant 60 ans",AJ6="À vérifier (formation ?)",AJ6="À compléter")</formula>
    </cfRule>
    <cfRule type="expression" priority="29" aboveAverage="0" equalAverage="0" bottom="0" percent="0" rank="0" text="" dxfId="25">
      <formula>OR(AJ6="Planifié",AJ6="Planifié dans la fenêtre",AJ6="Prochain EPP dans la fenêtre")</formula>
    </cfRule>
    <cfRule type="expression" priority="30" aboveAverage="0" equalAverage="0" bottom="0" percent="0" rank="0" text="" dxfId="26">
      <formula>OR(AJ6="À jour",AJ6="Réalisé",AJ6="Dispensé (EPP récent)",AJ6="Pas de risque")</formula>
    </cfRule>
    <cfRule type="expression" priority="31" aboveAverage="0" equalAverage="0" bottom="0" percent="0" rank="0" text="" dxfId="27">
      <formula>OR(AJ6="Sorti",AJ6="Non concerné",LEFT(AJ6,12)="Non concerné")</formula>
    </cfRule>
  </conditionalFormatting>
  <conditionalFormatting sqref="A6:AK505">
    <cfRule type="expression" priority="32" aboveAverage="0" equalAverage="0" bottom="0" percent="0" rank="0" text="" dxfId="28">
      <formula>$S6="Sorti"</formula>
    </cfRule>
  </conditionalFormatting>
  <dataValidations count="4">
    <dataValidation allowBlank="true" error="Saisir une date au format JJ/MM/AAAA." errorStyle="stop" errorTitle="Date attendue" operator="between" showDropDown="false" showErrorMessage="true" showInputMessage="false" sqref="G6:I505 L6:L505 Q6:Q505 V6:V505 X6:X505 AD6:AD505" type="date">
      <formula1>1</formula1>
      <formula2>73415</formula2>
    </dataValidation>
    <dataValidation allowBlank="true" errorStyle="stop" operator="between" showDropDown="false" showErrorMessage="false" showInputMessage="false" sqref="D6:D505" type="list">
      <formula1>ListeServices</formula1>
      <formula2>0</formula2>
    </dataValidation>
    <dataValidation allowBlank="true" errorStyle="stop" operator="between" showDropDown="false" showErrorMessage="false" showInputMessage="false" sqref="U6:U505" type="list">
      <formula1>ListeAbsences</formula1>
      <formula2>0</formula2>
    </dataValidation>
    <dataValidation allowBlank="true" errorStyle="stop" operator="between" showDropDown="false" showErrorMessage="false" showInputMessage="false" sqref="AH6:AI505" type="list">
      <formula1>"Oui,Non"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14"/>
    <col collapsed="false" customWidth="true" hidden="false" outlineLevel="0" max="4" min="4" style="0" width="36"/>
    <col collapsed="false" customWidth="true" hidden="false" outlineLevel="0" max="5" min="5" style="0" width="20"/>
    <col collapsed="false" customWidth="true" hidden="false" outlineLevel="0" max="6" min="6" style="0" width="14"/>
    <col collapsed="false" customWidth="true" hidden="false" outlineLevel="0" max="7" min="7" style="0" width="40"/>
    <col collapsed="false" customWidth="true" hidden="false" outlineLevel="0" max="8" min="8" style="0" width="36"/>
  </cols>
  <sheetData>
    <row r="1" customFormat="false" ht="18.55" hidden="false" customHeight="false" outlineLevel="0" collapsed="false">
      <c r="A1" s="30" t="s">
        <v>235</v>
      </c>
      <c r="B1" s="30"/>
      <c r="C1" s="30"/>
      <c r="D1" s="30"/>
      <c r="E1" s="30"/>
      <c r="F1" s="30"/>
      <c r="G1" s="30"/>
      <c r="H1" s="30"/>
    </row>
    <row r="2" customFormat="false" ht="15" hidden="false" customHeight="false" outlineLevel="0" collapsed="false">
      <c r="A2" s="33" t="s">
        <v>236</v>
      </c>
    </row>
    <row r="3" customFormat="false" ht="15" hidden="false" customHeight="false" outlineLevel="0" collapsed="false">
      <c r="A3" s="34" t="s">
        <v>237</v>
      </c>
    </row>
    <row r="4" customFormat="false" ht="15" hidden="false" customHeight="false" outlineLevel="0" collapsed="false">
      <c r="A4" s="3" t="s">
        <v>238</v>
      </c>
      <c r="B4" s="3"/>
      <c r="C4" s="3"/>
      <c r="D4" s="3"/>
      <c r="E4" s="3"/>
      <c r="F4" s="3"/>
      <c r="G4" s="3"/>
      <c r="H4" s="3"/>
    </row>
    <row r="5" customFormat="false" ht="36" hidden="false" customHeight="true" outlineLevel="0" collapsed="false">
      <c r="A5" s="48" t="s">
        <v>124</v>
      </c>
      <c r="B5" s="18" t="s">
        <v>239</v>
      </c>
      <c r="C5" s="48" t="s">
        <v>240</v>
      </c>
      <c r="D5" s="48" t="s">
        <v>241</v>
      </c>
      <c r="E5" s="48" t="s">
        <v>242</v>
      </c>
      <c r="F5" s="48" t="s">
        <v>243</v>
      </c>
      <c r="G5" s="48" t="s">
        <v>244</v>
      </c>
      <c r="H5" s="48" t="s">
        <v>245</v>
      </c>
    </row>
    <row r="6" customFormat="false" ht="15" hidden="false" customHeight="false" outlineLevel="0" collapsed="false">
      <c r="A6" s="39" t="s">
        <v>206</v>
      </c>
      <c r="B6" s="44" t="str">
        <f aca="false">IF($A6="","",IFERROR(INDEX('Suivi EPP'!$B$6:$B$505,MATCH($A6,'Suivi EPP'!$A$6:$A$505,0))&amp;" "&amp;INDEX('Suivi EPP'!$C$6:$C$505,MATCH($A6,'Suivi EPP'!$A$6:$A$505,0)),"Matricule inconnu"))</f>
        <v>LAURENT Hugo</v>
      </c>
      <c r="C6" s="40" t="n">
        <v>44819</v>
      </c>
      <c r="D6" s="39" t="s">
        <v>246</v>
      </c>
      <c r="E6" s="39" t="s">
        <v>170</v>
      </c>
      <c r="F6" s="39" t="s">
        <v>171</v>
      </c>
      <c r="G6" s="39"/>
      <c r="H6" s="39" t="s">
        <v>247</v>
      </c>
    </row>
    <row r="7" customFormat="false" ht="15" hidden="false" customHeight="false" outlineLevel="0" collapsed="false">
      <c r="A7" s="39" t="s">
        <v>206</v>
      </c>
      <c r="B7" s="44" t="str">
        <f aca="false">IF($A7="","",IFERROR(INDEX('Suivi EPP'!$B$6:$B$505,MATCH($A7,'Suivi EPP'!$A$6:$A$505,0))&amp;" "&amp;INDEX('Suivi EPP'!$C$6:$C$505,MATCH($A7,'Suivi EPP'!$A$6:$A$505,0)),"Matricule inconnu"))</f>
        <v>LAURENT Hugo</v>
      </c>
      <c r="C7" s="40" t="n">
        <v>45979</v>
      </c>
      <c r="D7" s="39" t="s">
        <v>248</v>
      </c>
      <c r="E7" s="39" t="s">
        <v>170</v>
      </c>
      <c r="F7" s="39" t="s">
        <v>171</v>
      </c>
      <c r="G7" s="39" t="s">
        <v>249</v>
      </c>
      <c r="H7" s="39"/>
    </row>
    <row r="8" customFormat="false" ht="15" hidden="false" customHeight="false" outlineLevel="0" collapsed="false">
      <c r="A8" s="39" t="s">
        <v>219</v>
      </c>
      <c r="B8" s="44" t="str">
        <f aca="false">IF($A8="","",IFERROR(INDEX('Suivi EPP'!$B$6:$B$505,MATCH($A8,'Suivi EPP'!$A$6:$A$505,0))&amp;" "&amp;INDEX('Suivi EPP'!$C$6:$C$505,MATCH($A8,'Suivi EPP'!$A$6:$A$505,0)),"Matricule inconnu"))</f>
        <v>MICHEL Antoine</v>
      </c>
      <c r="C8" s="40" t="n">
        <v>46042</v>
      </c>
      <c r="D8" s="39" t="s">
        <v>250</v>
      </c>
      <c r="E8" s="39" t="s">
        <v>170</v>
      </c>
      <c r="F8" s="39" t="s">
        <v>171</v>
      </c>
      <c r="G8" s="39" t="s">
        <v>251</v>
      </c>
      <c r="H8" s="39" t="s">
        <v>252</v>
      </c>
    </row>
    <row r="9" customFormat="false" ht="15" hidden="false" customHeight="false" outlineLevel="0" collapsed="false">
      <c r="A9" s="39"/>
      <c r="B9" s="44" t="str">
        <f aca="false">IF($A9="","",IFERROR(INDEX('Suivi EPP'!$B$6:$B$505,MATCH($A9,'Suivi EPP'!$A$6:$A$505,0))&amp;" "&amp;INDEX('Suivi EPP'!$C$6:$C$505,MATCH($A9,'Suivi EPP'!$A$6:$A$505,0)),"Matricule inconnu"))</f>
        <v/>
      </c>
      <c r="C9" s="40"/>
      <c r="D9" s="39"/>
      <c r="E9" s="39"/>
      <c r="F9" s="39"/>
      <c r="G9" s="39"/>
      <c r="H9" s="39"/>
    </row>
    <row r="10" customFormat="false" ht="15" hidden="false" customHeight="false" outlineLevel="0" collapsed="false">
      <c r="A10" s="39"/>
      <c r="B10" s="44" t="str">
        <f aca="false">IF($A10="","",IFERROR(INDEX('Suivi EPP'!$B$6:$B$505,MATCH($A10,'Suivi EPP'!$A$6:$A$505,0))&amp;" "&amp;INDEX('Suivi EPP'!$C$6:$C$505,MATCH($A10,'Suivi EPP'!$A$6:$A$505,0)),"Matricule inconnu"))</f>
        <v/>
      </c>
      <c r="C10" s="40"/>
      <c r="D10" s="39"/>
      <c r="E10" s="39"/>
      <c r="F10" s="39"/>
      <c r="G10" s="39"/>
      <c r="H10" s="39"/>
    </row>
    <row r="11" customFormat="false" ht="15" hidden="false" customHeight="false" outlineLevel="0" collapsed="false">
      <c r="A11" s="39"/>
      <c r="B11" s="44" t="str">
        <f aca="false">IF($A11="","",IFERROR(INDEX('Suivi EPP'!$B$6:$B$505,MATCH($A11,'Suivi EPP'!$A$6:$A$505,0))&amp;" "&amp;INDEX('Suivi EPP'!$C$6:$C$505,MATCH($A11,'Suivi EPP'!$A$6:$A$505,0)),"Matricule inconnu"))</f>
        <v/>
      </c>
      <c r="C11" s="40"/>
      <c r="D11" s="39"/>
      <c r="E11" s="39"/>
      <c r="F11" s="39"/>
      <c r="G11" s="39"/>
      <c r="H11" s="39"/>
    </row>
    <row r="12" customFormat="false" ht="15" hidden="false" customHeight="false" outlineLevel="0" collapsed="false">
      <c r="A12" s="39"/>
      <c r="B12" s="44" t="str">
        <f aca="false">IF($A12="","",IFERROR(INDEX('Suivi EPP'!$B$6:$B$505,MATCH($A12,'Suivi EPP'!$A$6:$A$505,0))&amp;" "&amp;INDEX('Suivi EPP'!$C$6:$C$505,MATCH($A12,'Suivi EPP'!$A$6:$A$505,0)),"Matricule inconnu"))</f>
        <v/>
      </c>
      <c r="C12" s="40"/>
      <c r="D12" s="39"/>
      <c r="E12" s="39"/>
      <c r="F12" s="39"/>
      <c r="G12" s="39"/>
      <c r="H12" s="39"/>
    </row>
    <row r="13" customFormat="false" ht="15" hidden="false" customHeight="false" outlineLevel="0" collapsed="false">
      <c r="A13" s="39"/>
      <c r="B13" s="44" t="str">
        <f aca="false">IF($A13="","",IFERROR(INDEX('Suivi EPP'!$B$6:$B$505,MATCH($A13,'Suivi EPP'!$A$6:$A$505,0))&amp;" "&amp;INDEX('Suivi EPP'!$C$6:$C$505,MATCH($A13,'Suivi EPP'!$A$6:$A$505,0)),"Matricule inconnu"))</f>
        <v/>
      </c>
      <c r="C13" s="40"/>
      <c r="D13" s="39"/>
      <c r="E13" s="39"/>
      <c r="F13" s="39"/>
      <c r="G13" s="39"/>
      <c r="H13" s="39"/>
    </row>
    <row r="14" customFormat="false" ht="15" hidden="false" customHeight="false" outlineLevel="0" collapsed="false">
      <c r="A14" s="39"/>
      <c r="B14" s="44" t="str">
        <f aca="false">IF($A14="","",IFERROR(INDEX('Suivi EPP'!$B$6:$B$505,MATCH($A14,'Suivi EPP'!$A$6:$A$505,0))&amp;" "&amp;INDEX('Suivi EPP'!$C$6:$C$505,MATCH($A14,'Suivi EPP'!$A$6:$A$505,0)),"Matricule inconnu"))</f>
        <v/>
      </c>
      <c r="C14" s="40"/>
      <c r="D14" s="39"/>
      <c r="E14" s="39"/>
      <c r="F14" s="39"/>
      <c r="G14" s="39"/>
      <c r="H14" s="39"/>
    </row>
    <row r="15" customFormat="false" ht="15" hidden="false" customHeight="false" outlineLevel="0" collapsed="false">
      <c r="A15" s="39"/>
      <c r="B15" s="44" t="str">
        <f aca="false">IF($A15="","",IFERROR(INDEX('Suivi EPP'!$B$6:$B$505,MATCH($A15,'Suivi EPP'!$A$6:$A$505,0))&amp;" "&amp;INDEX('Suivi EPP'!$C$6:$C$505,MATCH($A15,'Suivi EPP'!$A$6:$A$505,0)),"Matricule inconnu"))</f>
        <v/>
      </c>
      <c r="C15" s="40"/>
      <c r="D15" s="39"/>
      <c r="E15" s="39"/>
      <c r="F15" s="39"/>
      <c r="G15" s="39"/>
      <c r="H15" s="39"/>
    </row>
    <row r="16" customFormat="false" ht="15" hidden="false" customHeight="false" outlineLevel="0" collapsed="false">
      <c r="A16" s="39"/>
      <c r="B16" s="44" t="str">
        <f aca="false">IF($A16="","",IFERROR(INDEX('Suivi EPP'!$B$6:$B$505,MATCH($A16,'Suivi EPP'!$A$6:$A$505,0))&amp;" "&amp;INDEX('Suivi EPP'!$C$6:$C$505,MATCH($A16,'Suivi EPP'!$A$6:$A$505,0)),"Matricule inconnu"))</f>
        <v/>
      </c>
      <c r="C16" s="40"/>
      <c r="D16" s="39"/>
      <c r="E16" s="39"/>
      <c r="F16" s="39"/>
      <c r="G16" s="39"/>
      <c r="H16" s="39"/>
    </row>
    <row r="17" customFormat="false" ht="15" hidden="false" customHeight="false" outlineLevel="0" collapsed="false">
      <c r="A17" s="39"/>
      <c r="B17" s="44" t="str">
        <f aca="false">IF($A17="","",IFERROR(INDEX('Suivi EPP'!$B$6:$B$505,MATCH($A17,'Suivi EPP'!$A$6:$A$505,0))&amp;" "&amp;INDEX('Suivi EPP'!$C$6:$C$505,MATCH($A17,'Suivi EPP'!$A$6:$A$505,0)),"Matricule inconnu"))</f>
        <v/>
      </c>
      <c r="C17" s="40"/>
      <c r="D17" s="39"/>
      <c r="E17" s="39"/>
      <c r="F17" s="39"/>
      <c r="G17" s="39"/>
      <c r="H17" s="39"/>
    </row>
    <row r="18" customFormat="false" ht="15" hidden="false" customHeight="false" outlineLevel="0" collapsed="false">
      <c r="A18" s="39"/>
      <c r="B18" s="44" t="str">
        <f aca="false">IF($A18="","",IFERROR(INDEX('Suivi EPP'!$B$6:$B$505,MATCH($A18,'Suivi EPP'!$A$6:$A$505,0))&amp;" "&amp;INDEX('Suivi EPP'!$C$6:$C$505,MATCH($A18,'Suivi EPP'!$A$6:$A$505,0)),"Matricule inconnu"))</f>
        <v/>
      </c>
      <c r="C18" s="40"/>
      <c r="D18" s="39"/>
      <c r="E18" s="39"/>
      <c r="F18" s="39"/>
      <c r="G18" s="39"/>
      <c r="H18" s="39"/>
    </row>
    <row r="19" customFormat="false" ht="15" hidden="false" customHeight="false" outlineLevel="0" collapsed="false">
      <c r="A19" s="39"/>
      <c r="B19" s="44" t="str">
        <f aca="false">IF($A19="","",IFERROR(INDEX('Suivi EPP'!$B$6:$B$505,MATCH($A19,'Suivi EPP'!$A$6:$A$505,0))&amp;" "&amp;INDEX('Suivi EPP'!$C$6:$C$505,MATCH($A19,'Suivi EPP'!$A$6:$A$505,0)),"Matricule inconnu"))</f>
        <v/>
      </c>
      <c r="C19" s="40"/>
      <c r="D19" s="39"/>
      <c r="E19" s="39"/>
      <c r="F19" s="39"/>
      <c r="G19" s="39"/>
      <c r="H19" s="39"/>
    </row>
    <row r="20" customFormat="false" ht="15" hidden="false" customHeight="false" outlineLevel="0" collapsed="false">
      <c r="A20" s="39"/>
      <c r="B20" s="44" t="str">
        <f aca="false">IF($A20="","",IFERROR(INDEX('Suivi EPP'!$B$6:$B$505,MATCH($A20,'Suivi EPP'!$A$6:$A$505,0))&amp;" "&amp;INDEX('Suivi EPP'!$C$6:$C$505,MATCH($A20,'Suivi EPP'!$A$6:$A$505,0)),"Matricule inconnu"))</f>
        <v/>
      </c>
      <c r="C20" s="40"/>
      <c r="D20" s="39"/>
      <c r="E20" s="39"/>
      <c r="F20" s="39"/>
      <c r="G20" s="39"/>
      <c r="H20" s="39"/>
    </row>
    <row r="21" customFormat="false" ht="15" hidden="false" customHeight="false" outlineLevel="0" collapsed="false">
      <c r="A21" s="39"/>
      <c r="B21" s="44" t="str">
        <f aca="false">IF($A21="","",IFERROR(INDEX('Suivi EPP'!$B$6:$B$505,MATCH($A21,'Suivi EPP'!$A$6:$A$505,0))&amp;" "&amp;INDEX('Suivi EPP'!$C$6:$C$505,MATCH($A21,'Suivi EPP'!$A$6:$A$505,0)),"Matricule inconnu"))</f>
        <v/>
      </c>
      <c r="C21" s="40"/>
      <c r="D21" s="39"/>
      <c r="E21" s="39"/>
      <c r="F21" s="39"/>
      <c r="G21" s="39"/>
      <c r="H21" s="39"/>
    </row>
    <row r="22" customFormat="false" ht="15" hidden="false" customHeight="false" outlineLevel="0" collapsed="false">
      <c r="A22" s="39"/>
      <c r="B22" s="44" t="str">
        <f aca="false">IF($A22="","",IFERROR(INDEX('Suivi EPP'!$B$6:$B$505,MATCH($A22,'Suivi EPP'!$A$6:$A$505,0))&amp;" "&amp;INDEX('Suivi EPP'!$C$6:$C$505,MATCH($A22,'Suivi EPP'!$A$6:$A$505,0)),"Matricule inconnu"))</f>
        <v/>
      </c>
      <c r="C22" s="40"/>
      <c r="D22" s="39"/>
      <c r="E22" s="39"/>
      <c r="F22" s="39"/>
      <c r="G22" s="39"/>
      <c r="H22" s="39"/>
    </row>
    <row r="23" customFormat="false" ht="15" hidden="false" customHeight="false" outlineLevel="0" collapsed="false">
      <c r="A23" s="39"/>
      <c r="B23" s="44" t="str">
        <f aca="false">IF($A23="","",IFERROR(INDEX('Suivi EPP'!$B$6:$B$505,MATCH($A23,'Suivi EPP'!$A$6:$A$505,0))&amp;" "&amp;INDEX('Suivi EPP'!$C$6:$C$505,MATCH($A23,'Suivi EPP'!$A$6:$A$505,0)),"Matricule inconnu"))</f>
        <v/>
      </c>
      <c r="C23" s="40"/>
      <c r="D23" s="39"/>
      <c r="E23" s="39"/>
      <c r="F23" s="39"/>
      <c r="G23" s="39"/>
      <c r="H23" s="39"/>
    </row>
    <row r="24" customFormat="false" ht="15" hidden="false" customHeight="false" outlineLevel="0" collapsed="false">
      <c r="A24" s="39"/>
      <c r="B24" s="44" t="str">
        <f aca="false">IF($A24="","",IFERROR(INDEX('Suivi EPP'!$B$6:$B$505,MATCH($A24,'Suivi EPP'!$A$6:$A$505,0))&amp;" "&amp;INDEX('Suivi EPP'!$C$6:$C$505,MATCH($A24,'Suivi EPP'!$A$6:$A$505,0)),"Matricule inconnu"))</f>
        <v/>
      </c>
      <c r="C24" s="40"/>
      <c r="D24" s="39"/>
      <c r="E24" s="39"/>
      <c r="F24" s="39"/>
      <c r="G24" s="39"/>
      <c r="H24" s="39"/>
    </row>
    <row r="25" customFormat="false" ht="15" hidden="false" customHeight="false" outlineLevel="0" collapsed="false">
      <c r="A25" s="39"/>
      <c r="B25" s="44" t="str">
        <f aca="false">IF($A25="","",IFERROR(INDEX('Suivi EPP'!$B$6:$B$505,MATCH($A25,'Suivi EPP'!$A$6:$A$505,0))&amp;" "&amp;INDEX('Suivi EPP'!$C$6:$C$505,MATCH($A25,'Suivi EPP'!$A$6:$A$505,0)),"Matricule inconnu"))</f>
        <v/>
      </c>
      <c r="C25" s="40"/>
      <c r="D25" s="39"/>
      <c r="E25" s="39"/>
      <c r="F25" s="39"/>
      <c r="G25" s="39"/>
      <c r="H25" s="39"/>
    </row>
    <row r="26" customFormat="false" ht="15" hidden="false" customHeight="false" outlineLevel="0" collapsed="false">
      <c r="A26" s="39"/>
      <c r="B26" s="44" t="str">
        <f aca="false">IF($A26="","",IFERROR(INDEX('Suivi EPP'!$B$6:$B$505,MATCH($A26,'Suivi EPP'!$A$6:$A$505,0))&amp;" "&amp;INDEX('Suivi EPP'!$C$6:$C$505,MATCH($A26,'Suivi EPP'!$A$6:$A$505,0)),"Matricule inconnu"))</f>
        <v/>
      </c>
      <c r="C26" s="40"/>
      <c r="D26" s="39"/>
      <c r="E26" s="39"/>
      <c r="F26" s="39"/>
      <c r="G26" s="39"/>
      <c r="H26" s="39"/>
    </row>
    <row r="27" customFormat="false" ht="15" hidden="false" customHeight="false" outlineLevel="0" collapsed="false">
      <c r="A27" s="39"/>
      <c r="B27" s="44" t="str">
        <f aca="false">IF($A27="","",IFERROR(INDEX('Suivi EPP'!$B$6:$B$505,MATCH($A27,'Suivi EPP'!$A$6:$A$505,0))&amp;" "&amp;INDEX('Suivi EPP'!$C$6:$C$505,MATCH($A27,'Suivi EPP'!$A$6:$A$505,0)),"Matricule inconnu"))</f>
        <v/>
      </c>
      <c r="C27" s="40"/>
      <c r="D27" s="39"/>
      <c r="E27" s="39"/>
      <c r="F27" s="39"/>
      <c r="G27" s="39"/>
      <c r="H27" s="39"/>
    </row>
    <row r="28" customFormat="false" ht="15" hidden="false" customHeight="false" outlineLevel="0" collapsed="false">
      <c r="A28" s="39"/>
      <c r="B28" s="44" t="str">
        <f aca="false">IF($A28="","",IFERROR(INDEX('Suivi EPP'!$B$6:$B$505,MATCH($A28,'Suivi EPP'!$A$6:$A$505,0))&amp;" "&amp;INDEX('Suivi EPP'!$C$6:$C$505,MATCH($A28,'Suivi EPP'!$A$6:$A$505,0)),"Matricule inconnu"))</f>
        <v/>
      </c>
      <c r="C28" s="40"/>
      <c r="D28" s="39"/>
      <c r="E28" s="39"/>
      <c r="F28" s="39"/>
      <c r="G28" s="39"/>
      <c r="H28" s="39"/>
    </row>
    <row r="29" customFormat="false" ht="15" hidden="false" customHeight="false" outlineLevel="0" collapsed="false">
      <c r="A29" s="39"/>
      <c r="B29" s="44" t="str">
        <f aca="false">IF($A29="","",IFERROR(INDEX('Suivi EPP'!$B$6:$B$505,MATCH($A29,'Suivi EPP'!$A$6:$A$505,0))&amp;" "&amp;INDEX('Suivi EPP'!$C$6:$C$505,MATCH($A29,'Suivi EPP'!$A$6:$A$505,0)),"Matricule inconnu"))</f>
        <v/>
      </c>
      <c r="C29" s="40"/>
      <c r="D29" s="39"/>
      <c r="E29" s="39"/>
      <c r="F29" s="39"/>
      <c r="G29" s="39"/>
      <c r="H29" s="39"/>
    </row>
    <row r="30" customFormat="false" ht="15" hidden="false" customHeight="false" outlineLevel="0" collapsed="false">
      <c r="A30" s="39"/>
      <c r="B30" s="44" t="str">
        <f aca="false">IF($A30="","",IFERROR(INDEX('Suivi EPP'!$B$6:$B$505,MATCH($A30,'Suivi EPP'!$A$6:$A$505,0))&amp;" "&amp;INDEX('Suivi EPP'!$C$6:$C$505,MATCH($A30,'Suivi EPP'!$A$6:$A$505,0)),"Matricule inconnu"))</f>
        <v/>
      </c>
      <c r="C30" s="40"/>
      <c r="D30" s="39"/>
      <c r="E30" s="39"/>
      <c r="F30" s="39"/>
      <c r="G30" s="39"/>
      <c r="H30" s="39"/>
    </row>
    <row r="31" customFormat="false" ht="15" hidden="false" customHeight="false" outlineLevel="0" collapsed="false">
      <c r="A31" s="39"/>
      <c r="B31" s="44" t="str">
        <f aca="false">IF($A31="","",IFERROR(INDEX('Suivi EPP'!$B$6:$B$505,MATCH($A31,'Suivi EPP'!$A$6:$A$505,0))&amp;" "&amp;INDEX('Suivi EPP'!$C$6:$C$505,MATCH($A31,'Suivi EPP'!$A$6:$A$505,0)),"Matricule inconnu"))</f>
        <v/>
      </c>
      <c r="C31" s="40"/>
      <c r="D31" s="39"/>
      <c r="E31" s="39"/>
      <c r="F31" s="39"/>
      <c r="G31" s="39"/>
      <c r="H31" s="39"/>
    </row>
    <row r="32" customFormat="false" ht="15" hidden="false" customHeight="false" outlineLevel="0" collapsed="false">
      <c r="A32" s="39"/>
      <c r="B32" s="44" t="str">
        <f aca="false">IF($A32="","",IFERROR(INDEX('Suivi EPP'!$B$6:$B$505,MATCH($A32,'Suivi EPP'!$A$6:$A$505,0))&amp;" "&amp;INDEX('Suivi EPP'!$C$6:$C$505,MATCH($A32,'Suivi EPP'!$A$6:$A$505,0)),"Matricule inconnu"))</f>
        <v/>
      </c>
      <c r="C32" s="40"/>
      <c r="D32" s="39"/>
      <c r="E32" s="39"/>
      <c r="F32" s="39"/>
      <c r="G32" s="39"/>
      <c r="H32" s="39"/>
    </row>
    <row r="33" customFormat="false" ht="15" hidden="false" customHeight="false" outlineLevel="0" collapsed="false">
      <c r="A33" s="39"/>
      <c r="B33" s="44" t="str">
        <f aca="false">IF($A33="","",IFERROR(INDEX('Suivi EPP'!$B$6:$B$505,MATCH($A33,'Suivi EPP'!$A$6:$A$505,0))&amp;" "&amp;INDEX('Suivi EPP'!$C$6:$C$505,MATCH($A33,'Suivi EPP'!$A$6:$A$505,0)),"Matricule inconnu"))</f>
        <v/>
      </c>
      <c r="C33" s="40"/>
      <c r="D33" s="39"/>
      <c r="E33" s="39"/>
      <c r="F33" s="39"/>
      <c r="G33" s="39"/>
      <c r="H33" s="39"/>
    </row>
    <row r="34" customFormat="false" ht="15" hidden="false" customHeight="false" outlineLevel="0" collapsed="false">
      <c r="A34" s="39"/>
      <c r="B34" s="44" t="str">
        <f aca="false">IF($A34="","",IFERROR(INDEX('Suivi EPP'!$B$6:$B$505,MATCH($A34,'Suivi EPP'!$A$6:$A$505,0))&amp;" "&amp;INDEX('Suivi EPP'!$C$6:$C$505,MATCH($A34,'Suivi EPP'!$A$6:$A$505,0)),"Matricule inconnu"))</f>
        <v/>
      </c>
      <c r="C34" s="40"/>
      <c r="D34" s="39"/>
      <c r="E34" s="39"/>
      <c r="F34" s="39"/>
      <c r="G34" s="39"/>
      <c r="H34" s="39"/>
    </row>
    <row r="35" customFormat="false" ht="15" hidden="false" customHeight="false" outlineLevel="0" collapsed="false">
      <c r="A35" s="39"/>
      <c r="B35" s="44" t="str">
        <f aca="false">IF($A35="","",IFERROR(INDEX('Suivi EPP'!$B$6:$B$505,MATCH($A35,'Suivi EPP'!$A$6:$A$505,0))&amp;" "&amp;INDEX('Suivi EPP'!$C$6:$C$505,MATCH($A35,'Suivi EPP'!$A$6:$A$505,0)),"Matricule inconnu"))</f>
        <v/>
      </c>
      <c r="C35" s="40"/>
      <c r="D35" s="39"/>
      <c r="E35" s="39"/>
      <c r="F35" s="39"/>
      <c r="G35" s="39"/>
      <c r="H35" s="39"/>
    </row>
    <row r="36" customFormat="false" ht="15" hidden="false" customHeight="false" outlineLevel="0" collapsed="false">
      <c r="A36" s="39"/>
      <c r="B36" s="44" t="str">
        <f aca="false">IF($A36="","",IFERROR(INDEX('Suivi EPP'!$B$6:$B$505,MATCH($A36,'Suivi EPP'!$A$6:$A$505,0))&amp;" "&amp;INDEX('Suivi EPP'!$C$6:$C$505,MATCH($A36,'Suivi EPP'!$A$6:$A$505,0)),"Matricule inconnu"))</f>
        <v/>
      </c>
      <c r="C36" s="40"/>
      <c r="D36" s="39"/>
      <c r="E36" s="39"/>
      <c r="F36" s="39"/>
      <c r="G36" s="39"/>
      <c r="H36" s="39"/>
    </row>
    <row r="37" customFormat="false" ht="15" hidden="false" customHeight="false" outlineLevel="0" collapsed="false">
      <c r="A37" s="39"/>
      <c r="B37" s="44" t="str">
        <f aca="false">IF($A37="","",IFERROR(INDEX('Suivi EPP'!$B$6:$B$505,MATCH($A37,'Suivi EPP'!$A$6:$A$505,0))&amp;" "&amp;INDEX('Suivi EPP'!$C$6:$C$505,MATCH($A37,'Suivi EPP'!$A$6:$A$505,0)),"Matricule inconnu"))</f>
        <v/>
      </c>
      <c r="C37" s="40"/>
      <c r="D37" s="39"/>
      <c r="E37" s="39"/>
      <c r="F37" s="39"/>
      <c r="G37" s="39"/>
      <c r="H37" s="39"/>
    </row>
    <row r="38" customFormat="false" ht="15" hidden="false" customHeight="false" outlineLevel="0" collapsed="false">
      <c r="A38" s="39"/>
      <c r="B38" s="44" t="str">
        <f aca="false">IF($A38="","",IFERROR(INDEX('Suivi EPP'!$B$6:$B$505,MATCH($A38,'Suivi EPP'!$A$6:$A$505,0))&amp;" "&amp;INDEX('Suivi EPP'!$C$6:$C$505,MATCH($A38,'Suivi EPP'!$A$6:$A$505,0)),"Matricule inconnu"))</f>
        <v/>
      </c>
      <c r="C38" s="40"/>
      <c r="D38" s="39"/>
      <c r="E38" s="39"/>
      <c r="F38" s="39"/>
      <c r="G38" s="39"/>
      <c r="H38" s="39"/>
    </row>
    <row r="39" customFormat="false" ht="15" hidden="false" customHeight="false" outlineLevel="0" collapsed="false">
      <c r="A39" s="39"/>
      <c r="B39" s="44" t="str">
        <f aca="false">IF($A39="","",IFERROR(INDEX('Suivi EPP'!$B$6:$B$505,MATCH($A39,'Suivi EPP'!$A$6:$A$505,0))&amp;" "&amp;INDEX('Suivi EPP'!$C$6:$C$505,MATCH($A39,'Suivi EPP'!$A$6:$A$505,0)),"Matricule inconnu"))</f>
        <v/>
      </c>
      <c r="C39" s="40"/>
      <c r="D39" s="39"/>
      <c r="E39" s="39"/>
      <c r="F39" s="39"/>
      <c r="G39" s="39"/>
      <c r="H39" s="39"/>
    </row>
    <row r="40" customFormat="false" ht="15" hidden="false" customHeight="false" outlineLevel="0" collapsed="false">
      <c r="A40" s="39"/>
      <c r="B40" s="44" t="str">
        <f aca="false">IF($A40="","",IFERROR(INDEX('Suivi EPP'!$B$6:$B$505,MATCH($A40,'Suivi EPP'!$A$6:$A$505,0))&amp;" "&amp;INDEX('Suivi EPP'!$C$6:$C$505,MATCH($A40,'Suivi EPP'!$A$6:$A$505,0)),"Matricule inconnu"))</f>
        <v/>
      </c>
      <c r="C40" s="40"/>
      <c r="D40" s="39"/>
      <c r="E40" s="39"/>
      <c r="F40" s="39"/>
      <c r="G40" s="39"/>
      <c r="H40" s="39"/>
    </row>
    <row r="41" customFormat="false" ht="15" hidden="false" customHeight="false" outlineLevel="0" collapsed="false">
      <c r="A41" s="39"/>
      <c r="B41" s="44" t="str">
        <f aca="false">IF($A41="","",IFERROR(INDEX('Suivi EPP'!$B$6:$B$505,MATCH($A41,'Suivi EPP'!$A$6:$A$505,0))&amp;" "&amp;INDEX('Suivi EPP'!$C$6:$C$505,MATCH($A41,'Suivi EPP'!$A$6:$A$505,0)),"Matricule inconnu"))</f>
        <v/>
      </c>
      <c r="C41" s="40"/>
      <c r="D41" s="39"/>
      <c r="E41" s="39"/>
      <c r="F41" s="39"/>
      <c r="G41" s="39"/>
      <c r="H41" s="39"/>
    </row>
    <row r="42" customFormat="false" ht="15" hidden="false" customHeight="false" outlineLevel="0" collapsed="false">
      <c r="A42" s="39"/>
      <c r="B42" s="44" t="str">
        <f aca="false">IF($A42="","",IFERROR(INDEX('Suivi EPP'!$B$6:$B$505,MATCH($A42,'Suivi EPP'!$A$6:$A$505,0))&amp;" "&amp;INDEX('Suivi EPP'!$C$6:$C$505,MATCH($A42,'Suivi EPP'!$A$6:$A$505,0)),"Matricule inconnu"))</f>
        <v/>
      </c>
      <c r="C42" s="40"/>
      <c r="D42" s="39"/>
      <c r="E42" s="39"/>
      <c r="F42" s="39"/>
      <c r="G42" s="39"/>
      <c r="H42" s="39"/>
    </row>
    <row r="43" customFormat="false" ht="15" hidden="false" customHeight="false" outlineLevel="0" collapsed="false">
      <c r="A43" s="39"/>
      <c r="B43" s="44" t="str">
        <f aca="false">IF($A43="","",IFERROR(INDEX('Suivi EPP'!$B$6:$B$505,MATCH($A43,'Suivi EPP'!$A$6:$A$505,0))&amp;" "&amp;INDEX('Suivi EPP'!$C$6:$C$505,MATCH($A43,'Suivi EPP'!$A$6:$A$505,0)),"Matricule inconnu"))</f>
        <v/>
      </c>
      <c r="C43" s="40"/>
      <c r="D43" s="39"/>
      <c r="E43" s="39"/>
      <c r="F43" s="39"/>
      <c r="G43" s="39"/>
      <c r="H43" s="39"/>
    </row>
    <row r="44" customFormat="false" ht="15" hidden="false" customHeight="false" outlineLevel="0" collapsed="false">
      <c r="A44" s="39"/>
      <c r="B44" s="44" t="str">
        <f aca="false">IF($A44="","",IFERROR(INDEX('Suivi EPP'!$B$6:$B$505,MATCH($A44,'Suivi EPP'!$A$6:$A$505,0))&amp;" "&amp;INDEX('Suivi EPP'!$C$6:$C$505,MATCH($A44,'Suivi EPP'!$A$6:$A$505,0)),"Matricule inconnu"))</f>
        <v/>
      </c>
      <c r="C44" s="40"/>
      <c r="D44" s="39"/>
      <c r="E44" s="39"/>
      <c r="F44" s="39"/>
      <c r="G44" s="39"/>
      <c r="H44" s="39"/>
    </row>
    <row r="45" customFormat="false" ht="15" hidden="false" customHeight="false" outlineLevel="0" collapsed="false">
      <c r="A45" s="39"/>
      <c r="B45" s="44" t="str">
        <f aca="false">IF($A45="","",IFERROR(INDEX('Suivi EPP'!$B$6:$B$505,MATCH($A45,'Suivi EPP'!$A$6:$A$505,0))&amp;" "&amp;INDEX('Suivi EPP'!$C$6:$C$505,MATCH($A45,'Suivi EPP'!$A$6:$A$505,0)),"Matricule inconnu"))</f>
        <v/>
      </c>
      <c r="C45" s="40"/>
      <c r="D45" s="39"/>
      <c r="E45" s="39"/>
      <c r="F45" s="39"/>
      <c r="G45" s="39"/>
      <c r="H45" s="39"/>
    </row>
    <row r="46" customFormat="false" ht="15" hidden="false" customHeight="false" outlineLevel="0" collapsed="false">
      <c r="A46" s="39"/>
      <c r="B46" s="44" t="str">
        <f aca="false">IF($A46="","",IFERROR(INDEX('Suivi EPP'!$B$6:$B$505,MATCH($A46,'Suivi EPP'!$A$6:$A$505,0))&amp;" "&amp;INDEX('Suivi EPP'!$C$6:$C$505,MATCH($A46,'Suivi EPP'!$A$6:$A$505,0)),"Matricule inconnu"))</f>
        <v/>
      </c>
      <c r="C46" s="40"/>
      <c r="D46" s="39"/>
      <c r="E46" s="39"/>
      <c r="F46" s="39"/>
      <c r="G46" s="39"/>
      <c r="H46" s="39"/>
    </row>
    <row r="47" customFormat="false" ht="15" hidden="false" customHeight="false" outlineLevel="0" collapsed="false">
      <c r="A47" s="39"/>
      <c r="B47" s="44" t="str">
        <f aca="false">IF($A47="","",IFERROR(INDEX('Suivi EPP'!$B$6:$B$505,MATCH($A47,'Suivi EPP'!$A$6:$A$505,0))&amp;" "&amp;INDEX('Suivi EPP'!$C$6:$C$505,MATCH($A47,'Suivi EPP'!$A$6:$A$505,0)),"Matricule inconnu"))</f>
        <v/>
      </c>
      <c r="C47" s="40"/>
      <c r="D47" s="39"/>
      <c r="E47" s="39"/>
      <c r="F47" s="39"/>
      <c r="G47" s="39"/>
      <c r="H47" s="39"/>
    </row>
    <row r="48" customFormat="false" ht="15" hidden="false" customHeight="false" outlineLevel="0" collapsed="false">
      <c r="A48" s="39"/>
      <c r="B48" s="44" t="str">
        <f aca="false">IF($A48="","",IFERROR(INDEX('Suivi EPP'!$B$6:$B$505,MATCH($A48,'Suivi EPP'!$A$6:$A$505,0))&amp;" "&amp;INDEX('Suivi EPP'!$C$6:$C$505,MATCH($A48,'Suivi EPP'!$A$6:$A$505,0)),"Matricule inconnu"))</f>
        <v/>
      </c>
      <c r="C48" s="40"/>
      <c r="D48" s="39"/>
      <c r="E48" s="39"/>
      <c r="F48" s="39"/>
      <c r="G48" s="39"/>
      <c r="H48" s="39"/>
    </row>
    <row r="49" customFormat="false" ht="15" hidden="false" customHeight="false" outlineLevel="0" collapsed="false">
      <c r="A49" s="39"/>
      <c r="B49" s="44" t="str">
        <f aca="false">IF($A49="","",IFERROR(INDEX('Suivi EPP'!$B$6:$B$505,MATCH($A49,'Suivi EPP'!$A$6:$A$505,0))&amp;" "&amp;INDEX('Suivi EPP'!$C$6:$C$505,MATCH($A49,'Suivi EPP'!$A$6:$A$505,0)),"Matricule inconnu"))</f>
        <v/>
      </c>
      <c r="C49" s="40"/>
      <c r="D49" s="39"/>
      <c r="E49" s="39"/>
      <c r="F49" s="39"/>
      <c r="G49" s="39"/>
      <c r="H49" s="39"/>
    </row>
    <row r="50" customFormat="false" ht="15" hidden="false" customHeight="false" outlineLevel="0" collapsed="false">
      <c r="A50" s="39"/>
      <c r="B50" s="44" t="str">
        <f aca="false">IF($A50="","",IFERROR(INDEX('Suivi EPP'!$B$6:$B$505,MATCH($A50,'Suivi EPP'!$A$6:$A$505,0))&amp;" "&amp;INDEX('Suivi EPP'!$C$6:$C$505,MATCH($A50,'Suivi EPP'!$A$6:$A$505,0)),"Matricule inconnu"))</f>
        <v/>
      </c>
      <c r="C50" s="40"/>
      <c r="D50" s="39"/>
      <c r="E50" s="39"/>
      <c r="F50" s="39"/>
      <c r="G50" s="39"/>
      <c r="H50" s="39"/>
    </row>
    <row r="51" customFormat="false" ht="15" hidden="false" customHeight="false" outlineLevel="0" collapsed="false">
      <c r="A51" s="39"/>
      <c r="B51" s="44" t="str">
        <f aca="false">IF($A51="","",IFERROR(INDEX('Suivi EPP'!$B$6:$B$505,MATCH($A51,'Suivi EPP'!$A$6:$A$505,0))&amp;" "&amp;INDEX('Suivi EPP'!$C$6:$C$505,MATCH($A51,'Suivi EPP'!$A$6:$A$505,0)),"Matricule inconnu"))</f>
        <v/>
      </c>
      <c r="C51" s="40"/>
      <c r="D51" s="39"/>
      <c r="E51" s="39"/>
      <c r="F51" s="39"/>
      <c r="G51" s="39"/>
      <c r="H51" s="39"/>
    </row>
    <row r="52" customFormat="false" ht="15" hidden="false" customHeight="false" outlineLevel="0" collapsed="false">
      <c r="A52" s="39"/>
      <c r="B52" s="44" t="str">
        <f aca="false">IF($A52="","",IFERROR(INDEX('Suivi EPP'!$B$6:$B$505,MATCH($A52,'Suivi EPP'!$A$6:$A$505,0))&amp;" "&amp;INDEX('Suivi EPP'!$C$6:$C$505,MATCH($A52,'Suivi EPP'!$A$6:$A$505,0)),"Matricule inconnu"))</f>
        <v/>
      </c>
      <c r="C52" s="40"/>
      <c r="D52" s="39"/>
      <c r="E52" s="39"/>
      <c r="F52" s="39"/>
      <c r="G52" s="39"/>
      <c r="H52" s="39"/>
    </row>
    <row r="53" customFormat="false" ht="15" hidden="false" customHeight="false" outlineLevel="0" collapsed="false">
      <c r="A53" s="39"/>
      <c r="B53" s="44" t="str">
        <f aca="false">IF($A53="","",IFERROR(INDEX('Suivi EPP'!$B$6:$B$505,MATCH($A53,'Suivi EPP'!$A$6:$A$505,0))&amp;" "&amp;INDEX('Suivi EPP'!$C$6:$C$505,MATCH($A53,'Suivi EPP'!$A$6:$A$505,0)),"Matricule inconnu"))</f>
        <v/>
      </c>
      <c r="C53" s="40"/>
      <c r="D53" s="39"/>
      <c r="E53" s="39"/>
      <c r="F53" s="39"/>
      <c r="G53" s="39"/>
      <c r="H53" s="39"/>
    </row>
    <row r="54" customFormat="false" ht="15" hidden="false" customHeight="false" outlineLevel="0" collapsed="false">
      <c r="A54" s="39"/>
      <c r="B54" s="44" t="str">
        <f aca="false">IF($A54="","",IFERROR(INDEX('Suivi EPP'!$B$6:$B$505,MATCH($A54,'Suivi EPP'!$A$6:$A$505,0))&amp;" "&amp;INDEX('Suivi EPP'!$C$6:$C$505,MATCH($A54,'Suivi EPP'!$A$6:$A$505,0)),"Matricule inconnu"))</f>
        <v/>
      </c>
      <c r="C54" s="40"/>
      <c r="D54" s="39"/>
      <c r="E54" s="39"/>
      <c r="F54" s="39"/>
      <c r="G54" s="39"/>
      <c r="H54" s="39"/>
    </row>
    <row r="55" customFormat="false" ht="15" hidden="false" customHeight="false" outlineLevel="0" collapsed="false">
      <c r="A55" s="39"/>
      <c r="B55" s="44" t="str">
        <f aca="false">IF($A55="","",IFERROR(INDEX('Suivi EPP'!$B$6:$B$505,MATCH($A55,'Suivi EPP'!$A$6:$A$505,0))&amp;" "&amp;INDEX('Suivi EPP'!$C$6:$C$505,MATCH($A55,'Suivi EPP'!$A$6:$A$505,0)),"Matricule inconnu"))</f>
        <v/>
      </c>
      <c r="C55" s="40"/>
      <c r="D55" s="39"/>
      <c r="E55" s="39"/>
      <c r="F55" s="39"/>
      <c r="G55" s="39"/>
      <c r="H55" s="39"/>
    </row>
    <row r="56" customFormat="false" ht="15" hidden="false" customHeight="false" outlineLevel="0" collapsed="false">
      <c r="A56" s="39"/>
      <c r="B56" s="44" t="str">
        <f aca="false">IF($A56="","",IFERROR(INDEX('Suivi EPP'!$B$6:$B$505,MATCH($A56,'Suivi EPP'!$A$6:$A$505,0))&amp;" "&amp;INDEX('Suivi EPP'!$C$6:$C$505,MATCH($A56,'Suivi EPP'!$A$6:$A$505,0)),"Matricule inconnu"))</f>
        <v/>
      </c>
      <c r="C56" s="40"/>
      <c r="D56" s="39"/>
      <c r="E56" s="39"/>
      <c r="F56" s="39"/>
      <c r="G56" s="39"/>
      <c r="H56" s="39"/>
    </row>
    <row r="57" customFormat="false" ht="15" hidden="false" customHeight="false" outlineLevel="0" collapsed="false">
      <c r="A57" s="39"/>
      <c r="B57" s="44" t="str">
        <f aca="false">IF($A57="","",IFERROR(INDEX('Suivi EPP'!$B$6:$B$505,MATCH($A57,'Suivi EPP'!$A$6:$A$505,0))&amp;" "&amp;INDEX('Suivi EPP'!$C$6:$C$505,MATCH($A57,'Suivi EPP'!$A$6:$A$505,0)),"Matricule inconnu"))</f>
        <v/>
      </c>
      <c r="C57" s="40"/>
      <c r="D57" s="39"/>
      <c r="E57" s="39"/>
      <c r="F57" s="39"/>
      <c r="G57" s="39"/>
      <c r="H57" s="39"/>
    </row>
    <row r="58" customFormat="false" ht="15" hidden="false" customHeight="false" outlineLevel="0" collapsed="false">
      <c r="A58" s="39"/>
      <c r="B58" s="44" t="str">
        <f aca="false">IF($A58="","",IFERROR(INDEX('Suivi EPP'!$B$6:$B$505,MATCH($A58,'Suivi EPP'!$A$6:$A$505,0))&amp;" "&amp;INDEX('Suivi EPP'!$C$6:$C$505,MATCH($A58,'Suivi EPP'!$A$6:$A$505,0)),"Matricule inconnu"))</f>
        <v/>
      </c>
      <c r="C58" s="40"/>
      <c r="D58" s="39"/>
      <c r="E58" s="39"/>
      <c r="F58" s="39"/>
      <c r="G58" s="39"/>
      <c r="H58" s="39"/>
    </row>
    <row r="59" customFormat="false" ht="15" hidden="false" customHeight="false" outlineLevel="0" collapsed="false">
      <c r="A59" s="39"/>
      <c r="B59" s="44" t="str">
        <f aca="false">IF($A59="","",IFERROR(INDEX('Suivi EPP'!$B$6:$B$505,MATCH($A59,'Suivi EPP'!$A$6:$A$505,0))&amp;" "&amp;INDEX('Suivi EPP'!$C$6:$C$505,MATCH($A59,'Suivi EPP'!$A$6:$A$505,0)),"Matricule inconnu"))</f>
        <v/>
      </c>
      <c r="C59" s="40"/>
      <c r="D59" s="39"/>
      <c r="E59" s="39"/>
      <c r="F59" s="39"/>
      <c r="G59" s="39"/>
      <c r="H59" s="39"/>
    </row>
    <row r="60" customFormat="false" ht="15" hidden="false" customHeight="false" outlineLevel="0" collapsed="false">
      <c r="A60" s="39"/>
      <c r="B60" s="44" t="str">
        <f aca="false">IF($A60="","",IFERROR(INDEX('Suivi EPP'!$B$6:$B$505,MATCH($A60,'Suivi EPP'!$A$6:$A$505,0))&amp;" "&amp;INDEX('Suivi EPP'!$C$6:$C$505,MATCH($A60,'Suivi EPP'!$A$6:$A$505,0)),"Matricule inconnu"))</f>
        <v/>
      </c>
      <c r="C60" s="40"/>
      <c r="D60" s="39"/>
      <c r="E60" s="39"/>
      <c r="F60" s="39"/>
      <c r="G60" s="39"/>
      <c r="H60" s="39"/>
    </row>
    <row r="61" customFormat="false" ht="15" hidden="false" customHeight="false" outlineLevel="0" collapsed="false">
      <c r="A61" s="39"/>
      <c r="B61" s="44" t="str">
        <f aca="false">IF($A61="","",IFERROR(INDEX('Suivi EPP'!$B$6:$B$505,MATCH($A61,'Suivi EPP'!$A$6:$A$505,0))&amp;" "&amp;INDEX('Suivi EPP'!$C$6:$C$505,MATCH($A61,'Suivi EPP'!$A$6:$A$505,0)),"Matricule inconnu"))</f>
        <v/>
      </c>
      <c r="C61" s="40"/>
      <c r="D61" s="39"/>
      <c r="E61" s="39"/>
      <c r="F61" s="39"/>
      <c r="G61" s="39"/>
      <c r="H61" s="39"/>
    </row>
    <row r="62" customFormat="false" ht="15" hidden="false" customHeight="false" outlineLevel="0" collapsed="false">
      <c r="A62" s="39"/>
      <c r="B62" s="44" t="str">
        <f aca="false">IF($A62="","",IFERROR(INDEX('Suivi EPP'!$B$6:$B$505,MATCH($A62,'Suivi EPP'!$A$6:$A$505,0))&amp;" "&amp;INDEX('Suivi EPP'!$C$6:$C$505,MATCH($A62,'Suivi EPP'!$A$6:$A$505,0)),"Matricule inconnu"))</f>
        <v/>
      </c>
      <c r="C62" s="40"/>
      <c r="D62" s="39"/>
      <c r="E62" s="39"/>
      <c r="F62" s="39"/>
      <c r="G62" s="39"/>
      <c r="H62" s="39"/>
    </row>
    <row r="63" customFormat="false" ht="15" hidden="false" customHeight="false" outlineLevel="0" collapsed="false">
      <c r="A63" s="39"/>
      <c r="B63" s="44" t="str">
        <f aca="false">IF($A63="","",IFERROR(INDEX('Suivi EPP'!$B$6:$B$505,MATCH($A63,'Suivi EPP'!$A$6:$A$505,0))&amp;" "&amp;INDEX('Suivi EPP'!$C$6:$C$505,MATCH($A63,'Suivi EPP'!$A$6:$A$505,0)),"Matricule inconnu"))</f>
        <v/>
      </c>
      <c r="C63" s="40"/>
      <c r="D63" s="39"/>
      <c r="E63" s="39"/>
      <c r="F63" s="39"/>
      <c r="G63" s="39"/>
      <c r="H63" s="39"/>
    </row>
    <row r="64" customFormat="false" ht="15" hidden="false" customHeight="false" outlineLevel="0" collapsed="false">
      <c r="A64" s="39"/>
      <c r="B64" s="44" t="str">
        <f aca="false">IF($A64="","",IFERROR(INDEX('Suivi EPP'!$B$6:$B$505,MATCH($A64,'Suivi EPP'!$A$6:$A$505,0))&amp;" "&amp;INDEX('Suivi EPP'!$C$6:$C$505,MATCH($A64,'Suivi EPP'!$A$6:$A$505,0)),"Matricule inconnu"))</f>
        <v/>
      </c>
      <c r="C64" s="40"/>
      <c r="D64" s="39"/>
      <c r="E64" s="39"/>
      <c r="F64" s="39"/>
      <c r="G64" s="39"/>
      <c r="H64" s="39"/>
    </row>
    <row r="65" customFormat="false" ht="15" hidden="false" customHeight="false" outlineLevel="0" collapsed="false">
      <c r="A65" s="39"/>
      <c r="B65" s="44" t="str">
        <f aca="false">IF($A65="","",IFERROR(INDEX('Suivi EPP'!$B$6:$B$505,MATCH($A65,'Suivi EPP'!$A$6:$A$505,0))&amp;" "&amp;INDEX('Suivi EPP'!$C$6:$C$505,MATCH($A65,'Suivi EPP'!$A$6:$A$505,0)),"Matricule inconnu"))</f>
        <v/>
      </c>
      <c r="C65" s="40"/>
      <c r="D65" s="39"/>
      <c r="E65" s="39"/>
      <c r="F65" s="39"/>
      <c r="G65" s="39"/>
      <c r="H65" s="39"/>
    </row>
    <row r="66" customFormat="false" ht="15" hidden="false" customHeight="false" outlineLevel="0" collapsed="false">
      <c r="A66" s="39"/>
      <c r="B66" s="44" t="str">
        <f aca="false">IF($A66="","",IFERROR(INDEX('Suivi EPP'!$B$6:$B$505,MATCH($A66,'Suivi EPP'!$A$6:$A$505,0))&amp;" "&amp;INDEX('Suivi EPP'!$C$6:$C$505,MATCH($A66,'Suivi EPP'!$A$6:$A$505,0)),"Matricule inconnu"))</f>
        <v/>
      </c>
      <c r="C66" s="40"/>
      <c r="D66" s="39"/>
      <c r="E66" s="39"/>
      <c r="F66" s="39"/>
      <c r="G66" s="39"/>
      <c r="H66" s="39"/>
    </row>
    <row r="67" customFormat="false" ht="15" hidden="false" customHeight="false" outlineLevel="0" collapsed="false">
      <c r="A67" s="39"/>
      <c r="B67" s="44" t="str">
        <f aca="false">IF($A67="","",IFERROR(INDEX('Suivi EPP'!$B$6:$B$505,MATCH($A67,'Suivi EPP'!$A$6:$A$505,0))&amp;" "&amp;INDEX('Suivi EPP'!$C$6:$C$505,MATCH($A67,'Suivi EPP'!$A$6:$A$505,0)),"Matricule inconnu"))</f>
        <v/>
      </c>
      <c r="C67" s="40"/>
      <c r="D67" s="39"/>
      <c r="E67" s="39"/>
      <c r="F67" s="39"/>
      <c r="G67" s="39"/>
      <c r="H67" s="39"/>
    </row>
    <row r="68" customFormat="false" ht="15" hidden="false" customHeight="false" outlineLevel="0" collapsed="false">
      <c r="A68" s="39"/>
      <c r="B68" s="44" t="str">
        <f aca="false">IF($A68="","",IFERROR(INDEX('Suivi EPP'!$B$6:$B$505,MATCH($A68,'Suivi EPP'!$A$6:$A$505,0))&amp;" "&amp;INDEX('Suivi EPP'!$C$6:$C$505,MATCH($A68,'Suivi EPP'!$A$6:$A$505,0)),"Matricule inconnu"))</f>
        <v/>
      </c>
      <c r="C68" s="40"/>
      <c r="D68" s="39"/>
      <c r="E68" s="39"/>
      <c r="F68" s="39"/>
      <c r="G68" s="39"/>
      <c r="H68" s="39"/>
    </row>
    <row r="69" customFormat="false" ht="15" hidden="false" customHeight="false" outlineLevel="0" collapsed="false">
      <c r="A69" s="39"/>
      <c r="B69" s="44" t="str">
        <f aca="false">IF($A69="","",IFERROR(INDEX('Suivi EPP'!$B$6:$B$505,MATCH($A69,'Suivi EPP'!$A$6:$A$505,0))&amp;" "&amp;INDEX('Suivi EPP'!$C$6:$C$505,MATCH($A69,'Suivi EPP'!$A$6:$A$505,0)),"Matricule inconnu"))</f>
        <v/>
      </c>
      <c r="C69" s="40"/>
      <c r="D69" s="39"/>
      <c r="E69" s="39"/>
      <c r="F69" s="39"/>
      <c r="G69" s="39"/>
      <c r="H69" s="39"/>
    </row>
    <row r="70" customFormat="false" ht="15" hidden="false" customHeight="false" outlineLevel="0" collapsed="false">
      <c r="A70" s="39"/>
      <c r="B70" s="44" t="str">
        <f aca="false">IF($A70="","",IFERROR(INDEX('Suivi EPP'!$B$6:$B$505,MATCH($A70,'Suivi EPP'!$A$6:$A$505,0))&amp;" "&amp;INDEX('Suivi EPP'!$C$6:$C$505,MATCH($A70,'Suivi EPP'!$A$6:$A$505,0)),"Matricule inconnu"))</f>
        <v/>
      </c>
      <c r="C70" s="40"/>
      <c r="D70" s="39"/>
      <c r="E70" s="39"/>
      <c r="F70" s="39"/>
      <c r="G70" s="39"/>
      <c r="H70" s="39"/>
    </row>
    <row r="71" customFormat="false" ht="15" hidden="false" customHeight="false" outlineLevel="0" collapsed="false">
      <c r="A71" s="39"/>
      <c r="B71" s="44" t="str">
        <f aca="false">IF($A71="","",IFERROR(INDEX('Suivi EPP'!$B$6:$B$505,MATCH($A71,'Suivi EPP'!$A$6:$A$505,0))&amp;" "&amp;INDEX('Suivi EPP'!$C$6:$C$505,MATCH($A71,'Suivi EPP'!$A$6:$A$505,0)),"Matricule inconnu"))</f>
        <v/>
      </c>
      <c r="C71" s="40"/>
      <c r="D71" s="39"/>
      <c r="E71" s="39"/>
      <c r="F71" s="39"/>
      <c r="G71" s="39"/>
      <c r="H71" s="39"/>
    </row>
    <row r="72" customFormat="false" ht="15" hidden="false" customHeight="false" outlineLevel="0" collapsed="false">
      <c r="A72" s="39"/>
      <c r="B72" s="44" t="str">
        <f aca="false">IF($A72="","",IFERROR(INDEX('Suivi EPP'!$B$6:$B$505,MATCH($A72,'Suivi EPP'!$A$6:$A$505,0))&amp;" "&amp;INDEX('Suivi EPP'!$C$6:$C$505,MATCH($A72,'Suivi EPP'!$A$6:$A$505,0)),"Matricule inconnu"))</f>
        <v/>
      </c>
      <c r="C72" s="40"/>
      <c r="D72" s="39"/>
      <c r="E72" s="39"/>
      <c r="F72" s="39"/>
      <c r="G72" s="39"/>
      <c r="H72" s="39"/>
    </row>
    <row r="73" customFormat="false" ht="15" hidden="false" customHeight="false" outlineLevel="0" collapsed="false">
      <c r="A73" s="39"/>
      <c r="B73" s="44" t="str">
        <f aca="false">IF($A73="","",IFERROR(INDEX('Suivi EPP'!$B$6:$B$505,MATCH($A73,'Suivi EPP'!$A$6:$A$505,0))&amp;" "&amp;INDEX('Suivi EPP'!$C$6:$C$505,MATCH($A73,'Suivi EPP'!$A$6:$A$505,0)),"Matricule inconnu"))</f>
        <v/>
      </c>
      <c r="C73" s="40"/>
      <c r="D73" s="39"/>
      <c r="E73" s="39"/>
      <c r="F73" s="39"/>
      <c r="G73" s="39"/>
      <c r="H73" s="39"/>
    </row>
    <row r="74" customFormat="false" ht="15" hidden="false" customHeight="false" outlineLevel="0" collapsed="false">
      <c r="A74" s="39"/>
      <c r="B74" s="44" t="str">
        <f aca="false">IF($A74="","",IFERROR(INDEX('Suivi EPP'!$B$6:$B$505,MATCH($A74,'Suivi EPP'!$A$6:$A$505,0))&amp;" "&amp;INDEX('Suivi EPP'!$C$6:$C$505,MATCH($A74,'Suivi EPP'!$A$6:$A$505,0)),"Matricule inconnu"))</f>
        <v/>
      </c>
      <c r="C74" s="40"/>
      <c r="D74" s="39"/>
      <c r="E74" s="39"/>
      <c r="F74" s="39"/>
      <c r="G74" s="39"/>
      <c r="H74" s="39"/>
    </row>
    <row r="75" customFormat="false" ht="15" hidden="false" customHeight="false" outlineLevel="0" collapsed="false">
      <c r="A75" s="39"/>
      <c r="B75" s="44" t="str">
        <f aca="false">IF($A75="","",IFERROR(INDEX('Suivi EPP'!$B$6:$B$505,MATCH($A75,'Suivi EPP'!$A$6:$A$505,0))&amp;" "&amp;INDEX('Suivi EPP'!$C$6:$C$505,MATCH($A75,'Suivi EPP'!$A$6:$A$505,0)),"Matricule inconnu"))</f>
        <v/>
      </c>
      <c r="C75" s="40"/>
      <c r="D75" s="39"/>
      <c r="E75" s="39"/>
      <c r="F75" s="39"/>
      <c r="G75" s="39"/>
      <c r="H75" s="39"/>
    </row>
    <row r="76" customFormat="false" ht="15" hidden="false" customHeight="false" outlineLevel="0" collapsed="false">
      <c r="A76" s="39"/>
      <c r="B76" s="44" t="str">
        <f aca="false">IF($A76="","",IFERROR(INDEX('Suivi EPP'!$B$6:$B$505,MATCH($A76,'Suivi EPP'!$A$6:$A$505,0))&amp;" "&amp;INDEX('Suivi EPP'!$C$6:$C$505,MATCH($A76,'Suivi EPP'!$A$6:$A$505,0)),"Matricule inconnu"))</f>
        <v/>
      </c>
      <c r="C76" s="40"/>
      <c r="D76" s="39"/>
      <c r="E76" s="39"/>
      <c r="F76" s="39"/>
      <c r="G76" s="39"/>
      <c r="H76" s="39"/>
    </row>
    <row r="77" customFormat="false" ht="15" hidden="false" customHeight="false" outlineLevel="0" collapsed="false">
      <c r="A77" s="39"/>
      <c r="B77" s="44" t="str">
        <f aca="false">IF($A77="","",IFERROR(INDEX('Suivi EPP'!$B$6:$B$505,MATCH($A77,'Suivi EPP'!$A$6:$A$505,0))&amp;" "&amp;INDEX('Suivi EPP'!$C$6:$C$505,MATCH($A77,'Suivi EPP'!$A$6:$A$505,0)),"Matricule inconnu"))</f>
        <v/>
      </c>
      <c r="C77" s="40"/>
      <c r="D77" s="39"/>
      <c r="E77" s="39"/>
      <c r="F77" s="39"/>
      <c r="G77" s="39"/>
      <c r="H77" s="39"/>
    </row>
    <row r="78" customFormat="false" ht="15" hidden="false" customHeight="false" outlineLevel="0" collapsed="false">
      <c r="A78" s="39"/>
      <c r="B78" s="44" t="str">
        <f aca="false">IF($A78="","",IFERROR(INDEX('Suivi EPP'!$B$6:$B$505,MATCH($A78,'Suivi EPP'!$A$6:$A$505,0))&amp;" "&amp;INDEX('Suivi EPP'!$C$6:$C$505,MATCH($A78,'Suivi EPP'!$A$6:$A$505,0)),"Matricule inconnu"))</f>
        <v/>
      </c>
      <c r="C78" s="40"/>
      <c r="D78" s="39"/>
      <c r="E78" s="39"/>
      <c r="F78" s="39"/>
      <c r="G78" s="39"/>
      <c r="H78" s="39"/>
    </row>
    <row r="79" customFormat="false" ht="15" hidden="false" customHeight="false" outlineLevel="0" collapsed="false">
      <c r="A79" s="39"/>
      <c r="B79" s="44" t="str">
        <f aca="false">IF($A79="","",IFERROR(INDEX('Suivi EPP'!$B$6:$B$505,MATCH($A79,'Suivi EPP'!$A$6:$A$505,0))&amp;" "&amp;INDEX('Suivi EPP'!$C$6:$C$505,MATCH($A79,'Suivi EPP'!$A$6:$A$505,0)),"Matricule inconnu"))</f>
        <v/>
      </c>
      <c r="C79" s="40"/>
      <c r="D79" s="39"/>
      <c r="E79" s="39"/>
      <c r="F79" s="39"/>
      <c r="G79" s="39"/>
      <c r="H79" s="39"/>
    </row>
    <row r="80" customFormat="false" ht="15" hidden="false" customHeight="false" outlineLevel="0" collapsed="false">
      <c r="A80" s="39"/>
      <c r="B80" s="44" t="str">
        <f aca="false">IF($A80="","",IFERROR(INDEX('Suivi EPP'!$B$6:$B$505,MATCH($A80,'Suivi EPP'!$A$6:$A$505,0))&amp;" "&amp;INDEX('Suivi EPP'!$C$6:$C$505,MATCH($A80,'Suivi EPP'!$A$6:$A$505,0)),"Matricule inconnu"))</f>
        <v/>
      </c>
      <c r="C80" s="40"/>
      <c r="D80" s="39"/>
      <c r="E80" s="39"/>
      <c r="F80" s="39"/>
      <c r="G80" s="39"/>
      <c r="H80" s="39"/>
    </row>
    <row r="81" customFormat="false" ht="15" hidden="false" customHeight="false" outlineLevel="0" collapsed="false">
      <c r="A81" s="39"/>
      <c r="B81" s="44" t="str">
        <f aca="false">IF($A81="","",IFERROR(INDEX('Suivi EPP'!$B$6:$B$505,MATCH($A81,'Suivi EPP'!$A$6:$A$505,0))&amp;" "&amp;INDEX('Suivi EPP'!$C$6:$C$505,MATCH($A81,'Suivi EPP'!$A$6:$A$505,0)),"Matricule inconnu"))</f>
        <v/>
      </c>
      <c r="C81" s="40"/>
      <c r="D81" s="39"/>
      <c r="E81" s="39"/>
      <c r="F81" s="39"/>
      <c r="G81" s="39"/>
      <c r="H81" s="39"/>
    </row>
    <row r="82" customFormat="false" ht="15" hidden="false" customHeight="false" outlineLevel="0" collapsed="false">
      <c r="A82" s="39"/>
      <c r="B82" s="44" t="str">
        <f aca="false">IF($A82="","",IFERROR(INDEX('Suivi EPP'!$B$6:$B$505,MATCH($A82,'Suivi EPP'!$A$6:$A$505,0))&amp;" "&amp;INDEX('Suivi EPP'!$C$6:$C$505,MATCH($A82,'Suivi EPP'!$A$6:$A$505,0)),"Matricule inconnu"))</f>
        <v/>
      </c>
      <c r="C82" s="40"/>
      <c r="D82" s="39"/>
      <c r="E82" s="39"/>
      <c r="F82" s="39"/>
      <c r="G82" s="39"/>
      <c r="H82" s="39"/>
    </row>
    <row r="83" customFormat="false" ht="15" hidden="false" customHeight="false" outlineLevel="0" collapsed="false">
      <c r="A83" s="39"/>
      <c r="B83" s="44" t="str">
        <f aca="false">IF($A83="","",IFERROR(INDEX('Suivi EPP'!$B$6:$B$505,MATCH($A83,'Suivi EPP'!$A$6:$A$505,0))&amp;" "&amp;INDEX('Suivi EPP'!$C$6:$C$505,MATCH($A83,'Suivi EPP'!$A$6:$A$505,0)),"Matricule inconnu"))</f>
        <v/>
      </c>
      <c r="C83" s="40"/>
      <c r="D83" s="39"/>
      <c r="E83" s="39"/>
      <c r="F83" s="39"/>
      <c r="G83" s="39"/>
      <c r="H83" s="39"/>
    </row>
    <row r="84" customFormat="false" ht="15" hidden="false" customHeight="false" outlineLevel="0" collapsed="false">
      <c r="A84" s="39"/>
      <c r="B84" s="44" t="str">
        <f aca="false">IF($A84="","",IFERROR(INDEX('Suivi EPP'!$B$6:$B$505,MATCH($A84,'Suivi EPP'!$A$6:$A$505,0))&amp;" "&amp;INDEX('Suivi EPP'!$C$6:$C$505,MATCH($A84,'Suivi EPP'!$A$6:$A$505,0)),"Matricule inconnu"))</f>
        <v/>
      </c>
      <c r="C84" s="40"/>
      <c r="D84" s="39"/>
      <c r="E84" s="39"/>
      <c r="F84" s="39"/>
      <c r="G84" s="39"/>
      <c r="H84" s="39"/>
    </row>
    <row r="85" customFormat="false" ht="15" hidden="false" customHeight="false" outlineLevel="0" collapsed="false">
      <c r="A85" s="39"/>
      <c r="B85" s="44" t="str">
        <f aca="false">IF($A85="","",IFERROR(INDEX('Suivi EPP'!$B$6:$B$505,MATCH($A85,'Suivi EPP'!$A$6:$A$505,0))&amp;" "&amp;INDEX('Suivi EPP'!$C$6:$C$505,MATCH($A85,'Suivi EPP'!$A$6:$A$505,0)),"Matricule inconnu"))</f>
        <v/>
      </c>
      <c r="C85" s="40"/>
      <c r="D85" s="39"/>
      <c r="E85" s="39"/>
      <c r="F85" s="39"/>
      <c r="G85" s="39"/>
      <c r="H85" s="39"/>
    </row>
    <row r="86" customFormat="false" ht="15" hidden="false" customHeight="false" outlineLevel="0" collapsed="false">
      <c r="A86" s="39"/>
      <c r="B86" s="44" t="str">
        <f aca="false">IF($A86="","",IFERROR(INDEX('Suivi EPP'!$B$6:$B$505,MATCH($A86,'Suivi EPP'!$A$6:$A$505,0))&amp;" "&amp;INDEX('Suivi EPP'!$C$6:$C$505,MATCH($A86,'Suivi EPP'!$A$6:$A$505,0)),"Matricule inconnu"))</f>
        <v/>
      </c>
      <c r="C86" s="40"/>
      <c r="D86" s="39"/>
      <c r="E86" s="39"/>
      <c r="F86" s="39"/>
      <c r="G86" s="39"/>
      <c r="H86" s="39"/>
    </row>
    <row r="87" customFormat="false" ht="15" hidden="false" customHeight="false" outlineLevel="0" collapsed="false">
      <c r="A87" s="39"/>
      <c r="B87" s="44" t="str">
        <f aca="false">IF($A87="","",IFERROR(INDEX('Suivi EPP'!$B$6:$B$505,MATCH($A87,'Suivi EPP'!$A$6:$A$505,0))&amp;" "&amp;INDEX('Suivi EPP'!$C$6:$C$505,MATCH($A87,'Suivi EPP'!$A$6:$A$505,0)),"Matricule inconnu"))</f>
        <v/>
      </c>
      <c r="C87" s="40"/>
      <c r="D87" s="39"/>
      <c r="E87" s="39"/>
      <c r="F87" s="39"/>
      <c r="G87" s="39"/>
      <c r="H87" s="39"/>
    </row>
    <row r="88" customFormat="false" ht="15" hidden="false" customHeight="false" outlineLevel="0" collapsed="false">
      <c r="A88" s="39"/>
      <c r="B88" s="44" t="str">
        <f aca="false">IF($A88="","",IFERROR(INDEX('Suivi EPP'!$B$6:$B$505,MATCH($A88,'Suivi EPP'!$A$6:$A$505,0))&amp;" "&amp;INDEX('Suivi EPP'!$C$6:$C$505,MATCH($A88,'Suivi EPP'!$A$6:$A$505,0)),"Matricule inconnu"))</f>
        <v/>
      </c>
      <c r="C88" s="40"/>
      <c r="D88" s="39"/>
      <c r="E88" s="39"/>
      <c r="F88" s="39"/>
      <c r="G88" s="39"/>
      <c r="H88" s="39"/>
    </row>
    <row r="89" customFormat="false" ht="15" hidden="false" customHeight="false" outlineLevel="0" collapsed="false">
      <c r="A89" s="39"/>
      <c r="B89" s="44" t="str">
        <f aca="false">IF($A89="","",IFERROR(INDEX('Suivi EPP'!$B$6:$B$505,MATCH($A89,'Suivi EPP'!$A$6:$A$505,0))&amp;" "&amp;INDEX('Suivi EPP'!$C$6:$C$505,MATCH($A89,'Suivi EPP'!$A$6:$A$505,0)),"Matricule inconnu"))</f>
        <v/>
      </c>
      <c r="C89" s="40"/>
      <c r="D89" s="39"/>
      <c r="E89" s="39"/>
      <c r="F89" s="39"/>
      <c r="G89" s="39"/>
      <c r="H89" s="39"/>
    </row>
    <row r="90" customFormat="false" ht="15" hidden="false" customHeight="false" outlineLevel="0" collapsed="false">
      <c r="A90" s="39"/>
      <c r="B90" s="44" t="str">
        <f aca="false">IF($A90="","",IFERROR(INDEX('Suivi EPP'!$B$6:$B$505,MATCH($A90,'Suivi EPP'!$A$6:$A$505,0))&amp;" "&amp;INDEX('Suivi EPP'!$C$6:$C$505,MATCH($A90,'Suivi EPP'!$A$6:$A$505,0)),"Matricule inconnu"))</f>
        <v/>
      </c>
      <c r="C90" s="40"/>
      <c r="D90" s="39"/>
      <c r="E90" s="39"/>
      <c r="F90" s="39"/>
      <c r="G90" s="39"/>
      <c r="H90" s="39"/>
    </row>
    <row r="91" customFormat="false" ht="15" hidden="false" customHeight="false" outlineLevel="0" collapsed="false">
      <c r="A91" s="39"/>
      <c r="B91" s="44" t="str">
        <f aca="false">IF($A91="","",IFERROR(INDEX('Suivi EPP'!$B$6:$B$505,MATCH($A91,'Suivi EPP'!$A$6:$A$505,0))&amp;" "&amp;INDEX('Suivi EPP'!$C$6:$C$505,MATCH($A91,'Suivi EPP'!$A$6:$A$505,0)),"Matricule inconnu"))</f>
        <v/>
      </c>
      <c r="C91" s="40"/>
      <c r="D91" s="39"/>
      <c r="E91" s="39"/>
      <c r="F91" s="39"/>
      <c r="G91" s="39"/>
      <c r="H91" s="39"/>
    </row>
    <row r="92" customFormat="false" ht="15" hidden="false" customHeight="false" outlineLevel="0" collapsed="false">
      <c r="A92" s="39"/>
      <c r="B92" s="44" t="str">
        <f aca="false">IF($A92="","",IFERROR(INDEX('Suivi EPP'!$B$6:$B$505,MATCH($A92,'Suivi EPP'!$A$6:$A$505,0))&amp;" "&amp;INDEX('Suivi EPP'!$C$6:$C$505,MATCH($A92,'Suivi EPP'!$A$6:$A$505,0)),"Matricule inconnu"))</f>
        <v/>
      </c>
      <c r="C92" s="40"/>
      <c r="D92" s="39"/>
      <c r="E92" s="39"/>
      <c r="F92" s="39"/>
      <c r="G92" s="39"/>
      <c r="H92" s="39"/>
    </row>
    <row r="93" customFormat="false" ht="15" hidden="false" customHeight="false" outlineLevel="0" collapsed="false">
      <c r="A93" s="39"/>
      <c r="B93" s="44" t="str">
        <f aca="false">IF($A93="","",IFERROR(INDEX('Suivi EPP'!$B$6:$B$505,MATCH($A93,'Suivi EPP'!$A$6:$A$505,0))&amp;" "&amp;INDEX('Suivi EPP'!$C$6:$C$505,MATCH($A93,'Suivi EPP'!$A$6:$A$505,0)),"Matricule inconnu"))</f>
        <v/>
      </c>
      <c r="C93" s="40"/>
      <c r="D93" s="39"/>
      <c r="E93" s="39"/>
      <c r="F93" s="39"/>
      <c r="G93" s="39"/>
      <c r="H93" s="39"/>
    </row>
    <row r="94" customFormat="false" ht="15" hidden="false" customHeight="false" outlineLevel="0" collapsed="false">
      <c r="A94" s="39"/>
      <c r="B94" s="44" t="str">
        <f aca="false">IF($A94="","",IFERROR(INDEX('Suivi EPP'!$B$6:$B$505,MATCH($A94,'Suivi EPP'!$A$6:$A$505,0))&amp;" "&amp;INDEX('Suivi EPP'!$C$6:$C$505,MATCH($A94,'Suivi EPP'!$A$6:$A$505,0)),"Matricule inconnu"))</f>
        <v/>
      </c>
      <c r="C94" s="40"/>
      <c r="D94" s="39"/>
      <c r="E94" s="39"/>
      <c r="F94" s="39"/>
      <c r="G94" s="39"/>
      <c r="H94" s="39"/>
    </row>
    <row r="95" customFormat="false" ht="15" hidden="false" customHeight="false" outlineLevel="0" collapsed="false">
      <c r="A95" s="39"/>
      <c r="B95" s="44" t="str">
        <f aca="false">IF($A95="","",IFERROR(INDEX('Suivi EPP'!$B$6:$B$505,MATCH($A95,'Suivi EPP'!$A$6:$A$505,0))&amp;" "&amp;INDEX('Suivi EPP'!$C$6:$C$505,MATCH($A95,'Suivi EPP'!$A$6:$A$505,0)),"Matricule inconnu"))</f>
        <v/>
      </c>
      <c r="C95" s="40"/>
      <c r="D95" s="39"/>
      <c r="E95" s="39"/>
      <c r="F95" s="39"/>
      <c r="G95" s="39"/>
      <c r="H95" s="39"/>
    </row>
    <row r="96" customFormat="false" ht="15" hidden="false" customHeight="false" outlineLevel="0" collapsed="false">
      <c r="A96" s="39"/>
      <c r="B96" s="44" t="str">
        <f aca="false">IF($A96="","",IFERROR(INDEX('Suivi EPP'!$B$6:$B$505,MATCH($A96,'Suivi EPP'!$A$6:$A$505,0))&amp;" "&amp;INDEX('Suivi EPP'!$C$6:$C$505,MATCH($A96,'Suivi EPP'!$A$6:$A$505,0)),"Matricule inconnu"))</f>
        <v/>
      </c>
      <c r="C96" s="40"/>
      <c r="D96" s="39"/>
      <c r="E96" s="39"/>
      <c r="F96" s="39"/>
      <c r="G96" s="39"/>
      <c r="H96" s="39"/>
    </row>
    <row r="97" customFormat="false" ht="15" hidden="false" customHeight="false" outlineLevel="0" collapsed="false">
      <c r="A97" s="39"/>
      <c r="B97" s="44" t="str">
        <f aca="false">IF($A97="","",IFERROR(INDEX('Suivi EPP'!$B$6:$B$505,MATCH($A97,'Suivi EPP'!$A$6:$A$505,0))&amp;" "&amp;INDEX('Suivi EPP'!$C$6:$C$505,MATCH($A97,'Suivi EPP'!$A$6:$A$505,0)),"Matricule inconnu"))</f>
        <v/>
      </c>
      <c r="C97" s="40"/>
      <c r="D97" s="39"/>
      <c r="E97" s="39"/>
      <c r="F97" s="39"/>
      <c r="G97" s="39"/>
      <c r="H97" s="39"/>
    </row>
    <row r="98" customFormat="false" ht="15" hidden="false" customHeight="false" outlineLevel="0" collapsed="false">
      <c r="A98" s="39"/>
      <c r="B98" s="44" t="str">
        <f aca="false">IF($A98="","",IFERROR(INDEX('Suivi EPP'!$B$6:$B$505,MATCH($A98,'Suivi EPP'!$A$6:$A$505,0))&amp;" "&amp;INDEX('Suivi EPP'!$C$6:$C$505,MATCH($A98,'Suivi EPP'!$A$6:$A$505,0)),"Matricule inconnu"))</f>
        <v/>
      </c>
      <c r="C98" s="40"/>
      <c r="D98" s="39"/>
      <c r="E98" s="39"/>
      <c r="F98" s="39"/>
      <c r="G98" s="39"/>
      <c r="H98" s="39"/>
    </row>
    <row r="99" customFormat="false" ht="15" hidden="false" customHeight="false" outlineLevel="0" collapsed="false">
      <c r="A99" s="39"/>
      <c r="B99" s="44" t="str">
        <f aca="false">IF($A99="","",IFERROR(INDEX('Suivi EPP'!$B$6:$B$505,MATCH($A99,'Suivi EPP'!$A$6:$A$505,0))&amp;" "&amp;INDEX('Suivi EPP'!$C$6:$C$505,MATCH($A99,'Suivi EPP'!$A$6:$A$505,0)),"Matricule inconnu"))</f>
        <v/>
      </c>
      <c r="C99" s="40"/>
      <c r="D99" s="39"/>
      <c r="E99" s="39"/>
      <c r="F99" s="39"/>
      <c r="G99" s="39"/>
      <c r="H99" s="39"/>
    </row>
    <row r="100" customFormat="false" ht="15" hidden="false" customHeight="false" outlineLevel="0" collapsed="false">
      <c r="A100" s="39"/>
      <c r="B100" s="44" t="str">
        <f aca="false">IF($A100="","",IFERROR(INDEX('Suivi EPP'!$B$6:$B$505,MATCH($A100,'Suivi EPP'!$A$6:$A$505,0))&amp;" "&amp;INDEX('Suivi EPP'!$C$6:$C$505,MATCH($A100,'Suivi EPP'!$A$6:$A$505,0)),"Matricule inconnu"))</f>
        <v/>
      </c>
      <c r="C100" s="40"/>
      <c r="D100" s="39"/>
      <c r="E100" s="39"/>
      <c r="F100" s="39"/>
      <c r="G100" s="39"/>
      <c r="H100" s="39"/>
    </row>
    <row r="101" customFormat="false" ht="15" hidden="false" customHeight="false" outlineLevel="0" collapsed="false">
      <c r="A101" s="39"/>
      <c r="B101" s="44" t="str">
        <f aca="false">IF($A101="","",IFERROR(INDEX('Suivi EPP'!$B$6:$B$505,MATCH($A101,'Suivi EPP'!$A$6:$A$505,0))&amp;" "&amp;INDEX('Suivi EPP'!$C$6:$C$505,MATCH($A101,'Suivi EPP'!$A$6:$A$505,0)),"Matricule inconnu"))</f>
        <v/>
      </c>
      <c r="C101" s="40"/>
      <c r="D101" s="39"/>
      <c r="E101" s="39"/>
      <c r="F101" s="39"/>
      <c r="G101" s="39"/>
      <c r="H101" s="39"/>
    </row>
    <row r="102" customFormat="false" ht="15" hidden="false" customHeight="false" outlineLevel="0" collapsed="false">
      <c r="A102" s="39"/>
      <c r="B102" s="44" t="str">
        <f aca="false">IF($A102="","",IFERROR(INDEX('Suivi EPP'!$B$6:$B$505,MATCH($A102,'Suivi EPP'!$A$6:$A$505,0))&amp;" "&amp;INDEX('Suivi EPP'!$C$6:$C$505,MATCH($A102,'Suivi EPP'!$A$6:$A$505,0)),"Matricule inconnu"))</f>
        <v/>
      </c>
      <c r="C102" s="40"/>
      <c r="D102" s="39"/>
      <c r="E102" s="39"/>
      <c r="F102" s="39"/>
      <c r="G102" s="39"/>
      <c r="H102" s="39"/>
    </row>
    <row r="103" customFormat="false" ht="15" hidden="false" customHeight="false" outlineLevel="0" collapsed="false">
      <c r="A103" s="39"/>
      <c r="B103" s="44" t="str">
        <f aca="false">IF($A103="","",IFERROR(INDEX('Suivi EPP'!$B$6:$B$505,MATCH($A103,'Suivi EPP'!$A$6:$A$505,0))&amp;" "&amp;INDEX('Suivi EPP'!$C$6:$C$505,MATCH($A103,'Suivi EPP'!$A$6:$A$505,0)),"Matricule inconnu"))</f>
        <v/>
      </c>
      <c r="C103" s="40"/>
      <c r="D103" s="39"/>
      <c r="E103" s="39"/>
      <c r="F103" s="39"/>
      <c r="G103" s="39"/>
      <c r="H103" s="39"/>
    </row>
    <row r="104" customFormat="false" ht="15" hidden="false" customHeight="false" outlineLevel="0" collapsed="false">
      <c r="A104" s="39"/>
      <c r="B104" s="44" t="str">
        <f aca="false">IF($A104="","",IFERROR(INDEX('Suivi EPP'!$B$6:$B$505,MATCH($A104,'Suivi EPP'!$A$6:$A$505,0))&amp;" "&amp;INDEX('Suivi EPP'!$C$6:$C$505,MATCH($A104,'Suivi EPP'!$A$6:$A$505,0)),"Matricule inconnu"))</f>
        <v/>
      </c>
      <c r="C104" s="40"/>
      <c r="D104" s="39"/>
      <c r="E104" s="39"/>
      <c r="F104" s="39"/>
      <c r="G104" s="39"/>
      <c r="H104" s="39"/>
    </row>
    <row r="105" customFormat="false" ht="15" hidden="false" customHeight="false" outlineLevel="0" collapsed="false">
      <c r="A105" s="39"/>
      <c r="B105" s="44" t="str">
        <f aca="false">IF($A105="","",IFERROR(INDEX('Suivi EPP'!$B$6:$B$505,MATCH($A105,'Suivi EPP'!$A$6:$A$505,0))&amp;" "&amp;INDEX('Suivi EPP'!$C$6:$C$505,MATCH($A105,'Suivi EPP'!$A$6:$A$505,0)),"Matricule inconnu"))</f>
        <v/>
      </c>
      <c r="C105" s="40"/>
      <c r="D105" s="39"/>
      <c r="E105" s="39"/>
      <c r="F105" s="39"/>
      <c r="G105" s="39"/>
      <c r="H105" s="39"/>
    </row>
    <row r="106" customFormat="false" ht="15" hidden="false" customHeight="false" outlineLevel="0" collapsed="false">
      <c r="A106" s="39"/>
      <c r="B106" s="44" t="str">
        <f aca="false">IF($A106="","",IFERROR(INDEX('Suivi EPP'!$B$6:$B$505,MATCH($A106,'Suivi EPP'!$A$6:$A$505,0))&amp;" "&amp;INDEX('Suivi EPP'!$C$6:$C$505,MATCH($A106,'Suivi EPP'!$A$6:$A$505,0)),"Matricule inconnu"))</f>
        <v/>
      </c>
      <c r="C106" s="40"/>
      <c r="D106" s="39"/>
      <c r="E106" s="39"/>
      <c r="F106" s="39"/>
      <c r="G106" s="39"/>
      <c r="H106" s="39"/>
    </row>
    <row r="107" customFormat="false" ht="15" hidden="false" customHeight="false" outlineLevel="0" collapsed="false">
      <c r="A107" s="39"/>
      <c r="B107" s="44" t="str">
        <f aca="false">IF($A107="","",IFERROR(INDEX('Suivi EPP'!$B$6:$B$505,MATCH($A107,'Suivi EPP'!$A$6:$A$505,0))&amp;" "&amp;INDEX('Suivi EPP'!$C$6:$C$505,MATCH($A107,'Suivi EPP'!$A$6:$A$505,0)),"Matricule inconnu"))</f>
        <v/>
      </c>
      <c r="C107" s="40"/>
      <c r="D107" s="39"/>
      <c r="E107" s="39"/>
      <c r="F107" s="39"/>
      <c r="G107" s="39"/>
      <c r="H107" s="39"/>
    </row>
    <row r="108" customFormat="false" ht="15" hidden="false" customHeight="false" outlineLevel="0" collapsed="false">
      <c r="A108" s="39"/>
      <c r="B108" s="44" t="str">
        <f aca="false">IF($A108="","",IFERROR(INDEX('Suivi EPP'!$B$6:$B$505,MATCH($A108,'Suivi EPP'!$A$6:$A$505,0))&amp;" "&amp;INDEX('Suivi EPP'!$C$6:$C$505,MATCH($A108,'Suivi EPP'!$A$6:$A$505,0)),"Matricule inconnu"))</f>
        <v/>
      </c>
      <c r="C108" s="40"/>
      <c r="D108" s="39"/>
      <c r="E108" s="39"/>
      <c r="F108" s="39"/>
      <c r="G108" s="39"/>
      <c r="H108" s="39"/>
    </row>
    <row r="109" customFormat="false" ht="15" hidden="false" customHeight="false" outlineLevel="0" collapsed="false">
      <c r="A109" s="39"/>
      <c r="B109" s="44" t="str">
        <f aca="false">IF($A109="","",IFERROR(INDEX('Suivi EPP'!$B$6:$B$505,MATCH($A109,'Suivi EPP'!$A$6:$A$505,0))&amp;" "&amp;INDEX('Suivi EPP'!$C$6:$C$505,MATCH($A109,'Suivi EPP'!$A$6:$A$505,0)),"Matricule inconnu"))</f>
        <v/>
      </c>
      <c r="C109" s="40"/>
      <c r="D109" s="39"/>
      <c r="E109" s="39"/>
      <c r="F109" s="39"/>
      <c r="G109" s="39"/>
      <c r="H109" s="39"/>
    </row>
    <row r="110" customFormat="false" ht="15" hidden="false" customHeight="false" outlineLevel="0" collapsed="false">
      <c r="A110" s="39"/>
      <c r="B110" s="44" t="str">
        <f aca="false">IF($A110="","",IFERROR(INDEX('Suivi EPP'!$B$6:$B$505,MATCH($A110,'Suivi EPP'!$A$6:$A$505,0))&amp;" "&amp;INDEX('Suivi EPP'!$C$6:$C$505,MATCH($A110,'Suivi EPP'!$A$6:$A$505,0)),"Matricule inconnu"))</f>
        <v/>
      </c>
      <c r="C110" s="40"/>
      <c r="D110" s="39"/>
      <c r="E110" s="39"/>
      <c r="F110" s="39"/>
      <c r="G110" s="39"/>
      <c r="H110" s="39"/>
    </row>
    <row r="111" customFormat="false" ht="15" hidden="false" customHeight="false" outlineLevel="0" collapsed="false">
      <c r="A111" s="39"/>
      <c r="B111" s="44" t="str">
        <f aca="false">IF($A111="","",IFERROR(INDEX('Suivi EPP'!$B$6:$B$505,MATCH($A111,'Suivi EPP'!$A$6:$A$505,0))&amp;" "&amp;INDEX('Suivi EPP'!$C$6:$C$505,MATCH($A111,'Suivi EPP'!$A$6:$A$505,0)),"Matricule inconnu"))</f>
        <v/>
      </c>
      <c r="C111" s="40"/>
      <c r="D111" s="39"/>
      <c r="E111" s="39"/>
      <c r="F111" s="39"/>
      <c r="G111" s="39"/>
      <c r="H111" s="39"/>
    </row>
    <row r="112" customFormat="false" ht="15" hidden="false" customHeight="false" outlineLevel="0" collapsed="false">
      <c r="A112" s="39"/>
      <c r="B112" s="44" t="str">
        <f aca="false">IF($A112="","",IFERROR(INDEX('Suivi EPP'!$B$6:$B$505,MATCH($A112,'Suivi EPP'!$A$6:$A$505,0))&amp;" "&amp;INDEX('Suivi EPP'!$C$6:$C$505,MATCH($A112,'Suivi EPP'!$A$6:$A$505,0)),"Matricule inconnu"))</f>
        <v/>
      </c>
      <c r="C112" s="40"/>
      <c r="D112" s="39"/>
      <c r="E112" s="39"/>
      <c r="F112" s="39"/>
      <c r="G112" s="39"/>
      <c r="H112" s="39"/>
    </row>
    <row r="113" customFormat="false" ht="15" hidden="false" customHeight="false" outlineLevel="0" collapsed="false">
      <c r="A113" s="39"/>
      <c r="B113" s="44" t="str">
        <f aca="false">IF($A113="","",IFERROR(INDEX('Suivi EPP'!$B$6:$B$505,MATCH($A113,'Suivi EPP'!$A$6:$A$505,0))&amp;" "&amp;INDEX('Suivi EPP'!$C$6:$C$505,MATCH($A113,'Suivi EPP'!$A$6:$A$505,0)),"Matricule inconnu"))</f>
        <v/>
      </c>
      <c r="C113" s="40"/>
      <c r="D113" s="39"/>
      <c r="E113" s="39"/>
      <c r="F113" s="39"/>
      <c r="G113" s="39"/>
      <c r="H113" s="39"/>
    </row>
    <row r="114" customFormat="false" ht="15" hidden="false" customHeight="false" outlineLevel="0" collapsed="false">
      <c r="A114" s="39"/>
      <c r="B114" s="44" t="str">
        <f aca="false">IF($A114="","",IFERROR(INDEX('Suivi EPP'!$B$6:$B$505,MATCH($A114,'Suivi EPP'!$A$6:$A$505,0))&amp;" "&amp;INDEX('Suivi EPP'!$C$6:$C$505,MATCH($A114,'Suivi EPP'!$A$6:$A$505,0)),"Matricule inconnu"))</f>
        <v/>
      </c>
      <c r="C114" s="40"/>
      <c r="D114" s="39"/>
      <c r="E114" s="39"/>
      <c r="F114" s="39"/>
      <c r="G114" s="39"/>
      <c r="H114" s="39"/>
    </row>
    <row r="115" customFormat="false" ht="15" hidden="false" customHeight="false" outlineLevel="0" collapsed="false">
      <c r="A115" s="39"/>
      <c r="B115" s="44" t="str">
        <f aca="false">IF($A115="","",IFERROR(INDEX('Suivi EPP'!$B$6:$B$505,MATCH($A115,'Suivi EPP'!$A$6:$A$505,0))&amp;" "&amp;INDEX('Suivi EPP'!$C$6:$C$505,MATCH($A115,'Suivi EPP'!$A$6:$A$505,0)),"Matricule inconnu"))</f>
        <v/>
      </c>
      <c r="C115" s="40"/>
      <c r="D115" s="39"/>
      <c r="E115" s="39"/>
      <c r="F115" s="39"/>
      <c r="G115" s="39"/>
      <c r="H115" s="39"/>
    </row>
    <row r="116" customFormat="false" ht="15" hidden="false" customHeight="false" outlineLevel="0" collapsed="false">
      <c r="A116" s="39"/>
      <c r="B116" s="44" t="str">
        <f aca="false">IF($A116="","",IFERROR(INDEX('Suivi EPP'!$B$6:$B$505,MATCH($A116,'Suivi EPP'!$A$6:$A$505,0))&amp;" "&amp;INDEX('Suivi EPP'!$C$6:$C$505,MATCH($A116,'Suivi EPP'!$A$6:$A$505,0)),"Matricule inconnu"))</f>
        <v/>
      </c>
      <c r="C116" s="40"/>
      <c r="D116" s="39"/>
      <c r="E116" s="39"/>
      <c r="F116" s="39"/>
      <c r="G116" s="39"/>
      <c r="H116" s="39"/>
    </row>
    <row r="117" customFormat="false" ht="15" hidden="false" customHeight="false" outlineLevel="0" collapsed="false">
      <c r="A117" s="39"/>
      <c r="B117" s="44" t="str">
        <f aca="false">IF($A117="","",IFERROR(INDEX('Suivi EPP'!$B$6:$B$505,MATCH($A117,'Suivi EPP'!$A$6:$A$505,0))&amp;" "&amp;INDEX('Suivi EPP'!$C$6:$C$505,MATCH($A117,'Suivi EPP'!$A$6:$A$505,0)),"Matricule inconnu"))</f>
        <v/>
      </c>
      <c r="C117" s="40"/>
      <c r="D117" s="39"/>
      <c r="E117" s="39"/>
      <c r="F117" s="39"/>
      <c r="G117" s="39"/>
      <c r="H117" s="39"/>
    </row>
    <row r="118" customFormat="false" ht="15" hidden="false" customHeight="false" outlineLevel="0" collapsed="false">
      <c r="A118" s="39"/>
      <c r="B118" s="44" t="str">
        <f aca="false">IF($A118="","",IFERROR(INDEX('Suivi EPP'!$B$6:$B$505,MATCH($A118,'Suivi EPP'!$A$6:$A$505,0))&amp;" "&amp;INDEX('Suivi EPP'!$C$6:$C$505,MATCH($A118,'Suivi EPP'!$A$6:$A$505,0)),"Matricule inconnu"))</f>
        <v/>
      </c>
      <c r="C118" s="40"/>
      <c r="D118" s="39"/>
      <c r="E118" s="39"/>
      <c r="F118" s="39"/>
      <c r="G118" s="39"/>
      <c r="H118" s="39"/>
    </row>
    <row r="119" customFormat="false" ht="15" hidden="false" customHeight="false" outlineLevel="0" collapsed="false">
      <c r="A119" s="39"/>
      <c r="B119" s="44" t="str">
        <f aca="false">IF($A119="","",IFERROR(INDEX('Suivi EPP'!$B$6:$B$505,MATCH($A119,'Suivi EPP'!$A$6:$A$505,0))&amp;" "&amp;INDEX('Suivi EPP'!$C$6:$C$505,MATCH($A119,'Suivi EPP'!$A$6:$A$505,0)),"Matricule inconnu"))</f>
        <v/>
      </c>
      <c r="C119" s="40"/>
      <c r="D119" s="39"/>
      <c r="E119" s="39"/>
      <c r="F119" s="39"/>
      <c r="G119" s="39"/>
      <c r="H119" s="39"/>
    </row>
    <row r="120" customFormat="false" ht="15" hidden="false" customHeight="false" outlineLevel="0" collapsed="false">
      <c r="A120" s="39"/>
      <c r="B120" s="44" t="str">
        <f aca="false">IF($A120="","",IFERROR(INDEX('Suivi EPP'!$B$6:$B$505,MATCH($A120,'Suivi EPP'!$A$6:$A$505,0))&amp;" "&amp;INDEX('Suivi EPP'!$C$6:$C$505,MATCH($A120,'Suivi EPP'!$A$6:$A$505,0)),"Matricule inconnu"))</f>
        <v/>
      </c>
      <c r="C120" s="40"/>
      <c r="D120" s="39"/>
      <c r="E120" s="39"/>
      <c r="F120" s="39"/>
      <c r="G120" s="39"/>
      <c r="H120" s="39"/>
    </row>
    <row r="121" customFormat="false" ht="15" hidden="false" customHeight="false" outlineLevel="0" collapsed="false">
      <c r="A121" s="39"/>
      <c r="B121" s="44" t="str">
        <f aca="false">IF($A121="","",IFERROR(INDEX('Suivi EPP'!$B$6:$B$505,MATCH($A121,'Suivi EPP'!$A$6:$A$505,0))&amp;" "&amp;INDEX('Suivi EPP'!$C$6:$C$505,MATCH($A121,'Suivi EPP'!$A$6:$A$505,0)),"Matricule inconnu"))</f>
        <v/>
      </c>
      <c r="C121" s="40"/>
      <c r="D121" s="39"/>
      <c r="E121" s="39"/>
      <c r="F121" s="39"/>
      <c r="G121" s="39"/>
      <c r="H121" s="39"/>
    </row>
    <row r="122" customFormat="false" ht="15" hidden="false" customHeight="false" outlineLevel="0" collapsed="false">
      <c r="A122" s="39"/>
      <c r="B122" s="44" t="str">
        <f aca="false">IF($A122="","",IFERROR(INDEX('Suivi EPP'!$B$6:$B$505,MATCH($A122,'Suivi EPP'!$A$6:$A$505,0))&amp;" "&amp;INDEX('Suivi EPP'!$C$6:$C$505,MATCH($A122,'Suivi EPP'!$A$6:$A$505,0)),"Matricule inconnu"))</f>
        <v/>
      </c>
      <c r="C122" s="40"/>
      <c r="D122" s="39"/>
      <c r="E122" s="39"/>
      <c r="F122" s="39"/>
      <c r="G122" s="39"/>
      <c r="H122" s="39"/>
    </row>
    <row r="123" customFormat="false" ht="15" hidden="false" customHeight="false" outlineLevel="0" collapsed="false">
      <c r="A123" s="39"/>
      <c r="B123" s="44" t="str">
        <f aca="false">IF($A123="","",IFERROR(INDEX('Suivi EPP'!$B$6:$B$505,MATCH($A123,'Suivi EPP'!$A$6:$A$505,0))&amp;" "&amp;INDEX('Suivi EPP'!$C$6:$C$505,MATCH($A123,'Suivi EPP'!$A$6:$A$505,0)),"Matricule inconnu"))</f>
        <v/>
      </c>
      <c r="C123" s="40"/>
      <c r="D123" s="39"/>
      <c r="E123" s="39"/>
      <c r="F123" s="39"/>
      <c r="G123" s="39"/>
      <c r="H123" s="39"/>
    </row>
    <row r="124" customFormat="false" ht="15" hidden="false" customHeight="false" outlineLevel="0" collapsed="false">
      <c r="A124" s="39"/>
      <c r="B124" s="44" t="str">
        <f aca="false">IF($A124="","",IFERROR(INDEX('Suivi EPP'!$B$6:$B$505,MATCH($A124,'Suivi EPP'!$A$6:$A$505,0))&amp;" "&amp;INDEX('Suivi EPP'!$C$6:$C$505,MATCH($A124,'Suivi EPP'!$A$6:$A$505,0)),"Matricule inconnu"))</f>
        <v/>
      </c>
      <c r="C124" s="40"/>
      <c r="D124" s="39"/>
      <c r="E124" s="39"/>
      <c r="F124" s="39"/>
      <c r="G124" s="39"/>
      <c r="H124" s="39"/>
    </row>
    <row r="125" customFormat="false" ht="15" hidden="false" customHeight="false" outlineLevel="0" collapsed="false">
      <c r="A125" s="39"/>
      <c r="B125" s="44" t="str">
        <f aca="false">IF($A125="","",IFERROR(INDEX('Suivi EPP'!$B$6:$B$505,MATCH($A125,'Suivi EPP'!$A$6:$A$505,0))&amp;" "&amp;INDEX('Suivi EPP'!$C$6:$C$505,MATCH($A125,'Suivi EPP'!$A$6:$A$505,0)),"Matricule inconnu"))</f>
        <v/>
      </c>
      <c r="C125" s="40"/>
      <c r="D125" s="39"/>
      <c r="E125" s="39"/>
      <c r="F125" s="39"/>
      <c r="G125" s="39"/>
      <c r="H125" s="39"/>
    </row>
    <row r="126" customFormat="false" ht="15" hidden="false" customHeight="false" outlineLevel="0" collapsed="false">
      <c r="A126" s="39"/>
      <c r="B126" s="44" t="str">
        <f aca="false">IF($A126="","",IFERROR(INDEX('Suivi EPP'!$B$6:$B$505,MATCH($A126,'Suivi EPP'!$A$6:$A$505,0))&amp;" "&amp;INDEX('Suivi EPP'!$C$6:$C$505,MATCH($A126,'Suivi EPP'!$A$6:$A$505,0)),"Matricule inconnu"))</f>
        <v/>
      </c>
      <c r="C126" s="40"/>
      <c r="D126" s="39"/>
      <c r="E126" s="39"/>
      <c r="F126" s="39"/>
      <c r="G126" s="39"/>
      <c r="H126" s="39"/>
    </row>
    <row r="127" customFormat="false" ht="15" hidden="false" customHeight="false" outlineLevel="0" collapsed="false">
      <c r="A127" s="39"/>
      <c r="B127" s="44" t="str">
        <f aca="false">IF($A127="","",IFERROR(INDEX('Suivi EPP'!$B$6:$B$505,MATCH($A127,'Suivi EPP'!$A$6:$A$505,0))&amp;" "&amp;INDEX('Suivi EPP'!$C$6:$C$505,MATCH($A127,'Suivi EPP'!$A$6:$A$505,0)),"Matricule inconnu"))</f>
        <v/>
      </c>
      <c r="C127" s="40"/>
      <c r="D127" s="39"/>
      <c r="E127" s="39"/>
      <c r="F127" s="39"/>
      <c r="G127" s="39"/>
      <c r="H127" s="39"/>
    </row>
    <row r="128" customFormat="false" ht="15" hidden="false" customHeight="false" outlineLevel="0" collapsed="false">
      <c r="A128" s="39"/>
      <c r="B128" s="44" t="str">
        <f aca="false">IF($A128="","",IFERROR(INDEX('Suivi EPP'!$B$6:$B$505,MATCH($A128,'Suivi EPP'!$A$6:$A$505,0))&amp;" "&amp;INDEX('Suivi EPP'!$C$6:$C$505,MATCH($A128,'Suivi EPP'!$A$6:$A$505,0)),"Matricule inconnu"))</f>
        <v/>
      </c>
      <c r="C128" s="40"/>
      <c r="D128" s="39"/>
      <c r="E128" s="39"/>
      <c r="F128" s="39"/>
      <c r="G128" s="39"/>
      <c r="H128" s="39"/>
    </row>
    <row r="129" customFormat="false" ht="15" hidden="false" customHeight="false" outlineLevel="0" collapsed="false">
      <c r="A129" s="39"/>
      <c r="B129" s="44" t="str">
        <f aca="false">IF($A129="","",IFERROR(INDEX('Suivi EPP'!$B$6:$B$505,MATCH($A129,'Suivi EPP'!$A$6:$A$505,0))&amp;" "&amp;INDEX('Suivi EPP'!$C$6:$C$505,MATCH($A129,'Suivi EPP'!$A$6:$A$505,0)),"Matricule inconnu"))</f>
        <v/>
      </c>
      <c r="C129" s="40"/>
      <c r="D129" s="39"/>
      <c r="E129" s="39"/>
      <c r="F129" s="39"/>
      <c r="G129" s="39"/>
      <c r="H129" s="39"/>
    </row>
    <row r="130" customFormat="false" ht="15" hidden="false" customHeight="false" outlineLevel="0" collapsed="false">
      <c r="A130" s="39"/>
      <c r="B130" s="44" t="str">
        <f aca="false">IF($A130="","",IFERROR(INDEX('Suivi EPP'!$B$6:$B$505,MATCH($A130,'Suivi EPP'!$A$6:$A$505,0))&amp;" "&amp;INDEX('Suivi EPP'!$C$6:$C$505,MATCH($A130,'Suivi EPP'!$A$6:$A$505,0)),"Matricule inconnu"))</f>
        <v/>
      </c>
      <c r="C130" s="40"/>
      <c r="D130" s="39"/>
      <c r="E130" s="39"/>
      <c r="F130" s="39"/>
      <c r="G130" s="39"/>
      <c r="H130" s="39"/>
    </row>
    <row r="131" customFormat="false" ht="15" hidden="false" customHeight="false" outlineLevel="0" collapsed="false">
      <c r="A131" s="39"/>
      <c r="B131" s="44" t="str">
        <f aca="false">IF($A131="","",IFERROR(INDEX('Suivi EPP'!$B$6:$B$505,MATCH($A131,'Suivi EPP'!$A$6:$A$505,0))&amp;" "&amp;INDEX('Suivi EPP'!$C$6:$C$505,MATCH($A131,'Suivi EPP'!$A$6:$A$505,0)),"Matricule inconnu"))</f>
        <v/>
      </c>
      <c r="C131" s="40"/>
      <c r="D131" s="39"/>
      <c r="E131" s="39"/>
      <c r="F131" s="39"/>
      <c r="G131" s="39"/>
      <c r="H131" s="39"/>
    </row>
    <row r="132" customFormat="false" ht="15" hidden="false" customHeight="false" outlineLevel="0" collapsed="false">
      <c r="A132" s="39"/>
      <c r="B132" s="44" t="str">
        <f aca="false">IF($A132="","",IFERROR(INDEX('Suivi EPP'!$B$6:$B$505,MATCH($A132,'Suivi EPP'!$A$6:$A$505,0))&amp;" "&amp;INDEX('Suivi EPP'!$C$6:$C$505,MATCH($A132,'Suivi EPP'!$A$6:$A$505,0)),"Matricule inconnu"))</f>
        <v/>
      </c>
      <c r="C132" s="40"/>
      <c r="D132" s="39"/>
      <c r="E132" s="39"/>
      <c r="F132" s="39"/>
      <c r="G132" s="39"/>
      <c r="H132" s="39"/>
    </row>
    <row r="133" customFormat="false" ht="15" hidden="false" customHeight="false" outlineLevel="0" collapsed="false">
      <c r="A133" s="39"/>
      <c r="B133" s="44" t="str">
        <f aca="false">IF($A133="","",IFERROR(INDEX('Suivi EPP'!$B$6:$B$505,MATCH($A133,'Suivi EPP'!$A$6:$A$505,0))&amp;" "&amp;INDEX('Suivi EPP'!$C$6:$C$505,MATCH($A133,'Suivi EPP'!$A$6:$A$505,0)),"Matricule inconnu"))</f>
        <v/>
      </c>
      <c r="C133" s="40"/>
      <c r="D133" s="39"/>
      <c r="E133" s="39"/>
      <c r="F133" s="39"/>
      <c r="G133" s="39"/>
      <c r="H133" s="39"/>
    </row>
    <row r="134" customFormat="false" ht="15" hidden="false" customHeight="false" outlineLevel="0" collapsed="false">
      <c r="A134" s="39"/>
      <c r="B134" s="44" t="str">
        <f aca="false">IF($A134="","",IFERROR(INDEX('Suivi EPP'!$B$6:$B$505,MATCH($A134,'Suivi EPP'!$A$6:$A$505,0))&amp;" "&amp;INDEX('Suivi EPP'!$C$6:$C$505,MATCH($A134,'Suivi EPP'!$A$6:$A$505,0)),"Matricule inconnu"))</f>
        <v/>
      </c>
      <c r="C134" s="40"/>
      <c r="D134" s="39"/>
      <c r="E134" s="39"/>
      <c r="F134" s="39"/>
      <c r="G134" s="39"/>
      <c r="H134" s="39"/>
    </row>
    <row r="135" customFormat="false" ht="15" hidden="false" customHeight="false" outlineLevel="0" collapsed="false">
      <c r="A135" s="39"/>
      <c r="B135" s="44" t="str">
        <f aca="false">IF($A135="","",IFERROR(INDEX('Suivi EPP'!$B$6:$B$505,MATCH($A135,'Suivi EPP'!$A$6:$A$505,0))&amp;" "&amp;INDEX('Suivi EPP'!$C$6:$C$505,MATCH($A135,'Suivi EPP'!$A$6:$A$505,0)),"Matricule inconnu"))</f>
        <v/>
      </c>
      <c r="C135" s="40"/>
      <c r="D135" s="39"/>
      <c r="E135" s="39"/>
      <c r="F135" s="39"/>
      <c r="G135" s="39"/>
      <c r="H135" s="39"/>
    </row>
    <row r="136" customFormat="false" ht="15" hidden="false" customHeight="false" outlineLevel="0" collapsed="false">
      <c r="A136" s="39"/>
      <c r="B136" s="44" t="str">
        <f aca="false">IF($A136="","",IFERROR(INDEX('Suivi EPP'!$B$6:$B$505,MATCH($A136,'Suivi EPP'!$A$6:$A$505,0))&amp;" "&amp;INDEX('Suivi EPP'!$C$6:$C$505,MATCH($A136,'Suivi EPP'!$A$6:$A$505,0)),"Matricule inconnu"))</f>
        <v/>
      </c>
      <c r="C136" s="40"/>
      <c r="D136" s="39"/>
      <c r="E136" s="39"/>
      <c r="F136" s="39"/>
      <c r="G136" s="39"/>
      <c r="H136" s="39"/>
    </row>
    <row r="137" customFormat="false" ht="15" hidden="false" customHeight="false" outlineLevel="0" collapsed="false">
      <c r="A137" s="39"/>
      <c r="B137" s="44" t="str">
        <f aca="false">IF($A137="","",IFERROR(INDEX('Suivi EPP'!$B$6:$B$505,MATCH($A137,'Suivi EPP'!$A$6:$A$505,0))&amp;" "&amp;INDEX('Suivi EPP'!$C$6:$C$505,MATCH($A137,'Suivi EPP'!$A$6:$A$505,0)),"Matricule inconnu"))</f>
        <v/>
      </c>
      <c r="C137" s="40"/>
      <c r="D137" s="39"/>
      <c r="E137" s="39"/>
      <c r="F137" s="39"/>
      <c r="G137" s="39"/>
      <c r="H137" s="39"/>
    </row>
    <row r="138" customFormat="false" ht="15" hidden="false" customHeight="false" outlineLevel="0" collapsed="false">
      <c r="A138" s="39"/>
      <c r="B138" s="44" t="str">
        <f aca="false">IF($A138="","",IFERROR(INDEX('Suivi EPP'!$B$6:$B$505,MATCH($A138,'Suivi EPP'!$A$6:$A$505,0))&amp;" "&amp;INDEX('Suivi EPP'!$C$6:$C$505,MATCH($A138,'Suivi EPP'!$A$6:$A$505,0)),"Matricule inconnu"))</f>
        <v/>
      </c>
      <c r="C138" s="40"/>
      <c r="D138" s="39"/>
      <c r="E138" s="39"/>
      <c r="F138" s="39"/>
      <c r="G138" s="39"/>
      <c r="H138" s="39"/>
    </row>
    <row r="139" customFormat="false" ht="15" hidden="false" customHeight="false" outlineLevel="0" collapsed="false">
      <c r="A139" s="39"/>
      <c r="B139" s="44" t="str">
        <f aca="false">IF($A139="","",IFERROR(INDEX('Suivi EPP'!$B$6:$B$505,MATCH($A139,'Suivi EPP'!$A$6:$A$505,0))&amp;" "&amp;INDEX('Suivi EPP'!$C$6:$C$505,MATCH($A139,'Suivi EPP'!$A$6:$A$505,0)),"Matricule inconnu"))</f>
        <v/>
      </c>
      <c r="C139" s="40"/>
      <c r="D139" s="39"/>
      <c r="E139" s="39"/>
      <c r="F139" s="39"/>
      <c r="G139" s="39"/>
      <c r="H139" s="39"/>
    </row>
    <row r="140" customFormat="false" ht="15" hidden="false" customHeight="false" outlineLevel="0" collapsed="false">
      <c r="A140" s="39"/>
      <c r="B140" s="44" t="str">
        <f aca="false">IF($A140="","",IFERROR(INDEX('Suivi EPP'!$B$6:$B$505,MATCH($A140,'Suivi EPP'!$A$6:$A$505,0))&amp;" "&amp;INDEX('Suivi EPP'!$C$6:$C$505,MATCH($A140,'Suivi EPP'!$A$6:$A$505,0)),"Matricule inconnu"))</f>
        <v/>
      </c>
      <c r="C140" s="40"/>
      <c r="D140" s="39"/>
      <c r="E140" s="39"/>
      <c r="F140" s="39"/>
      <c r="G140" s="39"/>
      <c r="H140" s="39"/>
    </row>
    <row r="141" customFormat="false" ht="15" hidden="false" customHeight="false" outlineLevel="0" collapsed="false">
      <c r="A141" s="39"/>
      <c r="B141" s="44" t="str">
        <f aca="false">IF($A141="","",IFERROR(INDEX('Suivi EPP'!$B$6:$B$505,MATCH($A141,'Suivi EPP'!$A$6:$A$505,0))&amp;" "&amp;INDEX('Suivi EPP'!$C$6:$C$505,MATCH($A141,'Suivi EPP'!$A$6:$A$505,0)),"Matricule inconnu"))</f>
        <v/>
      </c>
      <c r="C141" s="40"/>
      <c r="D141" s="39"/>
      <c r="E141" s="39"/>
      <c r="F141" s="39"/>
      <c r="G141" s="39"/>
      <c r="H141" s="39"/>
    </row>
    <row r="142" customFormat="false" ht="15" hidden="false" customHeight="false" outlineLevel="0" collapsed="false">
      <c r="A142" s="39"/>
      <c r="B142" s="44" t="str">
        <f aca="false">IF($A142="","",IFERROR(INDEX('Suivi EPP'!$B$6:$B$505,MATCH($A142,'Suivi EPP'!$A$6:$A$505,0))&amp;" "&amp;INDEX('Suivi EPP'!$C$6:$C$505,MATCH($A142,'Suivi EPP'!$A$6:$A$505,0)),"Matricule inconnu"))</f>
        <v/>
      </c>
      <c r="C142" s="40"/>
      <c r="D142" s="39"/>
      <c r="E142" s="39"/>
      <c r="F142" s="39"/>
      <c r="G142" s="39"/>
      <c r="H142" s="39"/>
    </row>
    <row r="143" customFormat="false" ht="15" hidden="false" customHeight="false" outlineLevel="0" collapsed="false">
      <c r="A143" s="39"/>
      <c r="B143" s="44" t="str">
        <f aca="false">IF($A143="","",IFERROR(INDEX('Suivi EPP'!$B$6:$B$505,MATCH($A143,'Suivi EPP'!$A$6:$A$505,0))&amp;" "&amp;INDEX('Suivi EPP'!$C$6:$C$505,MATCH($A143,'Suivi EPP'!$A$6:$A$505,0)),"Matricule inconnu"))</f>
        <v/>
      </c>
      <c r="C143" s="40"/>
      <c r="D143" s="39"/>
      <c r="E143" s="39"/>
      <c r="F143" s="39"/>
      <c r="G143" s="39"/>
      <c r="H143" s="39"/>
    </row>
    <row r="144" customFormat="false" ht="15" hidden="false" customHeight="false" outlineLevel="0" collapsed="false">
      <c r="A144" s="39"/>
      <c r="B144" s="44" t="str">
        <f aca="false">IF($A144="","",IFERROR(INDEX('Suivi EPP'!$B$6:$B$505,MATCH($A144,'Suivi EPP'!$A$6:$A$505,0))&amp;" "&amp;INDEX('Suivi EPP'!$C$6:$C$505,MATCH($A144,'Suivi EPP'!$A$6:$A$505,0)),"Matricule inconnu"))</f>
        <v/>
      </c>
      <c r="C144" s="40"/>
      <c r="D144" s="39"/>
      <c r="E144" s="39"/>
      <c r="F144" s="39"/>
      <c r="G144" s="39"/>
      <c r="H144" s="39"/>
    </row>
    <row r="145" customFormat="false" ht="15" hidden="false" customHeight="false" outlineLevel="0" collapsed="false">
      <c r="A145" s="39"/>
      <c r="B145" s="44" t="str">
        <f aca="false">IF($A145="","",IFERROR(INDEX('Suivi EPP'!$B$6:$B$505,MATCH($A145,'Suivi EPP'!$A$6:$A$505,0))&amp;" "&amp;INDEX('Suivi EPP'!$C$6:$C$505,MATCH($A145,'Suivi EPP'!$A$6:$A$505,0)),"Matricule inconnu"))</f>
        <v/>
      </c>
      <c r="C145" s="40"/>
      <c r="D145" s="39"/>
      <c r="E145" s="39"/>
      <c r="F145" s="39"/>
      <c r="G145" s="39"/>
      <c r="H145" s="39"/>
    </row>
    <row r="146" customFormat="false" ht="15" hidden="false" customHeight="false" outlineLevel="0" collapsed="false">
      <c r="A146" s="39"/>
      <c r="B146" s="44" t="str">
        <f aca="false">IF($A146="","",IFERROR(INDEX('Suivi EPP'!$B$6:$B$505,MATCH($A146,'Suivi EPP'!$A$6:$A$505,0))&amp;" "&amp;INDEX('Suivi EPP'!$C$6:$C$505,MATCH($A146,'Suivi EPP'!$A$6:$A$505,0)),"Matricule inconnu"))</f>
        <v/>
      </c>
      <c r="C146" s="40"/>
      <c r="D146" s="39"/>
      <c r="E146" s="39"/>
      <c r="F146" s="39"/>
      <c r="G146" s="39"/>
      <c r="H146" s="39"/>
    </row>
    <row r="147" customFormat="false" ht="15" hidden="false" customHeight="false" outlineLevel="0" collapsed="false">
      <c r="A147" s="39"/>
      <c r="B147" s="44" t="str">
        <f aca="false">IF($A147="","",IFERROR(INDEX('Suivi EPP'!$B$6:$B$505,MATCH($A147,'Suivi EPP'!$A$6:$A$505,0))&amp;" "&amp;INDEX('Suivi EPP'!$C$6:$C$505,MATCH($A147,'Suivi EPP'!$A$6:$A$505,0)),"Matricule inconnu"))</f>
        <v/>
      </c>
      <c r="C147" s="40"/>
      <c r="D147" s="39"/>
      <c r="E147" s="39"/>
      <c r="F147" s="39"/>
      <c r="G147" s="39"/>
      <c r="H147" s="39"/>
    </row>
    <row r="148" customFormat="false" ht="15" hidden="false" customHeight="false" outlineLevel="0" collapsed="false">
      <c r="A148" s="39"/>
      <c r="B148" s="44" t="str">
        <f aca="false">IF($A148="","",IFERROR(INDEX('Suivi EPP'!$B$6:$B$505,MATCH($A148,'Suivi EPP'!$A$6:$A$505,0))&amp;" "&amp;INDEX('Suivi EPP'!$C$6:$C$505,MATCH($A148,'Suivi EPP'!$A$6:$A$505,0)),"Matricule inconnu"))</f>
        <v/>
      </c>
      <c r="C148" s="40"/>
      <c r="D148" s="39"/>
      <c r="E148" s="39"/>
      <c r="F148" s="39"/>
      <c r="G148" s="39"/>
      <c r="H148" s="39"/>
    </row>
    <row r="149" customFormat="false" ht="15" hidden="false" customHeight="false" outlineLevel="0" collapsed="false">
      <c r="A149" s="39"/>
      <c r="B149" s="44" t="str">
        <f aca="false">IF($A149="","",IFERROR(INDEX('Suivi EPP'!$B$6:$B$505,MATCH($A149,'Suivi EPP'!$A$6:$A$505,0))&amp;" "&amp;INDEX('Suivi EPP'!$C$6:$C$505,MATCH($A149,'Suivi EPP'!$A$6:$A$505,0)),"Matricule inconnu"))</f>
        <v/>
      </c>
      <c r="C149" s="40"/>
      <c r="D149" s="39"/>
      <c r="E149" s="39"/>
      <c r="F149" s="39"/>
      <c r="G149" s="39"/>
      <c r="H149" s="39"/>
    </row>
    <row r="150" customFormat="false" ht="15" hidden="false" customHeight="false" outlineLevel="0" collapsed="false">
      <c r="A150" s="39"/>
      <c r="B150" s="44" t="str">
        <f aca="false">IF($A150="","",IFERROR(INDEX('Suivi EPP'!$B$6:$B$505,MATCH($A150,'Suivi EPP'!$A$6:$A$505,0))&amp;" "&amp;INDEX('Suivi EPP'!$C$6:$C$505,MATCH($A150,'Suivi EPP'!$A$6:$A$505,0)),"Matricule inconnu"))</f>
        <v/>
      </c>
      <c r="C150" s="40"/>
      <c r="D150" s="39"/>
      <c r="E150" s="39"/>
      <c r="F150" s="39"/>
      <c r="G150" s="39"/>
      <c r="H150" s="39"/>
    </row>
    <row r="151" customFormat="false" ht="15" hidden="false" customHeight="false" outlineLevel="0" collapsed="false">
      <c r="A151" s="39"/>
      <c r="B151" s="44" t="str">
        <f aca="false">IF($A151="","",IFERROR(INDEX('Suivi EPP'!$B$6:$B$505,MATCH($A151,'Suivi EPP'!$A$6:$A$505,0))&amp;" "&amp;INDEX('Suivi EPP'!$C$6:$C$505,MATCH($A151,'Suivi EPP'!$A$6:$A$505,0)),"Matricule inconnu"))</f>
        <v/>
      </c>
      <c r="C151" s="40"/>
      <c r="D151" s="39"/>
      <c r="E151" s="39"/>
      <c r="F151" s="39"/>
      <c r="G151" s="39"/>
      <c r="H151" s="39"/>
    </row>
    <row r="152" customFormat="false" ht="15" hidden="false" customHeight="false" outlineLevel="0" collapsed="false">
      <c r="A152" s="39"/>
      <c r="B152" s="44" t="str">
        <f aca="false">IF($A152="","",IFERROR(INDEX('Suivi EPP'!$B$6:$B$505,MATCH($A152,'Suivi EPP'!$A$6:$A$505,0))&amp;" "&amp;INDEX('Suivi EPP'!$C$6:$C$505,MATCH($A152,'Suivi EPP'!$A$6:$A$505,0)),"Matricule inconnu"))</f>
        <v/>
      </c>
      <c r="C152" s="40"/>
      <c r="D152" s="39"/>
      <c r="E152" s="39"/>
      <c r="F152" s="39"/>
      <c r="G152" s="39"/>
      <c r="H152" s="39"/>
    </row>
    <row r="153" customFormat="false" ht="15" hidden="false" customHeight="false" outlineLevel="0" collapsed="false">
      <c r="A153" s="39"/>
      <c r="B153" s="44" t="str">
        <f aca="false">IF($A153="","",IFERROR(INDEX('Suivi EPP'!$B$6:$B$505,MATCH($A153,'Suivi EPP'!$A$6:$A$505,0))&amp;" "&amp;INDEX('Suivi EPP'!$C$6:$C$505,MATCH($A153,'Suivi EPP'!$A$6:$A$505,0)),"Matricule inconnu"))</f>
        <v/>
      </c>
      <c r="C153" s="40"/>
      <c r="D153" s="39"/>
      <c r="E153" s="39"/>
      <c r="F153" s="39"/>
      <c r="G153" s="39"/>
      <c r="H153" s="39"/>
    </row>
    <row r="154" customFormat="false" ht="15" hidden="false" customHeight="false" outlineLevel="0" collapsed="false">
      <c r="A154" s="39"/>
      <c r="B154" s="44" t="str">
        <f aca="false">IF($A154="","",IFERROR(INDEX('Suivi EPP'!$B$6:$B$505,MATCH($A154,'Suivi EPP'!$A$6:$A$505,0))&amp;" "&amp;INDEX('Suivi EPP'!$C$6:$C$505,MATCH($A154,'Suivi EPP'!$A$6:$A$505,0)),"Matricule inconnu"))</f>
        <v/>
      </c>
      <c r="C154" s="40"/>
      <c r="D154" s="39"/>
      <c r="E154" s="39"/>
      <c r="F154" s="39"/>
      <c r="G154" s="39"/>
      <c r="H154" s="39"/>
    </row>
    <row r="155" customFormat="false" ht="15" hidden="false" customHeight="false" outlineLevel="0" collapsed="false">
      <c r="A155" s="39"/>
      <c r="B155" s="44" t="str">
        <f aca="false">IF($A155="","",IFERROR(INDEX('Suivi EPP'!$B$6:$B$505,MATCH($A155,'Suivi EPP'!$A$6:$A$505,0))&amp;" "&amp;INDEX('Suivi EPP'!$C$6:$C$505,MATCH($A155,'Suivi EPP'!$A$6:$A$505,0)),"Matricule inconnu"))</f>
        <v/>
      </c>
      <c r="C155" s="40"/>
      <c r="D155" s="39"/>
      <c r="E155" s="39"/>
      <c r="F155" s="39"/>
      <c r="G155" s="39"/>
      <c r="H155" s="39"/>
    </row>
    <row r="156" customFormat="false" ht="15" hidden="false" customHeight="false" outlineLevel="0" collapsed="false">
      <c r="A156" s="39"/>
      <c r="B156" s="44" t="str">
        <f aca="false">IF($A156="","",IFERROR(INDEX('Suivi EPP'!$B$6:$B$505,MATCH($A156,'Suivi EPP'!$A$6:$A$505,0))&amp;" "&amp;INDEX('Suivi EPP'!$C$6:$C$505,MATCH($A156,'Suivi EPP'!$A$6:$A$505,0)),"Matricule inconnu"))</f>
        <v/>
      </c>
      <c r="C156" s="40"/>
      <c r="D156" s="39"/>
      <c r="E156" s="39"/>
      <c r="F156" s="39"/>
      <c r="G156" s="39"/>
      <c r="H156" s="39"/>
    </row>
    <row r="157" customFormat="false" ht="15" hidden="false" customHeight="false" outlineLevel="0" collapsed="false">
      <c r="A157" s="39"/>
      <c r="B157" s="44" t="str">
        <f aca="false">IF($A157="","",IFERROR(INDEX('Suivi EPP'!$B$6:$B$505,MATCH($A157,'Suivi EPP'!$A$6:$A$505,0))&amp;" "&amp;INDEX('Suivi EPP'!$C$6:$C$505,MATCH($A157,'Suivi EPP'!$A$6:$A$505,0)),"Matricule inconnu"))</f>
        <v/>
      </c>
      <c r="C157" s="40"/>
      <c r="D157" s="39"/>
      <c r="E157" s="39"/>
      <c r="F157" s="39"/>
      <c r="G157" s="39"/>
      <c r="H157" s="39"/>
    </row>
    <row r="158" customFormat="false" ht="15" hidden="false" customHeight="false" outlineLevel="0" collapsed="false">
      <c r="A158" s="39"/>
      <c r="B158" s="44" t="str">
        <f aca="false">IF($A158="","",IFERROR(INDEX('Suivi EPP'!$B$6:$B$505,MATCH($A158,'Suivi EPP'!$A$6:$A$505,0))&amp;" "&amp;INDEX('Suivi EPP'!$C$6:$C$505,MATCH($A158,'Suivi EPP'!$A$6:$A$505,0)),"Matricule inconnu"))</f>
        <v/>
      </c>
      <c r="C158" s="40"/>
      <c r="D158" s="39"/>
      <c r="E158" s="39"/>
      <c r="F158" s="39"/>
      <c r="G158" s="39"/>
      <c r="H158" s="39"/>
    </row>
    <row r="159" customFormat="false" ht="15" hidden="false" customHeight="false" outlineLevel="0" collapsed="false">
      <c r="A159" s="39"/>
      <c r="B159" s="44" t="str">
        <f aca="false">IF($A159="","",IFERROR(INDEX('Suivi EPP'!$B$6:$B$505,MATCH($A159,'Suivi EPP'!$A$6:$A$505,0))&amp;" "&amp;INDEX('Suivi EPP'!$C$6:$C$505,MATCH($A159,'Suivi EPP'!$A$6:$A$505,0)),"Matricule inconnu"))</f>
        <v/>
      </c>
      <c r="C159" s="40"/>
      <c r="D159" s="39"/>
      <c r="E159" s="39"/>
      <c r="F159" s="39"/>
      <c r="G159" s="39"/>
      <c r="H159" s="39"/>
    </row>
    <row r="160" customFormat="false" ht="15" hidden="false" customHeight="false" outlineLevel="0" collapsed="false">
      <c r="A160" s="39"/>
      <c r="B160" s="44" t="str">
        <f aca="false">IF($A160="","",IFERROR(INDEX('Suivi EPP'!$B$6:$B$505,MATCH($A160,'Suivi EPP'!$A$6:$A$505,0))&amp;" "&amp;INDEX('Suivi EPP'!$C$6:$C$505,MATCH($A160,'Suivi EPP'!$A$6:$A$505,0)),"Matricule inconnu"))</f>
        <v/>
      </c>
      <c r="C160" s="40"/>
      <c r="D160" s="39"/>
      <c r="E160" s="39"/>
      <c r="F160" s="39"/>
      <c r="G160" s="39"/>
      <c r="H160" s="39"/>
    </row>
    <row r="161" customFormat="false" ht="15" hidden="false" customHeight="false" outlineLevel="0" collapsed="false">
      <c r="A161" s="39"/>
      <c r="B161" s="44" t="str">
        <f aca="false">IF($A161="","",IFERROR(INDEX('Suivi EPP'!$B$6:$B$505,MATCH($A161,'Suivi EPP'!$A$6:$A$505,0))&amp;" "&amp;INDEX('Suivi EPP'!$C$6:$C$505,MATCH($A161,'Suivi EPP'!$A$6:$A$505,0)),"Matricule inconnu"))</f>
        <v/>
      </c>
      <c r="C161" s="40"/>
      <c r="D161" s="39"/>
      <c r="E161" s="39"/>
      <c r="F161" s="39"/>
      <c r="G161" s="39"/>
      <c r="H161" s="39"/>
    </row>
    <row r="162" customFormat="false" ht="15" hidden="false" customHeight="false" outlineLevel="0" collapsed="false">
      <c r="A162" s="39"/>
      <c r="B162" s="44" t="str">
        <f aca="false">IF($A162="","",IFERROR(INDEX('Suivi EPP'!$B$6:$B$505,MATCH($A162,'Suivi EPP'!$A$6:$A$505,0))&amp;" "&amp;INDEX('Suivi EPP'!$C$6:$C$505,MATCH($A162,'Suivi EPP'!$A$6:$A$505,0)),"Matricule inconnu"))</f>
        <v/>
      </c>
      <c r="C162" s="40"/>
      <c r="D162" s="39"/>
      <c r="E162" s="39"/>
      <c r="F162" s="39"/>
      <c r="G162" s="39"/>
      <c r="H162" s="39"/>
    </row>
    <row r="163" customFormat="false" ht="15" hidden="false" customHeight="false" outlineLevel="0" collapsed="false">
      <c r="A163" s="39"/>
      <c r="B163" s="44" t="str">
        <f aca="false">IF($A163="","",IFERROR(INDEX('Suivi EPP'!$B$6:$B$505,MATCH($A163,'Suivi EPP'!$A$6:$A$505,0))&amp;" "&amp;INDEX('Suivi EPP'!$C$6:$C$505,MATCH($A163,'Suivi EPP'!$A$6:$A$505,0)),"Matricule inconnu"))</f>
        <v/>
      </c>
      <c r="C163" s="40"/>
      <c r="D163" s="39"/>
      <c r="E163" s="39"/>
      <c r="F163" s="39"/>
      <c r="G163" s="39"/>
      <c r="H163" s="39"/>
    </row>
    <row r="164" customFormat="false" ht="15" hidden="false" customHeight="false" outlineLevel="0" collapsed="false">
      <c r="A164" s="39"/>
      <c r="B164" s="44" t="str">
        <f aca="false">IF($A164="","",IFERROR(INDEX('Suivi EPP'!$B$6:$B$505,MATCH($A164,'Suivi EPP'!$A$6:$A$505,0))&amp;" "&amp;INDEX('Suivi EPP'!$C$6:$C$505,MATCH($A164,'Suivi EPP'!$A$6:$A$505,0)),"Matricule inconnu"))</f>
        <v/>
      </c>
      <c r="C164" s="40"/>
      <c r="D164" s="39"/>
      <c r="E164" s="39"/>
      <c r="F164" s="39"/>
      <c r="G164" s="39"/>
      <c r="H164" s="39"/>
    </row>
    <row r="165" customFormat="false" ht="15" hidden="false" customHeight="false" outlineLevel="0" collapsed="false">
      <c r="A165" s="39"/>
      <c r="B165" s="44" t="str">
        <f aca="false">IF($A165="","",IFERROR(INDEX('Suivi EPP'!$B$6:$B$505,MATCH($A165,'Suivi EPP'!$A$6:$A$505,0))&amp;" "&amp;INDEX('Suivi EPP'!$C$6:$C$505,MATCH($A165,'Suivi EPP'!$A$6:$A$505,0)),"Matricule inconnu"))</f>
        <v/>
      </c>
      <c r="C165" s="40"/>
      <c r="D165" s="39"/>
      <c r="E165" s="39"/>
      <c r="F165" s="39"/>
      <c r="G165" s="39"/>
      <c r="H165" s="39"/>
    </row>
    <row r="166" customFormat="false" ht="15" hidden="false" customHeight="false" outlineLevel="0" collapsed="false">
      <c r="A166" s="39"/>
      <c r="B166" s="44" t="str">
        <f aca="false">IF($A166="","",IFERROR(INDEX('Suivi EPP'!$B$6:$B$505,MATCH($A166,'Suivi EPP'!$A$6:$A$505,0))&amp;" "&amp;INDEX('Suivi EPP'!$C$6:$C$505,MATCH($A166,'Suivi EPP'!$A$6:$A$505,0)),"Matricule inconnu"))</f>
        <v/>
      </c>
      <c r="C166" s="40"/>
      <c r="D166" s="39"/>
      <c r="E166" s="39"/>
      <c r="F166" s="39"/>
      <c r="G166" s="39"/>
      <c r="H166" s="39"/>
    </row>
    <row r="167" customFormat="false" ht="15" hidden="false" customHeight="false" outlineLevel="0" collapsed="false">
      <c r="A167" s="39"/>
      <c r="B167" s="44" t="str">
        <f aca="false">IF($A167="","",IFERROR(INDEX('Suivi EPP'!$B$6:$B$505,MATCH($A167,'Suivi EPP'!$A$6:$A$505,0))&amp;" "&amp;INDEX('Suivi EPP'!$C$6:$C$505,MATCH($A167,'Suivi EPP'!$A$6:$A$505,0)),"Matricule inconnu"))</f>
        <v/>
      </c>
      <c r="C167" s="40"/>
      <c r="D167" s="39"/>
      <c r="E167" s="39"/>
      <c r="F167" s="39"/>
      <c r="G167" s="39"/>
      <c r="H167" s="39"/>
    </row>
    <row r="168" customFormat="false" ht="15" hidden="false" customHeight="false" outlineLevel="0" collapsed="false">
      <c r="A168" s="39"/>
      <c r="B168" s="44" t="str">
        <f aca="false">IF($A168="","",IFERROR(INDEX('Suivi EPP'!$B$6:$B$505,MATCH($A168,'Suivi EPP'!$A$6:$A$505,0))&amp;" "&amp;INDEX('Suivi EPP'!$C$6:$C$505,MATCH($A168,'Suivi EPP'!$A$6:$A$505,0)),"Matricule inconnu"))</f>
        <v/>
      </c>
      <c r="C168" s="40"/>
      <c r="D168" s="39"/>
      <c r="E168" s="39"/>
      <c r="F168" s="39"/>
      <c r="G168" s="39"/>
      <c r="H168" s="39"/>
    </row>
    <row r="169" customFormat="false" ht="15" hidden="false" customHeight="false" outlineLevel="0" collapsed="false">
      <c r="A169" s="39"/>
      <c r="B169" s="44" t="str">
        <f aca="false">IF($A169="","",IFERROR(INDEX('Suivi EPP'!$B$6:$B$505,MATCH($A169,'Suivi EPP'!$A$6:$A$505,0))&amp;" "&amp;INDEX('Suivi EPP'!$C$6:$C$505,MATCH($A169,'Suivi EPP'!$A$6:$A$505,0)),"Matricule inconnu"))</f>
        <v/>
      </c>
      <c r="C169" s="40"/>
      <c r="D169" s="39"/>
      <c r="E169" s="39"/>
      <c r="F169" s="39"/>
      <c r="G169" s="39"/>
      <c r="H169" s="39"/>
    </row>
    <row r="170" customFormat="false" ht="15" hidden="false" customHeight="false" outlineLevel="0" collapsed="false">
      <c r="A170" s="39"/>
      <c r="B170" s="44" t="str">
        <f aca="false">IF($A170="","",IFERROR(INDEX('Suivi EPP'!$B$6:$B$505,MATCH($A170,'Suivi EPP'!$A$6:$A$505,0))&amp;" "&amp;INDEX('Suivi EPP'!$C$6:$C$505,MATCH($A170,'Suivi EPP'!$A$6:$A$505,0)),"Matricule inconnu"))</f>
        <v/>
      </c>
      <c r="C170" s="40"/>
      <c r="D170" s="39"/>
      <c r="E170" s="39"/>
      <c r="F170" s="39"/>
      <c r="G170" s="39"/>
      <c r="H170" s="39"/>
    </row>
    <row r="171" customFormat="false" ht="15" hidden="false" customHeight="false" outlineLevel="0" collapsed="false">
      <c r="A171" s="39"/>
      <c r="B171" s="44" t="str">
        <f aca="false">IF($A171="","",IFERROR(INDEX('Suivi EPP'!$B$6:$B$505,MATCH($A171,'Suivi EPP'!$A$6:$A$505,0))&amp;" "&amp;INDEX('Suivi EPP'!$C$6:$C$505,MATCH($A171,'Suivi EPP'!$A$6:$A$505,0)),"Matricule inconnu"))</f>
        <v/>
      </c>
      <c r="C171" s="40"/>
      <c r="D171" s="39"/>
      <c r="E171" s="39"/>
      <c r="F171" s="39"/>
      <c r="G171" s="39"/>
      <c r="H171" s="39"/>
    </row>
    <row r="172" customFormat="false" ht="15" hidden="false" customHeight="false" outlineLevel="0" collapsed="false">
      <c r="A172" s="39"/>
      <c r="B172" s="44" t="str">
        <f aca="false">IF($A172="","",IFERROR(INDEX('Suivi EPP'!$B$6:$B$505,MATCH($A172,'Suivi EPP'!$A$6:$A$505,0))&amp;" "&amp;INDEX('Suivi EPP'!$C$6:$C$505,MATCH($A172,'Suivi EPP'!$A$6:$A$505,0)),"Matricule inconnu"))</f>
        <v/>
      </c>
      <c r="C172" s="40"/>
      <c r="D172" s="39"/>
      <c r="E172" s="39"/>
      <c r="F172" s="39"/>
      <c r="G172" s="39"/>
      <c r="H172" s="39"/>
    </row>
    <row r="173" customFormat="false" ht="15" hidden="false" customHeight="false" outlineLevel="0" collapsed="false">
      <c r="A173" s="39"/>
      <c r="B173" s="44" t="str">
        <f aca="false">IF($A173="","",IFERROR(INDEX('Suivi EPP'!$B$6:$B$505,MATCH($A173,'Suivi EPP'!$A$6:$A$505,0))&amp;" "&amp;INDEX('Suivi EPP'!$C$6:$C$505,MATCH($A173,'Suivi EPP'!$A$6:$A$505,0)),"Matricule inconnu"))</f>
        <v/>
      </c>
      <c r="C173" s="40"/>
      <c r="D173" s="39"/>
      <c r="E173" s="39"/>
      <c r="F173" s="39"/>
      <c r="G173" s="39"/>
      <c r="H173" s="39"/>
    </row>
    <row r="174" customFormat="false" ht="15" hidden="false" customHeight="false" outlineLevel="0" collapsed="false">
      <c r="A174" s="39"/>
      <c r="B174" s="44" t="str">
        <f aca="false">IF($A174="","",IFERROR(INDEX('Suivi EPP'!$B$6:$B$505,MATCH($A174,'Suivi EPP'!$A$6:$A$505,0))&amp;" "&amp;INDEX('Suivi EPP'!$C$6:$C$505,MATCH($A174,'Suivi EPP'!$A$6:$A$505,0)),"Matricule inconnu"))</f>
        <v/>
      </c>
      <c r="C174" s="40"/>
      <c r="D174" s="39"/>
      <c r="E174" s="39"/>
      <c r="F174" s="39"/>
      <c r="G174" s="39"/>
      <c r="H174" s="39"/>
    </row>
    <row r="175" customFormat="false" ht="15" hidden="false" customHeight="false" outlineLevel="0" collapsed="false">
      <c r="A175" s="39"/>
      <c r="B175" s="44" t="str">
        <f aca="false">IF($A175="","",IFERROR(INDEX('Suivi EPP'!$B$6:$B$505,MATCH($A175,'Suivi EPP'!$A$6:$A$505,0))&amp;" "&amp;INDEX('Suivi EPP'!$C$6:$C$505,MATCH($A175,'Suivi EPP'!$A$6:$A$505,0)),"Matricule inconnu"))</f>
        <v/>
      </c>
      <c r="C175" s="40"/>
      <c r="D175" s="39"/>
      <c r="E175" s="39"/>
      <c r="F175" s="39"/>
      <c r="G175" s="39"/>
      <c r="H175" s="39"/>
    </row>
    <row r="176" customFormat="false" ht="15" hidden="false" customHeight="false" outlineLevel="0" collapsed="false">
      <c r="A176" s="39"/>
      <c r="B176" s="44" t="str">
        <f aca="false">IF($A176="","",IFERROR(INDEX('Suivi EPP'!$B$6:$B$505,MATCH($A176,'Suivi EPP'!$A$6:$A$505,0))&amp;" "&amp;INDEX('Suivi EPP'!$C$6:$C$505,MATCH($A176,'Suivi EPP'!$A$6:$A$505,0)),"Matricule inconnu"))</f>
        <v/>
      </c>
      <c r="C176" s="40"/>
      <c r="D176" s="39"/>
      <c r="E176" s="39"/>
      <c r="F176" s="39"/>
      <c r="G176" s="39"/>
      <c r="H176" s="39"/>
    </row>
    <row r="177" customFormat="false" ht="15" hidden="false" customHeight="false" outlineLevel="0" collapsed="false">
      <c r="A177" s="39"/>
      <c r="B177" s="44" t="str">
        <f aca="false">IF($A177="","",IFERROR(INDEX('Suivi EPP'!$B$6:$B$505,MATCH($A177,'Suivi EPP'!$A$6:$A$505,0))&amp;" "&amp;INDEX('Suivi EPP'!$C$6:$C$505,MATCH($A177,'Suivi EPP'!$A$6:$A$505,0)),"Matricule inconnu"))</f>
        <v/>
      </c>
      <c r="C177" s="40"/>
      <c r="D177" s="39"/>
      <c r="E177" s="39"/>
      <c r="F177" s="39"/>
      <c r="G177" s="39"/>
      <c r="H177" s="39"/>
    </row>
    <row r="178" customFormat="false" ht="15" hidden="false" customHeight="false" outlineLevel="0" collapsed="false">
      <c r="A178" s="39"/>
      <c r="B178" s="44" t="str">
        <f aca="false">IF($A178="","",IFERROR(INDEX('Suivi EPP'!$B$6:$B$505,MATCH($A178,'Suivi EPP'!$A$6:$A$505,0))&amp;" "&amp;INDEX('Suivi EPP'!$C$6:$C$505,MATCH($A178,'Suivi EPP'!$A$6:$A$505,0)),"Matricule inconnu"))</f>
        <v/>
      </c>
      <c r="C178" s="40"/>
      <c r="D178" s="39"/>
      <c r="E178" s="39"/>
      <c r="F178" s="39"/>
      <c r="G178" s="39"/>
      <c r="H178" s="39"/>
    </row>
    <row r="179" customFormat="false" ht="15" hidden="false" customHeight="false" outlineLevel="0" collapsed="false">
      <c r="A179" s="39"/>
      <c r="B179" s="44" t="str">
        <f aca="false">IF($A179="","",IFERROR(INDEX('Suivi EPP'!$B$6:$B$505,MATCH($A179,'Suivi EPP'!$A$6:$A$505,0))&amp;" "&amp;INDEX('Suivi EPP'!$C$6:$C$505,MATCH($A179,'Suivi EPP'!$A$6:$A$505,0)),"Matricule inconnu"))</f>
        <v/>
      </c>
      <c r="C179" s="40"/>
      <c r="D179" s="39"/>
      <c r="E179" s="39"/>
      <c r="F179" s="39"/>
      <c r="G179" s="39"/>
      <c r="H179" s="39"/>
    </row>
    <row r="180" customFormat="false" ht="15" hidden="false" customHeight="false" outlineLevel="0" collapsed="false">
      <c r="A180" s="39"/>
      <c r="B180" s="44" t="str">
        <f aca="false">IF($A180="","",IFERROR(INDEX('Suivi EPP'!$B$6:$B$505,MATCH($A180,'Suivi EPP'!$A$6:$A$505,0))&amp;" "&amp;INDEX('Suivi EPP'!$C$6:$C$505,MATCH($A180,'Suivi EPP'!$A$6:$A$505,0)),"Matricule inconnu"))</f>
        <v/>
      </c>
      <c r="C180" s="40"/>
      <c r="D180" s="39"/>
      <c r="E180" s="39"/>
      <c r="F180" s="39"/>
      <c r="G180" s="39"/>
      <c r="H180" s="39"/>
    </row>
    <row r="181" customFormat="false" ht="15" hidden="false" customHeight="false" outlineLevel="0" collapsed="false">
      <c r="A181" s="39"/>
      <c r="B181" s="44" t="str">
        <f aca="false">IF($A181="","",IFERROR(INDEX('Suivi EPP'!$B$6:$B$505,MATCH($A181,'Suivi EPP'!$A$6:$A$505,0))&amp;" "&amp;INDEX('Suivi EPP'!$C$6:$C$505,MATCH($A181,'Suivi EPP'!$A$6:$A$505,0)),"Matricule inconnu"))</f>
        <v/>
      </c>
      <c r="C181" s="40"/>
      <c r="D181" s="39"/>
      <c r="E181" s="39"/>
      <c r="F181" s="39"/>
      <c r="G181" s="39"/>
      <c r="H181" s="39"/>
    </row>
    <row r="182" customFormat="false" ht="15" hidden="false" customHeight="false" outlineLevel="0" collapsed="false">
      <c r="A182" s="39"/>
      <c r="B182" s="44" t="str">
        <f aca="false">IF($A182="","",IFERROR(INDEX('Suivi EPP'!$B$6:$B$505,MATCH($A182,'Suivi EPP'!$A$6:$A$505,0))&amp;" "&amp;INDEX('Suivi EPP'!$C$6:$C$505,MATCH($A182,'Suivi EPP'!$A$6:$A$505,0)),"Matricule inconnu"))</f>
        <v/>
      </c>
      <c r="C182" s="40"/>
      <c r="D182" s="39"/>
      <c r="E182" s="39"/>
      <c r="F182" s="39"/>
      <c r="G182" s="39"/>
      <c r="H182" s="39"/>
    </row>
    <row r="183" customFormat="false" ht="15" hidden="false" customHeight="false" outlineLevel="0" collapsed="false">
      <c r="A183" s="39"/>
      <c r="B183" s="44" t="str">
        <f aca="false">IF($A183="","",IFERROR(INDEX('Suivi EPP'!$B$6:$B$505,MATCH($A183,'Suivi EPP'!$A$6:$A$505,0))&amp;" "&amp;INDEX('Suivi EPP'!$C$6:$C$505,MATCH($A183,'Suivi EPP'!$A$6:$A$505,0)),"Matricule inconnu"))</f>
        <v/>
      </c>
      <c r="C183" s="40"/>
      <c r="D183" s="39"/>
      <c r="E183" s="39"/>
      <c r="F183" s="39"/>
      <c r="G183" s="39"/>
      <c r="H183" s="39"/>
    </row>
    <row r="184" customFormat="false" ht="15" hidden="false" customHeight="false" outlineLevel="0" collapsed="false">
      <c r="A184" s="39"/>
      <c r="B184" s="44" t="str">
        <f aca="false">IF($A184="","",IFERROR(INDEX('Suivi EPP'!$B$6:$B$505,MATCH($A184,'Suivi EPP'!$A$6:$A$505,0))&amp;" "&amp;INDEX('Suivi EPP'!$C$6:$C$505,MATCH($A184,'Suivi EPP'!$A$6:$A$505,0)),"Matricule inconnu"))</f>
        <v/>
      </c>
      <c r="C184" s="40"/>
      <c r="D184" s="39"/>
      <c r="E184" s="39"/>
      <c r="F184" s="39"/>
      <c r="G184" s="39"/>
      <c r="H184" s="39"/>
    </row>
    <row r="185" customFormat="false" ht="15" hidden="false" customHeight="false" outlineLevel="0" collapsed="false">
      <c r="A185" s="39"/>
      <c r="B185" s="44" t="str">
        <f aca="false">IF($A185="","",IFERROR(INDEX('Suivi EPP'!$B$6:$B$505,MATCH($A185,'Suivi EPP'!$A$6:$A$505,0))&amp;" "&amp;INDEX('Suivi EPP'!$C$6:$C$505,MATCH($A185,'Suivi EPP'!$A$6:$A$505,0)),"Matricule inconnu"))</f>
        <v/>
      </c>
      <c r="C185" s="40"/>
      <c r="D185" s="39"/>
      <c r="E185" s="39"/>
      <c r="F185" s="39"/>
      <c r="G185" s="39"/>
      <c r="H185" s="39"/>
    </row>
    <row r="186" customFormat="false" ht="15" hidden="false" customHeight="false" outlineLevel="0" collapsed="false">
      <c r="A186" s="39"/>
      <c r="B186" s="44" t="str">
        <f aca="false">IF($A186="","",IFERROR(INDEX('Suivi EPP'!$B$6:$B$505,MATCH($A186,'Suivi EPP'!$A$6:$A$505,0))&amp;" "&amp;INDEX('Suivi EPP'!$C$6:$C$505,MATCH($A186,'Suivi EPP'!$A$6:$A$505,0)),"Matricule inconnu"))</f>
        <v/>
      </c>
      <c r="C186" s="40"/>
      <c r="D186" s="39"/>
      <c r="E186" s="39"/>
      <c r="F186" s="39"/>
      <c r="G186" s="39"/>
      <c r="H186" s="39"/>
    </row>
    <row r="187" customFormat="false" ht="15" hidden="false" customHeight="false" outlineLevel="0" collapsed="false">
      <c r="A187" s="39"/>
      <c r="B187" s="44" t="str">
        <f aca="false">IF($A187="","",IFERROR(INDEX('Suivi EPP'!$B$6:$B$505,MATCH($A187,'Suivi EPP'!$A$6:$A$505,0))&amp;" "&amp;INDEX('Suivi EPP'!$C$6:$C$505,MATCH($A187,'Suivi EPP'!$A$6:$A$505,0)),"Matricule inconnu"))</f>
        <v/>
      </c>
      <c r="C187" s="40"/>
      <c r="D187" s="39"/>
      <c r="E187" s="39"/>
      <c r="F187" s="39"/>
      <c r="G187" s="39"/>
      <c r="H187" s="39"/>
    </row>
    <row r="188" customFormat="false" ht="15" hidden="false" customHeight="false" outlineLevel="0" collapsed="false">
      <c r="A188" s="39"/>
      <c r="B188" s="44" t="str">
        <f aca="false">IF($A188="","",IFERROR(INDEX('Suivi EPP'!$B$6:$B$505,MATCH($A188,'Suivi EPP'!$A$6:$A$505,0))&amp;" "&amp;INDEX('Suivi EPP'!$C$6:$C$505,MATCH($A188,'Suivi EPP'!$A$6:$A$505,0)),"Matricule inconnu"))</f>
        <v/>
      </c>
      <c r="C188" s="40"/>
      <c r="D188" s="39"/>
      <c r="E188" s="39"/>
      <c r="F188" s="39"/>
      <c r="G188" s="39"/>
      <c r="H188" s="39"/>
    </row>
    <row r="189" customFormat="false" ht="15" hidden="false" customHeight="false" outlineLevel="0" collapsed="false">
      <c r="A189" s="39"/>
      <c r="B189" s="44" t="str">
        <f aca="false">IF($A189="","",IFERROR(INDEX('Suivi EPP'!$B$6:$B$505,MATCH($A189,'Suivi EPP'!$A$6:$A$505,0))&amp;" "&amp;INDEX('Suivi EPP'!$C$6:$C$505,MATCH($A189,'Suivi EPP'!$A$6:$A$505,0)),"Matricule inconnu"))</f>
        <v/>
      </c>
      <c r="C189" s="40"/>
      <c r="D189" s="39"/>
      <c r="E189" s="39"/>
      <c r="F189" s="39"/>
      <c r="G189" s="39"/>
      <c r="H189" s="39"/>
    </row>
    <row r="190" customFormat="false" ht="15" hidden="false" customHeight="false" outlineLevel="0" collapsed="false">
      <c r="A190" s="39"/>
      <c r="B190" s="44" t="str">
        <f aca="false">IF($A190="","",IFERROR(INDEX('Suivi EPP'!$B$6:$B$505,MATCH($A190,'Suivi EPP'!$A$6:$A$505,0))&amp;" "&amp;INDEX('Suivi EPP'!$C$6:$C$505,MATCH($A190,'Suivi EPP'!$A$6:$A$505,0)),"Matricule inconnu"))</f>
        <v/>
      </c>
      <c r="C190" s="40"/>
      <c r="D190" s="39"/>
      <c r="E190" s="39"/>
      <c r="F190" s="39"/>
      <c r="G190" s="39"/>
      <c r="H190" s="39"/>
    </row>
    <row r="191" customFormat="false" ht="15" hidden="false" customHeight="false" outlineLevel="0" collapsed="false">
      <c r="A191" s="39"/>
      <c r="B191" s="44" t="str">
        <f aca="false">IF($A191="","",IFERROR(INDEX('Suivi EPP'!$B$6:$B$505,MATCH($A191,'Suivi EPP'!$A$6:$A$505,0))&amp;" "&amp;INDEX('Suivi EPP'!$C$6:$C$505,MATCH($A191,'Suivi EPP'!$A$6:$A$505,0)),"Matricule inconnu"))</f>
        <v/>
      </c>
      <c r="C191" s="40"/>
      <c r="D191" s="39"/>
      <c r="E191" s="39"/>
      <c r="F191" s="39"/>
      <c r="G191" s="39"/>
      <c r="H191" s="39"/>
    </row>
    <row r="192" customFormat="false" ht="15" hidden="false" customHeight="false" outlineLevel="0" collapsed="false">
      <c r="A192" s="39"/>
      <c r="B192" s="44" t="str">
        <f aca="false">IF($A192="","",IFERROR(INDEX('Suivi EPP'!$B$6:$B$505,MATCH($A192,'Suivi EPP'!$A$6:$A$505,0))&amp;" "&amp;INDEX('Suivi EPP'!$C$6:$C$505,MATCH($A192,'Suivi EPP'!$A$6:$A$505,0)),"Matricule inconnu"))</f>
        <v/>
      </c>
      <c r="C192" s="40"/>
      <c r="D192" s="39"/>
      <c r="E192" s="39"/>
      <c r="F192" s="39"/>
      <c r="G192" s="39"/>
      <c r="H192" s="39"/>
    </row>
    <row r="193" customFormat="false" ht="15" hidden="false" customHeight="false" outlineLevel="0" collapsed="false">
      <c r="A193" s="39"/>
      <c r="B193" s="44" t="str">
        <f aca="false">IF($A193="","",IFERROR(INDEX('Suivi EPP'!$B$6:$B$505,MATCH($A193,'Suivi EPP'!$A$6:$A$505,0))&amp;" "&amp;INDEX('Suivi EPP'!$C$6:$C$505,MATCH($A193,'Suivi EPP'!$A$6:$A$505,0)),"Matricule inconnu"))</f>
        <v/>
      </c>
      <c r="C193" s="40"/>
      <c r="D193" s="39"/>
      <c r="E193" s="39"/>
      <c r="F193" s="39"/>
      <c r="G193" s="39"/>
      <c r="H193" s="39"/>
    </row>
    <row r="194" customFormat="false" ht="15" hidden="false" customHeight="false" outlineLevel="0" collapsed="false">
      <c r="A194" s="39"/>
      <c r="B194" s="44" t="str">
        <f aca="false">IF($A194="","",IFERROR(INDEX('Suivi EPP'!$B$6:$B$505,MATCH($A194,'Suivi EPP'!$A$6:$A$505,0))&amp;" "&amp;INDEX('Suivi EPP'!$C$6:$C$505,MATCH($A194,'Suivi EPP'!$A$6:$A$505,0)),"Matricule inconnu"))</f>
        <v/>
      </c>
      <c r="C194" s="40"/>
      <c r="D194" s="39"/>
      <c r="E194" s="39"/>
      <c r="F194" s="39"/>
      <c r="G194" s="39"/>
      <c r="H194" s="39"/>
    </row>
    <row r="195" customFormat="false" ht="15" hidden="false" customHeight="false" outlineLevel="0" collapsed="false">
      <c r="A195" s="39"/>
      <c r="B195" s="44" t="str">
        <f aca="false">IF($A195="","",IFERROR(INDEX('Suivi EPP'!$B$6:$B$505,MATCH($A195,'Suivi EPP'!$A$6:$A$505,0))&amp;" "&amp;INDEX('Suivi EPP'!$C$6:$C$505,MATCH($A195,'Suivi EPP'!$A$6:$A$505,0)),"Matricule inconnu"))</f>
        <v/>
      </c>
      <c r="C195" s="40"/>
      <c r="D195" s="39"/>
      <c r="E195" s="39"/>
      <c r="F195" s="39"/>
      <c r="G195" s="39"/>
      <c r="H195" s="39"/>
    </row>
    <row r="196" customFormat="false" ht="15" hidden="false" customHeight="false" outlineLevel="0" collapsed="false">
      <c r="A196" s="39"/>
      <c r="B196" s="44" t="str">
        <f aca="false">IF($A196="","",IFERROR(INDEX('Suivi EPP'!$B$6:$B$505,MATCH($A196,'Suivi EPP'!$A$6:$A$505,0))&amp;" "&amp;INDEX('Suivi EPP'!$C$6:$C$505,MATCH($A196,'Suivi EPP'!$A$6:$A$505,0)),"Matricule inconnu"))</f>
        <v/>
      </c>
      <c r="C196" s="40"/>
      <c r="D196" s="39"/>
      <c r="E196" s="39"/>
      <c r="F196" s="39"/>
      <c r="G196" s="39"/>
      <c r="H196" s="39"/>
    </row>
    <row r="197" customFormat="false" ht="15" hidden="false" customHeight="false" outlineLevel="0" collapsed="false">
      <c r="A197" s="39"/>
      <c r="B197" s="44" t="str">
        <f aca="false">IF($A197="","",IFERROR(INDEX('Suivi EPP'!$B$6:$B$505,MATCH($A197,'Suivi EPP'!$A$6:$A$505,0))&amp;" "&amp;INDEX('Suivi EPP'!$C$6:$C$505,MATCH($A197,'Suivi EPP'!$A$6:$A$505,0)),"Matricule inconnu"))</f>
        <v/>
      </c>
      <c r="C197" s="40"/>
      <c r="D197" s="39"/>
      <c r="E197" s="39"/>
      <c r="F197" s="39"/>
      <c r="G197" s="39"/>
      <c r="H197" s="39"/>
    </row>
    <row r="198" customFormat="false" ht="15" hidden="false" customHeight="false" outlineLevel="0" collapsed="false">
      <c r="A198" s="39"/>
      <c r="B198" s="44" t="str">
        <f aca="false">IF($A198="","",IFERROR(INDEX('Suivi EPP'!$B$6:$B$505,MATCH($A198,'Suivi EPP'!$A$6:$A$505,0))&amp;" "&amp;INDEX('Suivi EPP'!$C$6:$C$505,MATCH($A198,'Suivi EPP'!$A$6:$A$505,0)),"Matricule inconnu"))</f>
        <v/>
      </c>
      <c r="C198" s="40"/>
      <c r="D198" s="39"/>
      <c r="E198" s="39"/>
      <c r="F198" s="39"/>
      <c r="G198" s="39"/>
      <c r="H198" s="39"/>
    </row>
    <row r="199" customFormat="false" ht="15" hidden="false" customHeight="false" outlineLevel="0" collapsed="false">
      <c r="A199" s="39"/>
      <c r="B199" s="44" t="str">
        <f aca="false">IF($A199="","",IFERROR(INDEX('Suivi EPP'!$B$6:$B$505,MATCH($A199,'Suivi EPP'!$A$6:$A$505,0))&amp;" "&amp;INDEX('Suivi EPP'!$C$6:$C$505,MATCH($A199,'Suivi EPP'!$A$6:$A$505,0)),"Matricule inconnu"))</f>
        <v/>
      </c>
      <c r="C199" s="40"/>
      <c r="D199" s="39"/>
      <c r="E199" s="39"/>
      <c r="F199" s="39"/>
      <c r="G199" s="39"/>
      <c r="H199" s="39"/>
    </row>
    <row r="200" customFormat="false" ht="15" hidden="false" customHeight="false" outlineLevel="0" collapsed="false">
      <c r="A200" s="39"/>
      <c r="B200" s="44" t="str">
        <f aca="false">IF($A200="","",IFERROR(INDEX('Suivi EPP'!$B$6:$B$505,MATCH($A200,'Suivi EPP'!$A$6:$A$505,0))&amp;" "&amp;INDEX('Suivi EPP'!$C$6:$C$505,MATCH($A200,'Suivi EPP'!$A$6:$A$505,0)),"Matricule inconnu"))</f>
        <v/>
      </c>
      <c r="C200" s="40"/>
      <c r="D200" s="39"/>
      <c r="E200" s="39"/>
      <c r="F200" s="39"/>
      <c r="G200" s="39"/>
      <c r="H200" s="39"/>
    </row>
    <row r="201" customFormat="false" ht="15" hidden="false" customHeight="false" outlineLevel="0" collapsed="false">
      <c r="A201" s="39"/>
      <c r="B201" s="44" t="str">
        <f aca="false">IF($A201="","",IFERROR(INDEX('Suivi EPP'!$B$6:$B$505,MATCH($A201,'Suivi EPP'!$A$6:$A$505,0))&amp;" "&amp;INDEX('Suivi EPP'!$C$6:$C$505,MATCH($A201,'Suivi EPP'!$A$6:$A$505,0)),"Matricule inconnu"))</f>
        <v/>
      </c>
      <c r="C201" s="40"/>
      <c r="D201" s="39"/>
      <c r="E201" s="39"/>
      <c r="F201" s="39"/>
      <c r="G201" s="39"/>
      <c r="H201" s="39"/>
    </row>
    <row r="202" customFormat="false" ht="15" hidden="false" customHeight="false" outlineLevel="0" collapsed="false">
      <c r="A202" s="39"/>
      <c r="B202" s="44" t="str">
        <f aca="false">IF($A202="","",IFERROR(INDEX('Suivi EPP'!$B$6:$B$505,MATCH($A202,'Suivi EPP'!$A$6:$A$505,0))&amp;" "&amp;INDEX('Suivi EPP'!$C$6:$C$505,MATCH($A202,'Suivi EPP'!$A$6:$A$505,0)),"Matricule inconnu"))</f>
        <v/>
      </c>
      <c r="C202" s="40"/>
      <c r="D202" s="39"/>
      <c r="E202" s="39"/>
      <c r="F202" s="39"/>
      <c r="G202" s="39"/>
      <c r="H202" s="39"/>
    </row>
    <row r="203" customFormat="false" ht="15" hidden="false" customHeight="false" outlineLevel="0" collapsed="false">
      <c r="A203" s="39"/>
      <c r="B203" s="44" t="str">
        <f aca="false">IF($A203="","",IFERROR(INDEX('Suivi EPP'!$B$6:$B$505,MATCH($A203,'Suivi EPP'!$A$6:$A$505,0))&amp;" "&amp;INDEX('Suivi EPP'!$C$6:$C$505,MATCH($A203,'Suivi EPP'!$A$6:$A$505,0)),"Matricule inconnu"))</f>
        <v/>
      </c>
      <c r="C203" s="40"/>
      <c r="D203" s="39"/>
      <c r="E203" s="39"/>
      <c r="F203" s="39"/>
      <c r="G203" s="39"/>
      <c r="H203" s="39"/>
    </row>
    <row r="204" customFormat="false" ht="15" hidden="false" customHeight="false" outlineLevel="0" collapsed="false">
      <c r="A204" s="39"/>
      <c r="B204" s="44" t="str">
        <f aca="false">IF($A204="","",IFERROR(INDEX('Suivi EPP'!$B$6:$B$505,MATCH($A204,'Suivi EPP'!$A$6:$A$505,0))&amp;" "&amp;INDEX('Suivi EPP'!$C$6:$C$505,MATCH($A204,'Suivi EPP'!$A$6:$A$505,0)),"Matricule inconnu"))</f>
        <v/>
      </c>
      <c r="C204" s="40"/>
      <c r="D204" s="39"/>
      <c r="E204" s="39"/>
      <c r="F204" s="39"/>
      <c r="G204" s="39"/>
      <c r="H204" s="39"/>
    </row>
    <row r="205" customFormat="false" ht="15" hidden="false" customHeight="false" outlineLevel="0" collapsed="false">
      <c r="A205" s="39"/>
      <c r="B205" s="44" t="str">
        <f aca="false">IF($A205="","",IFERROR(INDEX('Suivi EPP'!$B$6:$B$505,MATCH($A205,'Suivi EPP'!$A$6:$A$505,0))&amp;" "&amp;INDEX('Suivi EPP'!$C$6:$C$505,MATCH($A205,'Suivi EPP'!$A$6:$A$505,0)),"Matricule inconnu"))</f>
        <v/>
      </c>
      <c r="C205" s="40"/>
      <c r="D205" s="39"/>
      <c r="E205" s="39"/>
      <c r="F205" s="39"/>
      <c r="G205" s="39"/>
      <c r="H205" s="39"/>
    </row>
    <row r="206" customFormat="false" ht="15" hidden="false" customHeight="false" outlineLevel="0" collapsed="false">
      <c r="A206" s="39"/>
      <c r="B206" s="44" t="str">
        <f aca="false">IF($A206="","",IFERROR(INDEX('Suivi EPP'!$B$6:$B$505,MATCH($A206,'Suivi EPP'!$A$6:$A$505,0))&amp;" "&amp;INDEX('Suivi EPP'!$C$6:$C$505,MATCH($A206,'Suivi EPP'!$A$6:$A$505,0)),"Matricule inconnu"))</f>
        <v/>
      </c>
      <c r="C206" s="40"/>
      <c r="D206" s="39"/>
      <c r="E206" s="39"/>
      <c r="F206" s="39"/>
      <c r="G206" s="39"/>
      <c r="H206" s="39"/>
    </row>
    <row r="207" customFormat="false" ht="15" hidden="false" customHeight="false" outlineLevel="0" collapsed="false">
      <c r="A207" s="39"/>
      <c r="B207" s="44" t="str">
        <f aca="false">IF($A207="","",IFERROR(INDEX('Suivi EPP'!$B$6:$B$505,MATCH($A207,'Suivi EPP'!$A$6:$A$505,0))&amp;" "&amp;INDEX('Suivi EPP'!$C$6:$C$505,MATCH($A207,'Suivi EPP'!$A$6:$A$505,0)),"Matricule inconnu"))</f>
        <v/>
      </c>
      <c r="C207" s="40"/>
      <c r="D207" s="39"/>
      <c r="E207" s="39"/>
      <c r="F207" s="39"/>
      <c r="G207" s="39"/>
      <c r="H207" s="39"/>
    </row>
    <row r="208" customFormat="false" ht="15" hidden="false" customHeight="false" outlineLevel="0" collapsed="false">
      <c r="A208" s="39"/>
      <c r="B208" s="44" t="str">
        <f aca="false">IF($A208="","",IFERROR(INDEX('Suivi EPP'!$B$6:$B$505,MATCH($A208,'Suivi EPP'!$A$6:$A$505,0))&amp;" "&amp;INDEX('Suivi EPP'!$C$6:$C$505,MATCH($A208,'Suivi EPP'!$A$6:$A$505,0)),"Matricule inconnu"))</f>
        <v/>
      </c>
      <c r="C208" s="40"/>
      <c r="D208" s="39"/>
      <c r="E208" s="39"/>
      <c r="F208" s="39"/>
      <c r="G208" s="39"/>
      <c r="H208" s="39"/>
    </row>
    <row r="209" customFormat="false" ht="15" hidden="false" customHeight="false" outlineLevel="0" collapsed="false">
      <c r="A209" s="39"/>
      <c r="B209" s="44" t="str">
        <f aca="false">IF($A209="","",IFERROR(INDEX('Suivi EPP'!$B$6:$B$505,MATCH($A209,'Suivi EPP'!$A$6:$A$505,0))&amp;" "&amp;INDEX('Suivi EPP'!$C$6:$C$505,MATCH($A209,'Suivi EPP'!$A$6:$A$505,0)),"Matricule inconnu"))</f>
        <v/>
      </c>
      <c r="C209" s="40"/>
      <c r="D209" s="39"/>
      <c r="E209" s="39"/>
      <c r="F209" s="39"/>
      <c r="G209" s="39"/>
      <c r="H209" s="39"/>
    </row>
    <row r="210" customFormat="false" ht="15" hidden="false" customHeight="false" outlineLevel="0" collapsed="false">
      <c r="A210" s="39"/>
      <c r="B210" s="44" t="str">
        <f aca="false">IF($A210="","",IFERROR(INDEX('Suivi EPP'!$B$6:$B$505,MATCH($A210,'Suivi EPP'!$A$6:$A$505,0))&amp;" "&amp;INDEX('Suivi EPP'!$C$6:$C$505,MATCH($A210,'Suivi EPP'!$A$6:$A$505,0)),"Matricule inconnu"))</f>
        <v/>
      </c>
      <c r="C210" s="40"/>
      <c r="D210" s="39"/>
      <c r="E210" s="39"/>
      <c r="F210" s="39"/>
      <c r="G210" s="39"/>
      <c r="H210" s="39"/>
    </row>
    <row r="211" customFormat="false" ht="15" hidden="false" customHeight="false" outlineLevel="0" collapsed="false">
      <c r="A211" s="39"/>
      <c r="B211" s="44" t="str">
        <f aca="false">IF($A211="","",IFERROR(INDEX('Suivi EPP'!$B$6:$B$505,MATCH($A211,'Suivi EPP'!$A$6:$A$505,0))&amp;" "&amp;INDEX('Suivi EPP'!$C$6:$C$505,MATCH($A211,'Suivi EPP'!$A$6:$A$505,0)),"Matricule inconnu"))</f>
        <v/>
      </c>
      <c r="C211" s="40"/>
      <c r="D211" s="39"/>
      <c r="E211" s="39"/>
      <c r="F211" s="39"/>
      <c r="G211" s="39"/>
      <c r="H211" s="39"/>
    </row>
    <row r="212" customFormat="false" ht="15" hidden="false" customHeight="false" outlineLevel="0" collapsed="false">
      <c r="A212" s="39"/>
      <c r="B212" s="44" t="str">
        <f aca="false">IF($A212="","",IFERROR(INDEX('Suivi EPP'!$B$6:$B$505,MATCH($A212,'Suivi EPP'!$A$6:$A$505,0))&amp;" "&amp;INDEX('Suivi EPP'!$C$6:$C$505,MATCH($A212,'Suivi EPP'!$A$6:$A$505,0)),"Matricule inconnu"))</f>
        <v/>
      </c>
      <c r="C212" s="40"/>
      <c r="D212" s="39"/>
      <c r="E212" s="39"/>
      <c r="F212" s="39"/>
      <c r="G212" s="39"/>
      <c r="H212" s="39"/>
    </row>
    <row r="213" customFormat="false" ht="15" hidden="false" customHeight="false" outlineLevel="0" collapsed="false">
      <c r="A213" s="39"/>
      <c r="B213" s="44" t="str">
        <f aca="false">IF($A213="","",IFERROR(INDEX('Suivi EPP'!$B$6:$B$505,MATCH($A213,'Suivi EPP'!$A$6:$A$505,0))&amp;" "&amp;INDEX('Suivi EPP'!$C$6:$C$505,MATCH($A213,'Suivi EPP'!$A$6:$A$505,0)),"Matricule inconnu"))</f>
        <v/>
      </c>
      <c r="C213" s="40"/>
      <c r="D213" s="39"/>
      <c r="E213" s="39"/>
      <c r="F213" s="39"/>
      <c r="G213" s="39"/>
      <c r="H213" s="39"/>
    </row>
    <row r="214" customFormat="false" ht="15" hidden="false" customHeight="false" outlineLevel="0" collapsed="false">
      <c r="A214" s="39"/>
      <c r="B214" s="44" t="str">
        <f aca="false">IF($A214="","",IFERROR(INDEX('Suivi EPP'!$B$6:$B$505,MATCH($A214,'Suivi EPP'!$A$6:$A$505,0))&amp;" "&amp;INDEX('Suivi EPP'!$C$6:$C$505,MATCH($A214,'Suivi EPP'!$A$6:$A$505,0)),"Matricule inconnu"))</f>
        <v/>
      </c>
      <c r="C214" s="40"/>
      <c r="D214" s="39"/>
      <c r="E214" s="39"/>
      <c r="F214" s="39"/>
      <c r="G214" s="39"/>
      <c r="H214" s="39"/>
    </row>
    <row r="215" customFormat="false" ht="15" hidden="false" customHeight="false" outlineLevel="0" collapsed="false">
      <c r="A215" s="39"/>
      <c r="B215" s="44" t="str">
        <f aca="false">IF($A215="","",IFERROR(INDEX('Suivi EPP'!$B$6:$B$505,MATCH($A215,'Suivi EPP'!$A$6:$A$505,0))&amp;" "&amp;INDEX('Suivi EPP'!$C$6:$C$505,MATCH($A215,'Suivi EPP'!$A$6:$A$505,0)),"Matricule inconnu"))</f>
        <v/>
      </c>
      <c r="C215" s="40"/>
      <c r="D215" s="39"/>
      <c r="E215" s="39"/>
      <c r="F215" s="39"/>
      <c r="G215" s="39"/>
      <c r="H215" s="39"/>
    </row>
    <row r="216" customFormat="false" ht="15" hidden="false" customHeight="false" outlineLevel="0" collapsed="false">
      <c r="A216" s="39"/>
      <c r="B216" s="44" t="str">
        <f aca="false">IF($A216="","",IFERROR(INDEX('Suivi EPP'!$B$6:$B$505,MATCH($A216,'Suivi EPP'!$A$6:$A$505,0))&amp;" "&amp;INDEX('Suivi EPP'!$C$6:$C$505,MATCH($A216,'Suivi EPP'!$A$6:$A$505,0)),"Matricule inconnu"))</f>
        <v/>
      </c>
      <c r="C216" s="40"/>
      <c r="D216" s="39"/>
      <c r="E216" s="39"/>
      <c r="F216" s="39"/>
      <c r="G216" s="39"/>
      <c r="H216" s="39"/>
    </row>
    <row r="217" customFormat="false" ht="15" hidden="false" customHeight="false" outlineLevel="0" collapsed="false">
      <c r="A217" s="39"/>
      <c r="B217" s="44" t="str">
        <f aca="false">IF($A217="","",IFERROR(INDEX('Suivi EPP'!$B$6:$B$505,MATCH($A217,'Suivi EPP'!$A$6:$A$505,0))&amp;" "&amp;INDEX('Suivi EPP'!$C$6:$C$505,MATCH($A217,'Suivi EPP'!$A$6:$A$505,0)),"Matricule inconnu"))</f>
        <v/>
      </c>
      <c r="C217" s="40"/>
      <c r="D217" s="39"/>
      <c r="E217" s="39"/>
      <c r="F217" s="39"/>
      <c r="G217" s="39"/>
      <c r="H217" s="39"/>
    </row>
    <row r="218" customFormat="false" ht="15" hidden="false" customHeight="false" outlineLevel="0" collapsed="false">
      <c r="A218" s="39"/>
      <c r="B218" s="44" t="str">
        <f aca="false">IF($A218="","",IFERROR(INDEX('Suivi EPP'!$B$6:$B$505,MATCH($A218,'Suivi EPP'!$A$6:$A$505,0))&amp;" "&amp;INDEX('Suivi EPP'!$C$6:$C$505,MATCH($A218,'Suivi EPP'!$A$6:$A$505,0)),"Matricule inconnu"))</f>
        <v/>
      </c>
      <c r="C218" s="40"/>
      <c r="D218" s="39"/>
      <c r="E218" s="39"/>
      <c r="F218" s="39"/>
      <c r="G218" s="39"/>
      <c r="H218" s="39"/>
    </row>
    <row r="219" customFormat="false" ht="15" hidden="false" customHeight="false" outlineLevel="0" collapsed="false">
      <c r="A219" s="39"/>
      <c r="B219" s="44" t="str">
        <f aca="false">IF($A219="","",IFERROR(INDEX('Suivi EPP'!$B$6:$B$505,MATCH($A219,'Suivi EPP'!$A$6:$A$505,0))&amp;" "&amp;INDEX('Suivi EPP'!$C$6:$C$505,MATCH($A219,'Suivi EPP'!$A$6:$A$505,0)),"Matricule inconnu"))</f>
        <v/>
      </c>
      <c r="C219" s="40"/>
      <c r="D219" s="39"/>
      <c r="E219" s="39"/>
      <c r="F219" s="39"/>
      <c r="G219" s="39"/>
      <c r="H219" s="39"/>
    </row>
    <row r="220" customFormat="false" ht="15" hidden="false" customHeight="false" outlineLevel="0" collapsed="false">
      <c r="A220" s="39"/>
      <c r="B220" s="44" t="str">
        <f aca="false">IF($A220="","",IFERROR(INDEX('Suivi EPP'!$B$6:$B$505,MATCH($A220,'Suivi EPP'!$A$6:$A$505,0))&amp;" "&amp;INDEX('Suivi EPP'!$C$6:$C$505,MATCH($A220,'Suivi EPP'!$A$6:$A$505,0)),"Matricule inconnu"))</f>
        <v/>
      </c>
      <c r="C220" s="40"/>
      <c r="D220" s="39"/>
      <c r="E220" s="39"/>
      <c r="F220" s="39"/>
      <c r="G220" s="39"/>
      <c r="H220" s="39"/>
    </row>
    <row r="221" customFormat="false" ht="15" hidden="false" customHeight="false" outlineLevel="0" collapsed="false">
      <c r="A221" s="39"/>
      <c r="B221" s="44" t="str">
        <f aca="false">IF($A221="","",IFERROR(INDEX('Suivi EPP'!$B$6:$B$505,MATCH($A221,'Suivi EPP'!$A$6:$A$505,0))&amp;" "&amp;INDEX('Suivi EPP'!$C$6:$C$505,MATCH($A221,'Suivi EPP'!$A$6:$A$505,0)),"Matricule inconnu"))</f>
        <v/>
      </c>
      <c r="C221" s="40"/>
      <c r="D221" s="39"/>
      <c r="E221" s="39"/>
      <c r="F221" s="39"/>
      <c r="G221" s="39"/>
      <c r="H221" s="39"/>
    </row>
    <row r="222" customFormat="false" ht="15" hidden="false" customHeight="false" outlineLevel="0" collapsed="false">
      <c r="A222" s="39"/>
      <c r="B222" s="44" t="str">
        <f aca="false">IF($A222="","",IFERROR(INDEX('Suivi EPP'!$B$6:$B$505,MATCH($A222,'Suivi EPP'!$A$6:$A$505,0))&amp;" "&amp;INDEX('Suivi EPP'!$C$6:$C$505,MATCH($A222,'Suivi EPP'!$A$6:$A$505,0)),"Matricule inconnu"))</f>
        <v/>
      </c>
      <c r="C222" s="40"/>
      <c r="D222" s="39"/>
      <c r="E222" s="39"/>
      <c r="F222" s="39"/>
      <c r="G222" s="39"/>
      <c r="H222" s="39"/>
    </row>
    <row r="223" customFormat="false" ht="15" hidden="false" customHeight="false" outlineLevel="0" collapsed="false">
      <c r="A223" s="39"/>
      <c r="B223" s="44" t="str">
        <f aca="false">IF($A223="","",IFERROR(INDEX('Suivi EPP'!$B$6:$B$505,MATCH($A223,'Suivi EPP'!$A$6:$A$505,0))&amp;" "&amp;INDEX('Suivi EPP'!$C$6:$C$505,MATCH($A223,'Suivi EPP'!$A$6:$A$505,0)),"Matricule inconnu"))</f>
        <v/>
      </c>
      <c r="C223" s="40"/>
      <c r="D223" s="39"/>
      <c r="E223" s="39"/>
      <c r="F223" s="39"/>
      <c r="G223" s="39"/>
      <c r="H223" s="39"/>
    </row>
    <row r="224" customFormat="false" ht="15" hidden="false" customHeight="false" outlineLevel="0" collapsed="false">
      <c r="A224" s="39"/>
      <c r="B224" s="44" t="str">
        <f aca="false">IF($A224="","",IFERROR(INDEX('Suivi EPP'!$B$6:$B$505,MATCH($A224,'Suivi EPP'!$A$6:$A$505,0))&amp;" "&amp;INDEX('Suivi EPP'!$C$6:$C$505,MATCH($A224,'Suivi EPP'!$A$6:$A$505,0)),"Matricule inconnu"))</f>
        <v/>
      </c>
      <c r="C224" s="40"/>
      <c r="D224" s="39"/>
      <c r="E224" s="39"/>
      <c r="F224" s="39"/>
      <c r="G224" s="39"/>
      <c r="H224" s="39"/>
    </row>
    <row r="225" customFormat="false" ht="15" hidden="false" customHeight="false" outlineLevel="0" collapsed="false">
      <c r="A225" s="39"/>
      <c r="B225" s="44" t="str">
        <f aca="false">IF($A225="","",IFERROR(INDEX('Suivi EPP'!$B$6:$B$505,MATCH($A225,'Suivi EPP'!$A$6:$A$505,0))&amp;" "&amp;INDEX('Suivi EPP'!$C$6:$C$505,MATCH($A225,'Suivi EPP'!$A$6:$A$505,0)),"Matricule inconnu"))</f>
        <v/>
      </c>
      <c r="C225" s="40"/>
      <c r="D225" s="39"/>
      <c r="E225" s="39"/>
      <c r="F225" s="39"/>
      <c r="G225" s="39"/>
      <c r="H225" s="39"/>
    </row>
    <row r="226" customFormat="false" ht="15" hidden="false" customHeight="false" outlineLevel="0" collapsed="false">
      <c r="A226" s="39"/>
      <c r="B226" s="44" t="str">
        <f aca="false">IF($A226="","",IFERROR(INDEX('Suivi EPP'!$B$6:$B$505,MATCH($A226,'Suivi EPP'!$A$6:$A$505,0))&amp;" "&amp;INDEX('Suivi EPP'!$C$6:$C$505,MATCH($A226,'Suivi EPP'!$A$6:$A$505,0)),"Matricule inconnu"))</f>
        <v/>
      </c>
      <c r="C226" s="40"/>
      <c r="D226" s="39"/>
      <c r="E226" s="39"/>
      <c r="F226" s="39"/>
      <c r="G226" s="39"/>
      <c r="H226" s="39"/>
    </row>
    <row r="227" customFormat="false" ht="15" hidden="false" customHeight="false" outlineLevel="0" collapsed="false">
      <c r="A227" s="39"/>
      <c r="B227" s="44" t="str">
        <f aca="false">IF($A227="","",IFERROR(INDEX('Suivi EPP'!$B$6:$B$505,MATCH($A227,'Suivi EPP'!$A$6:$A$505,0))&amp;" "&amp;INDEX('Suivi EPP'!$C$6:$C$505,MATCH($A227,'Suivi EPP'!$A$6:$A$505,0)),"Matricule inconnu"))</f>
        <v/>
      </c>
      <c r="C227" s="40"/>
      <c r="D227" s="39"/>
      <c r="E227" s="39"/>
      <c r="F227" s="39"/>
      <c r="G227" s="39"/>
      <c r="H227" s="39"/>
    </row>
    <row r="228" customFormat="false" ht="15" hidden="false" customHeight="false" outlineLevel="0" collapsed="false">
      <c r="A228" s="39"/>
      <c r="B228" s="44" t="str">
        <f aca="false">IF($A228="","",IFERROR(INDEX('Suivi EPP'!$B$6:$B$505,MATCH($A228,'Suivi EPP'!$A$6:$A$505,0))&amp;" "&amp;INDEX('Suivi EPP'!$C$6:$C$505,MATCH($A228,'Suivi EPP'!$A$6:$A$505,0)),"Matricule inconnu"))</f>
        <v/>
      </c>
      <c r="C228" s="40"/>
      <c r="D228" s="39"/>
      <c r="E228" s="39"/>
      <c r="F228" s="39"/>
      <c r="G228" s="39"/>
      <c r="H228" s="39"/>
    </row>
    <row r="229" customFormat="false" ht="15" hidden="false" customHeight="false" outlineLevel="0" collapsed="false">
      <c r="A229" s="39"/>
      <c r="B229" s="44" t="str">
        <f aca="false">IF($A229="","",IFERROR(INDEX('Suivi EPP'!$B$6:$B$505,MATCH($A229,'Suivi EPP'!$A$6:$A$505,0))&amp;" "&amp;INDEX('Suivi EPP'!$C$6:$C$505,MATCH($A229,'Suivi EPP'!$A$6:$A$505,0)),"Matricule inconnu"))</f>
        <v/>
      </c>
      <c r="C229" s="40"/>
      <c r="D229" s="39"/>
      <c r="E229" s="39"/>
      <c r="F229" s="39"/>
      <c r="G229" s="39"/>
      <c r="H229" s="39"/>
    </row>
    <row r="230" customFormat="false" ht="15" hidden="false" customHeight="false" outlineLevel="0" collapsed="false">
      <c r="A230" s="39"/>
      <c r="B230" s="44" t="str">
        <f aca="false">IF($A230="","",IFERROR(INDEX('Suivi EPP'!$B$6:$B$505,MATCH($A230,'Suivi EPP'!$A$6:$A$505,0))&amp;" "&amp;INDEX('Suivi EPP'!$C$6:$C$505,MATCH($A230,'Suivi EPP'!$A$6:$A$505,0)),"Matricule inconnu"))</f>
        <v/>
      </c>
      <c r="C230" s="40"/>
      <c r="D230" s="39"/>
      <c r="E230" s="39"/>
      <c r="F230" s="39"/>
      <c r="G230" s="39"/>
      <c r="H230" s="39"/>
    </row>
    <row r="231" customFormat="false" ht="15" hidden="false" customHeight="false" outlineLevel="0" collapsed="false">
      <c r="A231" s="39"/>
      <c r="B231" s="44" t="str">
        <f aca="false">IF($A231="","",IFERROR(INDEX('Suivi EPP'!$B$6:$B$505,MATCH($A231,'Suivi EPP'!$A$6:$A$505,0))&amp;" "&amp;INDEX('Suivi EPP'!$C$6:$C$505,MATCH($A231,'Suivi EPP'!$A$6:$A$505,0)),"Matricule inconnu"))</f>
        <v/>
      </c>
      <c r="C231" s="40"/>
      <c r="D231" s="39"/>
      <c r="E231" s="39"/>
      <c r="F231" s="39"/>
      <c r="G231" s="39"/>
      <c r="H231" s="39"/>
    </row>
    <row r="232" customFormat="false" ht="15" hidden="false" customHeight="false" outlineLevel="0" collapsed="false">
      <c r="A232" s="39"/>
      <c r="B232" s="44" t="str">
        <f aca="false">IF($A232="","",IFERROR(INDEX('Suivi EPP'!$B$6:$B$505,MATCH($A232,'Suivi EPP'!$A$6:$A$505,0))&amp;" "&amp;INDEX('Suivi EPP'!$C$6:$C$505,MATCH($A232,'Suivi EPP'!$A$6:$A$505,0)),"Matricule inconnu"))</f>
        <v/>
      </c>
      <c r="C232" s="40"/>
      <c r="D232" s="39"/>
      <c r="E232" s="39"/>
      <c r="F232" s="39"/>
      <c r="G232" s="39"/>
      <c r="H232" s="39"/>
    </row>
    <row r="233" customFormat="false" ht="15" hidden="false" customHeight="false" outlineLevel="0" collapsed="false">
      <c r="A233" s="39"/>
      <c r="B233" s="44" t="str">
        <f aca="false">IF($A233="","",IFERROR(INDEX('Suivi EPP'!$B$6:$B$505,MATCH($A233,'Suivi EPP'!$A$6:$A$505,0))&amp;" "&amp;INDEX('Suivi EPP'!$C$6:$C$505,MATCH($A233,'Suivi EPP'!$A$6:$A$505,0)),"Matricule inconnu"))</f>
        <v/>
      </c>
      <c r="C233" s="40"/>
      <c r="D233" s="39"/>
      <c r="E233" s="39"/>
      <c r="F233" s="39"/>
      <c r="G233" s="39"/>
      <c r="H233" s="39"/>
    </row>
    <row r="234" customFormat="false" ht="15" hidden="false" customHeight="false" outlineLevel="0" collapsed="false">
      <c r="A234" s="39"/>
      <c r="B234" s="44" t="str">
        <f aca="false">IF($A234="","",IFERROR(INDEX('Suivi EPP'!$B$6:$B$505,MATCH($A234,'Suivi EPP'!$A$6:$A$505,0))&amp;" "&amp;INDEX('Suivi EPP'!$C$6:$C$505,MATCH($A234,'Suivi EPP'!$A$6:$A$505,0)),"Matricule inconnu"))</f>
        <v/>
      </c>
      <c r="C234" s="40"/>
      <c r="D234" s="39"/>
      <c r="E234" s="39"/>
      <c r="F234" s="39"/>
      <c r="G234" s="39"/>
      <c r="H234" s="39"/>
    </row>
    <row r="235" customFormat="false" ht="15" hidden="false" customHeight="false" outlineLevel="0" collapsed="false">
      <c r="A235" s="39"/>
      <c r="B235" s="44" t="str">
        <f aca="false">IF($A235="","",IFERROR(INDEX('Suivi EPP'!$B$6:$B$505,MATCH($A235,'Suivi EPP'!$A$6:$A$505,0))&amp;" "&amp;INDEX('Suivi EPP'!$C$6:$C$505,MATCH($A235,'Suivi EPP'!$A$6:$A$505,0)),"Matricule inconnu"))</f>
        <v/>
      </c>
      <c r="C235" s="40"/>
      <c r="D235" s="39"/>
      <c r="E235" s="39"/>
      <c r="F235" s="39"/>
      <c r="G235" s="39"/>
      <c r="H235" s="39"/>
    </row>
    <row r="236" customFormat="false" ht="15" hidden="false" customHeight="false" outlineLevel="0" collapsed="false">
      <c r="A236" s="39"/>
      <c r="B236" s="44" t="str">
        <f aca="false">IF($A236="","",IFERROR(INDEX('Suivi EPP'!$B$6:$B$505,MATCH($A236,'Suivi EPP'!$A$6:$A$505,0))&amp;" "&amp;INDEX('Suivi EPP'!$C$6:$C$505,MATCH($A236,'Suivi EPP'!$A$6:$A$505,0)),"Matricule inconnu"))</f>
        <v/>
      </c>
      <c r="C236" s="40"/>
      <c r="D236" s="39"/>
      <c r="E236" s="39"/>
      <c r="F236" s="39"/>
      <c r="G236" s="39"/>
      <c r="H236" s="39"/>
    </row>
    <row r="237" customFormat="false" ht="15" hidden="false" customHeight="false" outlineLevel="0" collapsed="false">
      <c r="A237" s="39"/>
      <c r="B237" s="44" t="str">
        <f aca="false">IF($A237="","",IFERROR(INDEX('Suivi EPP'!$B$6:$B$505,MATCH($A237,'Suivi EPP'!$A$6:$A$505,0))&amp;" "&amp;INDEX('Suivi EPP'!$C$6:$C$505,MATCH($A237,'Suivi EPP'!$A$6:$A$505,0)),"Matricule inconnu"))</f>
        <v/>
      </c>
      <c r="C237" s="40"/>
      <c r="D237" s="39"/>
      <c r="E237" s="39"/>
      <c r="F237" s="39"/>
      <c r="G237" s="39"/>
      <c r="H237" s="39"/>
    </row>
    <row r="238" customFormat="false" ht="15" hidden="false" customHeight="false" outlineLevel="0" collapsed="false">
      <c r="A238" s="39"/>
      <c r="B238" s="44" t="str">
        <f aca="false">IF($A238="","",IFERROR(INDEX('Suivi EPP'!$B$6:$B$505,MATCH($A238,'Suivi EPP'!$A$6:$A$505,0))&amp;" "&amp;INDEX('Suivi EPP'!$C$6:$C$505,MATCH($A238,'Suivi EPP'!$A$6:$A$505,0)),"Matricule inconnu"))</f>
        <v/>
      </c>
      <c r="C238" s="40"/>
      <c r="D238" s="39"/>
      <c r="E238" s="39"/>
      <c r="F238" s="39"/>
      <c r="G238" s="39"/>
      <c r="H238" s="39"/>
    </row>
    <row r="239" customFormat="false" ht="15" hidden="false" customHeight="false" outlineLevel="0" collapsed="false">
      <c r="A239" s="39"/>
      <c r="B239" s="44" t="str">
        <f aca="false">IF($A239="","",IFERROR(INDEX('Suivi EPP'!$B$6:$B$505,MATCH($A239,'Suivi EPP'!$A$6:$A$505,0))&amp;" "&amp;INDEX('Suivi EPP'!$C$6:$C$505,MATCH($A239,'Suivi EPP'!$A$6:$A$505,0)),"Matricule inconnu"))</f>
        <v/>
      </c>
      <c r="C239" s="40"/>
      <c r="D239" s="39"/>
      <c r="E239" s="39"/>
      <c r="F239" s="39"/>
      <c r="G239" s="39"/>
      <c r="H239" s="39"/>
    </row>
    <row r="240" customFormat="false" ht="15" hidden="false" customHeight="false" outlineLevel="0" collapsed="false">
      <c r="A240" s="39"/>
      <c r="B240" s="44" t="str">
        <f aca="false">IF($A240="","",IFERROR(INDEX('Suivi EPP'!$B$6:$B$505,MATCH($A240,'Suivi EPP'!$A$6:$A$505,0))&amp;" "&amp;INDEX('Suivi EPP'!$C$6:$C$505,MATCH($A240,'Suivi EPP'!$A$6:$A$505,0)),"Matricule inconnu"))</f>
        <v/>
      </c>
      <c r="C240" s="40"/>
      <c r="D240" s="39"/>
      <c r="E240" s="39"/>
      <c r="F240" s="39"/>
      <c r="G240" s="39"/>
      <c r="H240" s="39"/>
    </row>
    <row r="241" customFormat="false" ht="15" hidden="false" customHeight="false" outlineLevel="0" collapsed="false">
      <c r="A241" s="39"/>
      <c r="B241" s="44" t="str">
        <f aca="false">IF($A241="","",IFERROR(INDEX('Suivi EPP'!$B$6:$B$505,MATCH($A241,'Suivi EPP'!$A$6:$A$505,0))&amp;" "&amp;INDEX('Suivi EPP'!$C$6:$C$505,MATCH($A241,'Suivi EPP'!$A$6:$A$505,0)),"Matricule inconnu"))</f>
        <v/>
      </c>
      <c r="C241" s="40"/>
      <c r="D241" s="39"/>
      <c r="E241" s="39"/>
      <c r="F241" s="39"/>
      <c r="G241" s="39"/>
      <c r="H241" s="39"/>
    </row>
    <row r="242" customFormat="false" ht="15" hidden="false" customHeight="false" outlineLevel="0" collapsed="false">
      <c r="A242" s="39"/>
      <c r="B242" s="44" t="str">
        <f aca="false">IF($A242="","",IFERROR(INDEX('Suivi EPP'!$B$6:$B$505,MATCH($A242,'Suivi EPP'!$A$6:$A$505,0))&amp;" "&amp;INDEX('Suivi EPP'!$C$6:$C$505,MATCH($A242,'Suivi EPP'!$A$6:$A$505,0)),"Matricule inconnu"))</f>
        <v/>
      </c>
      <c r="C242" s="40"/>
      <c r="D242" s="39"/>
      <c r="E242" s="39"/>
      <c r="F242" s="39"/>
      <c r="G242" s="39"/>
      <c r="H242" s="39"/>
    </row>
    <row r="243" customFormat="false" ht="15" hidden="false" customHeight="false" outlineLevel="0" collapsed="false">
      <c r="A243" s="39"/>
      <c r="B243" s="44" t="str">
        <f aca="false">IF($A243="","",IFERROR(INDEX('Suivi EPP'!$B$6:$B$505,MATCH($A243,'Suivi EPP'!$A$6:$A$505,0))&amp;" "&amp;INDEX('Suivi EPP'!$C$6:$C$505,MATCH($A243,'Suivi EPP'!$A$6:$A$505,0)),"Matricule inconnu"))</f>
        <v/>
      </c>
      <c r="C243" s="40"/>
      <c r="D243" s="39"/>
      <c r="E243" s="39"/>
      <c r="F243" s="39"/>
      <c r="G243" s="39"/>
      <c r="H243" s="39"/>
    </row>
    <row r="244" customFormat="false" ht="15" hidden="false" customHeight="false" outlineLevel="0" collapsed="false">
      <c r="A244" s="39"/>
      <c r="B244" s="44" t="str">
        <f aca="false">IF($A244="","",IFERROR(INDEX('Suivi EPP'!$B$6:$B$505,MATCH($A244,'Suivi EPP'!$A$6:$A$505,0))&amp;" "&amp;INDEX('Suivi EPP'!$C$6:$C$505,MATCH($A244,'Suivi EPP'!$A$6:$A$505,0)),"Matricule inconnu"))</f>
        <v/>
      </c>
      <c r="C244" s="40"/>
      <c r="D244" s="39"/>
      <c r="E244" s="39"/>
      <c r="F244" s="39"/>
      <c r="G244" s="39"/>
      <c r="H244" s="39"/>
    </row>
    <row r="245" customFormat="false" ht="15" hidden="false" customHeight="false" outlineLevel="0" collapsed="false">
      <c r="A245" s="39"/>
      <c r="B245" s="44" t="str">
        <f aca="false">IF($A245="","",IFERROR(INDEX('Suivi EPP'!$B$6:$B$505,MATCH($A245,'Suivi EPP'!$A$6:$A$505,0))&amp;" "&amp;INDEX('Suivi EPP'!$C$6:$C$505,MATCH($A245,'Suivi EPP'!$A$6:$A$505,0)),"Matricule inconnu"))</f>
        <v/>
      </c>
      <c r="C245" s="40"/>
      <c r="D245" s="39"/>
      <c r="E245" s="39"/>
      <c r="F245" s="39"/>
      <c r="G245" s="39"/>
      <c r="H245" s="39"/>
    </row>
    <row r="246" customFormat="false" ht="15" hidden="false" customHeight="false" outlineLevel="0" collapsed="false">
      <c r="A246" s="39"/>
      <c r="B246" s="44" t="str">
        <f aca="false">IF($A246="","",IFERROR(INDEX('Suivi EPP'!$B$6:$B$505,MATCH($A246,'Suivi EPP'!$A$6:$A$505,0))&amp;" "&amp;INDEX('Suivi EPP'!$C$6:$C$505,MATCH($A246,'Suivi EPP'!$A$6:$A$505,0)),"Matricule inconnu"))</f>
        <v/>
      </c>
      <c r="C246" s="40"/>
      <c r="D246" s="39"/>
      <c r="E246" s="39"/>
      <c r="F246" s="39"/>
      <c r="G246" s="39"/>
      <c r="H246" s="39"/>
    </row>
    <row r="247" customFormat="false" ht="15" hidden="false" customHeight="false" outlineLevel="0" collapsed="false">
      <c r="A247" s="39"/>
      <c r="B247" s="44" t="str">
        <f aca="false">IF($A247="","",IFERROR(INDEX('Suivi EPP'!$B$6:$B$505,MATCH($A247,'Suivi EPP'!$A$6:$A$505,0))&amp;" "&amp;INDEX('Suivi EPP'!$C$6:$C$505,MATCH($A247,'Suivi EPP'!$A$6:$A$505,0)),"Matricule inconnu"))</f>
        <v/>
      </c>
      <c r="C247" s="40"/>
      <c r="D247" s="39"/>
      <c r="E247" s="39"/>
      <c r="F247" s="39"/>
      <c r="G247" s="39"/>
      <c r="H247" s="39"/>
    </row>
    <row r="248" customFormat="false" ht="15" hidden="false" customHeight="false" outlineLevel="0" collapsed="false">
      <c r="A248" s="39"/>
      <c r="B248" s="44" t="str">
        <f aca="false">IF($A248="","",IFERROR(INDEX('Suivi EPP'!$B$6:$B$505,MATCH($A248,'Suivi EPP'!$A$6:$A$505,0))&amp;" "&amp;INDEX('Suivi EPP'!$C$6:$C$505,MATCH($A248,'Suivi EPP'!$A$6:$A$505,0)),"Matricule inconnu"))</f>
        <v/>
      </c>
      <c r="C248" s="40"/>
      <c r="D248" s="39"/>
      <c r="E248" s="39"/>
      <c r="F248" s="39"/>
      <c r="G248" s="39"/>
      <c r="H248" s="39"/>
    </row>
    <row r="249" customFormat="false" ht="15" hidden="false" customHeight="false" outlineLevel="0" collapsed="false">
      <c r="A249" s="39"/>
      <c r="B249" s="44" t="str">
        <f aca="false">IF($A249="","",IFERROR(INDEX('Suivi EPP'!$B$6:$B$505,MATCH($A249,'Suivi EPP'!$A$6:$A$505,0))&amp;" "&amp;INDEX('Suivi EPP'!$C$6:$C$505,MATCH($A249,'Suivi EPP'!$A$6:$A$505,0)),"Matricule inconnu"))</f>
        <v/>
      </c>
      <c r="C249" s="40"/>
      <c r="D249" s="39"/>
      <c r="E249" s="39"/>
      <c r="F249" s="39"/>
      <c r="G249" s="39"/>
      <c r="H249" s="39"/>
    </row>
    <row r="250" customFormat="false" ht="15" hidden="false" customHeight="false" outlineLevel="0" collapsed="false">
      <c r="A250" s="39"/>
      <c r="B250" s="44" t="str">
        <f aca="false">IF($A250="","",IFERROR(INDEX('Suivi EPP'!$B$6:$B$505,MATCH($A250,'Suivi EPP'!$A$6:$A$505,0))&amp;" "&amp;INDEX('Suivi EPP'!$C$6:$C$505,MATCH($A250,'Suivi EPP'!$A$6:$A$505,0)),"Matricule inconnu"))</f>
        <v/>
      </c>
      <c r="C250" s="40"/>
      <c r="D250" s="39"/>
      <c r="E250" s="39"/>
      <c r="F250" s="39"/>
      <c r="G250" s="39"/>
      <c r="H250" s="39"/>
    </row>
    <row r="251" customFormat="false" ht="15" hidden="false" customHeight="false" outlineLevel="0" collapsed="false">
      <c r="A251" s="39"/>
      <c r="B251" s="44" t="str">
        <f aca="false">IF($A251="","",IFERROR(INDEX('Suivi EPP'!$B$6:$B$505,MATCH($A251,'Suivi EPP'!$A$6:$A$505,0))&amp;" "&amp;INDEX('Suivi EPP'!$C$6:$C$505,MATCH($A251,'Suivi EPP'!$A$6:$A$505,0)),"Matricule inconnu"))</f>
        <v/>
      </c>
      <c r="C251" s="40"/>
      <c r="D251" s="39"/>
      <c r="E251" s="39"/>
      <c r="F251" s="39"/>
      <c r="G251" s="39"/>
      <c r="H251" s="39"/>
    </row>
    <row r="252" customFormat="false" ht="15" hidden="false" customHeight="false" outlineLevel="0" collapsed="false">
      <c r="A252" s="39"/>
      <c r="B252" s="44" t="str">
        <f aca="false">IF($A252="","",IFERROR(INDEX('Suivi EPP'!$B$6:$B$505,MATCH($A252,'Suivi EPP'!$A$6:$A$505,0))&amp;" "&amp;INDEX('Suivi EPP'!$C$6:$C$505,MATCH($A252,'Suivi EPP'!$A$6:$A$505,0)),"Matricule inconnu"))</f>
        <v/>
      </c>
      <c r="C252" s="40"/>
      <c r="D252" s="39"/>
      <c r="E252" s="39"/>
      <c r="F252" s="39"/>
      <c r="G252" s="39"/>
      <c r="H252" s="39"/>
    </row>
    <row r="253" customFormat="false" ht="15" hidden="false" customHeight="false" outlineLevel="0" collapsed="false">
      <c r="A253" s="39"/>
      <c r="B253" s="44" t="str">
        <f aca="false">IF($A253="","",IFERROR(INDEX('Suivi EPP'!$B$6:$B$505,MATCH($A253,'Suivi EPP'!$A$6:$A$505,0))&amp;" "&amp;INDEX('Suivi EPP'!$C$6:$C$505,MATCH($A253,'Suivi EPP'!$A$6:$A$505,0)),"Matricule inconnu"))</f>
        <v/>
      </c>
      <c r="C253" s="40"/>
      <c r="D253" s="39"/>
      <c r="E253" s="39"/>
      <c r="F253" s="39"/>
      <c r="G253" s="39"/>
      <c r="H253" s="39"/>
    </row>
    <row r="254" customFormat="false" ht="15" hidden="false" customHeight="false" outlineLevel="0" collapsed="false">
      <c r="A254" s="39"/>
      <c r="B254" s="44" t="str">
        <f aca="false">IF($A254="","",IFERROR(INDEX('Suivi EPP'!$B$6:$B$505,MATCH($A254,'Suivi EPP'!$A$6:$A$505,0))&amp;" "&amp;INDEX('Suivi EPP'!$C$6:$C$505,MATCH($A254,'Suivi EPP'!$A$6:$A$505,0)),"Matricule inconnu"))</f>
        <v/>
      </c>
      <c r="C254" s="40"/>
      <c r="D254" s="39"/>
      <c r="E254" s="39"/>
      <c r="F254" s="39"/>
      <c r="G254" s="39"/>
      <c r="H254" s="39"/>
    </row>
    <row r="255" customFormat="false" ht="15" hidden="false" customHeight="false" outlineLevel="0" collapsed="false">
      <c r="A255" s="39"/>
      <c r="B255" s="44" t="str">
        <f aca="false">IF($A255="","",IFERROR(INDEX('Suivi EPP'!$B$6:$B$505,MATCH($A255,'Suivi EPP'!$A$6:$A$505,0))&amp;" "&amp;INDEX('Suivi EPP'!$C$6:$C$505,MATCH($A255,'Suivi EPP'!$A$6:$A$505,0)),"Matricule inconnu"))</f>
        <v/>
      </c>
      <c r="C255" s="40"/>
      <c r="D255" s="39"/>
      <c r="E255" s="39"/>
      <c r="F255" s="39"/>
      <c r="G255" s="39"/>
      <c r="H255" s="39"/>
    </row>
    <row r="256" customFormat="false" ht="15" hidden="false" customHeight="false" outlineLevel="0" collapsed="false">
      <c r="A256" s="39"/>
      <c r="B256" s="44" t="str">
        <f aca="false">IF($A256="","",IFERROR(INDEX('Suivi EPP'!$B$6:$B$505,MATCH($A256,'Suivi EPP'!$A$6:$A$505,0))&amp;" "&amp;INDEX('Suivi EPP'!$C$6:$C$505,MATCH($A256,'Suivi EPP'!$A$6:$A$505,0)),"Matricule inconnu"))</f>
        <v/>
      </c>
      <c r="C256" s="40"/>
      <c r="D256" s="39"/>
      <c r="E256" s="39"/>
      <c r="F256" s="39"/>
      <c r="G256" s="39"/>
      <c r="H256" s="39"/>
    </row>
    <row r="257" customFormat="false" ht="15" hidden="false" customHeight="false" outlineLevel="0" collapsed="false">
      <c r="A257" s="39"/>
      <c r="B257" s="44" t="str">
        <f aca="false">IF($A257="","",IFERROR(INDEX('Suivi EPP'!$B$6:$B$505,MATCH($A257,'Suivi EPP'!$A$6:$A$505,0))&amp;" "&amp;INDEX('Suivi EPP'!$C$6:$C$505,MATCH($A257,'Suivi EPP'!$A$6:$A$505,0)),"Matricule inconnu"))</f>
        <v/>
      </c>
      <c r="C257" s="40"/>
      <c r="D257" s="39"/>
      <c r="E257" s="39"/>
      <c r="F257" s="39"/>
      <c r="G257" s="39"/>
      <c r="H257" s="39"/>
    </row>
    <row r="258" customFormat="false" ht="15" hidden="false" customHeight="false" outlineLevel="0" collapsed="false">
      <c r="A258" s="39"/>
      <c r="B258" s="44" t="str">
        <f aca="false">IF($A258="","",IFERROR(INDEX('Suivi EPP'!$B$6:$B$505,MATCH($A258,'Suivi EPP'!$A$6:$A$505,0))&amp;" "&amp;INDEX('Suivi EPP'!$C$6:$C$505,MATCH($A258,'Suivi EPP'!$A$6:$A$505,0)),"Matricule inconnu"))</f>
        <v/>
      </c>
      <c r="C258" s="40"/>
      <c r="D258" s="39"/>
      <c r="E258" s="39"/>
      <c r="F258" s="39"/>
      <c r="G258" s="39"/>
      <c r="H258" s="39"/>
    </row>
    <row r="259" customFormat="false" ht="15" hidden="false" customHeight="false" outlineLevel="0" collapsed="false">
      <c r="A259" s="39"/>
      <c r="B259" s="44" t="str">
        <f aca="false">IF($A259="","",IFERROR(INDEX('Suivi EPP'!$B$6:$B$505,MATCH($A259,'Suivi EPP'!$A$6:$A$505,0))&amp;" "&amp;INDEX('Suivi EPP'!$C$6:$C$505,MATCH($A259,'Suivi EPP'!$A$6:$A$505,0)),"Matricule inconnu"))</f>
        <v/>
      </c>
      <c r="C259" s="40"/>
      <c r="D259" s="39"/>
      <c r="E259" s="39"/>
      <c r="F259" s="39"/>
      <c r="G259" s="39"/>
      <c r="H259" s="39"/>
    </row>
    <row r="260" customFormat="false" ht="15" hidden="false" customHeight="false" outlineLevel="0" collapsed="false">
      <c r="A260" s="39"/>
      <c r="B260" s="44" t="str">
        <f aca="false">IF($A260="","",IFERROR(INDEX('Suivi EPP'!$B$6:$B$505,MATCH($A260,'Suivi EPP'!$A$6:$A$505,0))&amp;" "&amp;INDEX('Suivi EPP'!$C$6:$C$505,MATCH($A260,'Suivi EPP'!$A$6:$A$505,0)),"Matricule inconnu"))</f>
        <v/>
      </c>
      <c r="C260" s="40"/>
      <c r="D260" s="39"/>
      <c r="E260" s="39"/>
      <c r="F260" s="39"/>
      <c r="G260" s="39"/>
      <c r="H260" s="39"/>
    </row>
    <row r="261" customFormat="false" ht="15" hidden="false" customHeight="false" outlineLevel="0" collapsed="false">
      <c r="A261" s="39"/>
      <c r="B261" s="44" t="str">
        <f aca="false">IF($A261="","",IFERROR(INDEX('Suivi EPP'!$B$6:$B$505,MATCH($A261,'Suivi EPP'!$A$6:$A$505,0))&amp;" "&amp;INDEX('Suivi EPP'!$C$6:$C$505,MATCH($A261,'Suivi EPP'!$A$6:$A$505,0)),"Matricule inconnu"))</f>
        <v/>
      </c>
      <c r="C261" s="40"/>
      <c r="D261" s="39"/>
      <c r="E261" s="39"/>
      <c r="F261" s="39"/>
      <c r="G261" s="39"/>
      <c r="H261" s="39"/>
    </row>
    <row r="262" customFormat="false" ht="15" hidden="false" customHeight="false" outlineLevel="0" collapsed="false">
      <c r="A262" s="39"/>
      <c r="B262" s="44" t="str">
        <f aca="false">IF($A262="","",IFERROR(INDEX('Suivi EPP'!$B$6:$B$505,MATCH($A262,'Suivi EPP'!$A$6:$A$505,0))&amp;" "&amp;INDEX('Suivi EPP'!$C$6:$C$505,MATCH($A262,'Suivi EPP'!$A$6:$A$505,0)),"Matricule inconnu"))</f>
        <v/>
      </c>
      <c r="C262" s="40"/>
      <c r="D262" s="39"/>
      <c r="E262" s="39"/>
      <c r="F262" s="39"/>
      <c r="G262" s="39"/>
      <c r="H262" s="39"/>
    </row>
    <row r="263" customFormat="false" ht="15" hidden="false" customHeight="false" outlineLevel="0" collapsed="false">
      <c r="A263" s="39"/>
      <c r="B263" s="44" t="str">
        <f aca="false">IF($A263="","",IFERROR(INDEX('Suivi EPP'!$B$6:$B$505,MATCH($A263,'Suivi EPP'!$A$6:$A$505,0))&amp;" "&amp;INDEX('Suivi EPP'!$C$6:$C$505,MATCH($A263,'Suivi EPP'!$A$6:$A$505,0)),"Matricule inconnu"))</f>
        <v/>
      </c>
      <c r="C263" s="40"/>
      <c r="D263" s="39"/>
      <c r="E263" s="39"/>
      <c r="F263" s="39"/>
      <c r="G263" s="39"/>
      <c r="H263" s="39"/>
    </row>
    <row r="264" customFormat="false" ht="15" hidden="false" customHeight="false" outlineLevel="0" collapsed="false">
      <c r="A264" s="39"/>
      <c r="B264" s="44" t="str">
        <f aca="false">IF($A264="","",IFERROR(INDEX('Suivi EPP'!$B$6:$B$505,MATCH($A264,'Suivi EPP'!$A$6:$A$505,0))&amp;" "&amp;INDEX('Suivi EPP'!$C$6:$C$505,MATCH($A264,'Suivi EPP'!$A$6:$A$505,0)),"Matricule inconnu"))</f>
        <v/>
      </c>
      <c r="C264" s="40"/>
      <c r="D264" s="39"/>
      <c r="E264" s="39"/>
      <c r="F264" s="39"/>
      <c r="G264" s="39"/>
      <c r="H264" s="39"/>
    </row>
    <row r="265" customFormat="false" ht="15" hidden="false" customHeight="false" outlineLevel="0" collapsed="false">
      <c r="A265" s="39"/>
      <c r="B265" s="44" t="str">
        <f aca="false">IF($A265="","",IFERROR(INDEX('Suivi EPP'!$B$6:$B$505,MATCH($A265,'Suivi EPP'!$A$6:$A$505,0))&amp;" "&amp;INDEX('Suivi EPP'!$C$6:$C$505,MATCH($A265,'Suivi EPP'!$A$6:$A$505,0)),"Matricule inconnu"))</f>
        <v/>
      </c>
      <c r="C265" s="40"/>
      <c r="D265" s="39"/>
      <c r="E265" s="39"/>
      <c r="F265" s="39"/>
      <c r="G265" s="39"/>
      <c r="H265" s="39"/>
    </row>
    <row r="266" customFormat="false" ht="15" hidden="false" customHeight="false" outlineLevel="0" collapsed="false">
      <c r="A266" s="39"/>
      <c r="B266" s="44" t="str">
        <f aca="false">IF($A266="","",IFERROR(INDEX('Suivi EPP'!$B$6:$B$505,MATCH($A266,'Suivi EPP'!$A$6:$A$505,0))&amp;" "&amp;INDEX('Suivi EPP'!$C$6:$C$505,MATCH($A266,'Suivi EPP'!$A$6:$A$505,0)),"Matricule inconnu"))</f>
        <v/>
      </c>
      <c r="C266" s="40"/>
      <c r="D266" s="39"/>
      <c r="E266" s="39"/>
      <c r="F266" s="39"/>
      <c r="G266" s="39"/>
      <c r="H266" s="39"/>
    </row>
    <row r="267" customFormat="false" ht="15" hidden="false" customHeight="false" outlineLevel="0" collapsed="false">
      <c r="A267" s="39"/>
      <c r="B267" s="44" t="str">
        <f aca="false">IF($A267="","",IFERROR(INDEX('Suivi EPP'!$B$6:$B$505,MATCH($A267,'Suivi EPP'!$A$6:$A$505,0))&amp;" "&amp;INDEX('Suivi EPP'!$C$6:$C$505,MATCH($A267,'Suivi EPP'!$A$6:$A$505,0)),"Matricule inconnu"))</f>
        <v/>
      </c>
      <c r="C267" s="40"/>
      <c r="D267" s="39"/>
      <c r="E267" s="39"/>
      <c r="F267" s="39"/>
      <c r="G267" s="39"/>
      <c r="H267" s="39"/>
    </row>
    <row r="268" customFormat="false" ht="15" hidden="false" customHeight="false" outlineLevel="0" collapsed="false">
      <c r="A268" s="39"/>
      <c r="B268" s="44" t="str">
        <f aca="false">IF($A268="","",IFERROR(INDEX('Suivi EPP'!$B$6:$B$505,MATCH($A268,'Suivi EPP'!$A$6:$A$505,0))&amp;" "&amp;INDEX('Suivi EPP'!$C$6:$C$505,MATCH($A268,'Suivi EPP'!$A$6:$A$505,0)),"Matricule inconnu"))</f>
        <v/>
      </c>
      <c r="C268" s="40"/>
      <c r="D268" s="39"/>
      <c r="E268" s="39"/>
      <c r="F268" s="39"/>
      <c r="G268" s="39"/>
      <c r="H268" s="39"/>
    </row>
    <row r="269" customFormat="false" ht="15" hidden="false" customHeight="false" outlineLevel="0" collapsed="false">
      <c r="A269" s="39"/>
      <c r="B269" s="44" t="str">
        <f aca="false">IF($A269="","",IFERROR(INDEX('Suivi EPP'!$B$6:$B$505,MATCH($A269,'Suivi EPP'!$A$6:$A$505,0))&amp;" "&amp;INDEX('Suivi EPP'!$C$6:$C$505,MATCH($A269,'Suivi EPP'!$A$6:$A$505,0)),"Matricule inconnu"))</f>
        <v/>
      </c>
      <c r="C269" s="40"/>
      <c r="D269" s="39"/>
      <c r="E269" s="39"/>
      <c r="F269" s="39"/>
      <c r="G269" s="39"/>
      <c r="H269" s="39"/>
    </row>
    <row r="270" customFormat="false" ht="15" hidden="false" customHeight="false" outlineLevel="0" collapsed="false">
      <c r="A270" s="39"/>
      <c r="B270" s="44" t="str">
        <f aca="false">IF($A270="","",IFERROR(INDEX('Suivi EPP'!$B$6:$B$505,MATCH($A270,'Suivi EPP'!$A$6:$A$505,0))&amp;" "&amp;INDEX('Suivi EPP'!$C$6:$C$505,MATCH($A270,'Suivi EPP'!$A$6:$A$505,0)),"Matricule inconnu"))</f>
        <v/>
      </c>
      <c r="C270" s="40"/>
      <c r="D270" s="39"/>
      <c r="E270" s="39"/>
      <c r="F270" s="39"/>
      <c r="G270" s="39"/>
      <c r="H270" s="39"/>
    </row>
    <row r="271" customFormat="false" ht="15" hidden="false" customHeight="false" outlineLevel="0" collapsed="false">
      <c r="A271" s="39"/>
      <c r="B271" s="44" t="str">
        <f aca="false">IF($A271="","",IFERROR(INDEX('Suivi EPP'!$B$6:$B$505,MATCH($A271,'Suivi EPP'!$A$6:$A$505,0))&amp;" "&amp;INDEX('Suivi EPP'!$C$6:$C$505,MATCH($A271,'Suivi EPP'!$A$6:$A$505,0)),"Matricule inconnu"))</f>
        <v/>
      </c>
      <c r="C271" s="40"/>
      <c r="D271" s="39"/>
      <c r="E271" s="39"/>
      <c r="F271" s="39"/>
      <c r="G271" s="39"/>
      <c r="H271" s="39"/>
    </row>
    <row r="272" customFormat="false" ht="15" hidden="false" customHeight="false" outlineLevel="0" collapsed="false">
      <c r="A272" s="39"/>
      <c r="B272" s="44" t="str">
        <f aca="false">IF($A272="","",IFERROR(INDEX('Suivi EPP'!$B$6:$B$505,MATCH($A272,'Suivi EPP'!$A$6:$A$505,0))&amp;" "&amp;INDEX('Suivi EPP'!$C$6:$C$505,MATCH($A272,'Suivi EPP'!$A$6:$A$505,0)),"Matricule inconnu"))</f>
        <v/>
      </c>
      <c r="C272" s="40"/>
      <c r="D272" s="39"/>
      <c r="E272" s="39"/>
      <c r="F272" s="39"/>
      <c r="G272" s="39"/>
      <c r="H272" s="39"/>
    </row>
    <row r="273" customFormat="false" ht="15" hidden="false" customHeight="false" outlineLevel="0" collapsed="false">
      <c r="A273" s="39"/>
      <c r="B273" s="44" t="str">
        <f aca="false">IF($A273="","",IFERROR(INDEX('Suivi EPP'!$B$6:$B$505,MATCH($A273,'Suivi EPP'!$A$6:$A$505,0))&amp;" "&amp;INDEX('Suivi EPP'!$C$6:$C$505,MATCH($A273,'Suivi EPP'!$A$6:$A$505,0)),"Matricule inconnu"))</f>
        <v/>
      </c>
      <c r="C273" s="40"/>
      <c r="D273" s="39"/>
      <c r="E273" s="39"/>
      <c r="F273" s="39"/>
      <c r="G273" s="39"/>
      <c r="H273" s="39"/>
    </row>
    <row r="274" customFormat="false" ht="15" hidden="false" customHeight="false" outlineLevel="0" collapsed="false">
      <c r="A274" s="39"/>
      <c r="B274" s="44" t="str">
        <f aca="false">IF($A274="","",IFERROR(INDEX('Suivi EPP'!$B$6:$B$505,MATCH($A274,'Suivi EPP'!$A$6:$A$505,0))&amp;" "&amp;INDEX('Suivi EPP'!$C$6:$C$505,MATCH($A274,'Suivi EPP'!$A$6:$A$505,0)),"Matricule inconnu"))</f>
        <v/>
      </c>
      <c r="C274" s="40"/>
      <c r="D274" s="39"/>
      <c r="E274" s="39"/>
      <c r="F274" s="39"/>
      <c r="G274" s="39"/>
      <c r="H274" s="39"/>
    </row>
    <row r="275" customFormat="false" ht="15" hidden="false" customHeight="false" outlineLevel="0" collapsed="false">
      <c r="A275" s="39"/>
      <c r="B275" s="44" t="str">
        <f aca="false">IF($A275="","",IFERROR(INDEX('Suivi EPP'!$B$6:$B$505,MATCH($A275,'Suivi EPP'!$A$6:$A$505,0))&amp;" "&amp;INDEX('Suivi EPP'!$C$6:$C$505,MATCH($A275,'Suivi EPP'!$A$6:$A$505,0)),"Matricule inconnu"))</f>
        <v/>
      </c>
      <c r="C275" s="40"/>
      <c r="D275" s="39"/>
      <c r="E275" s="39"/>
      <c r="F275" s="39"/>
      <c r="G275" s="39"/>
      <c r="H275" s="39"/>
    </row>
    <row r="276" customFormat="false" ht="15" hidden="false" customHeight="false" outlineLevel="0" collapsed="false">
      <c r="A276" s="39"/>
      <c r="B276" s="44" t="str">
        <f aca="false">IF($A276="","",IFERROR(INDEX('Suivi EPP'!$B$6:$B$505,MATCH($A276,'Suivi EPP'!$A$6:$A$505,0))&amp;" "&amp;INDEX('Suivi EPP'!$C$6:$C$505,MATCH($A276,'Suivi EPP'!$A$6:$A$505,0)),"Matricule inconnu"))</f>
        <v/>
      </c>
      <c r="C276" s="40"/>
      <c r="D276" s="39"/>
      <c r="E276" s="39"/>
      <c r="F276" s="39"/>
      <c r="G276" s="39"/>
      <c r="H276" s="39"/>
    </row>
    <row r="277" customFormat="false" ht="15" hidden="false" customHeight="false" outlineLevel="0" collapsed="false">
      <c r="A277" s="39"/>
      <c r="B277" s="44" t="str">
        <f aca="false">IF($A277="","",IFERROR(INDEX('Suivi EPP'!$B$6:$B$505,MATCH($A277,'Suivi EPP'!$A$6:$A$505,0))&amp;" "&amp;INDEX('Suivi EPP'!$C$6:$C$505,MATCH($A277,'Suivi EPP'!$A$6:$A$505,0)),"Matricule inconnu"))</f>
        <v/>
      </c>
      <c r="C277" s="40"/>
      <c r="D277" s="39"/>
      <c r="E277" s="39"/>
      <c r="F277" s="39"/>
      <c r="G277" s="39"/>
      <c r="H277" s="39"/>
    </row>
    <row r="278" customFormat="false" ht="15" hidden="false" customHeight="false" outlineLevel="0" collapsed="false">
      <c r="A278" s="39"/>
      <c r="B278" s="44" t="str">
        <f aca="false">IF($A278="","",IFERROR(INDEX('Suivi EPP'!$B$6:$B$505,MATCH($A278,'Suivi EPP'!$A$6:$A$505,0))&amp;" "&amp;INDEX('Suivi EPP'!$C$6:$C$505,MATCH($A278,'Suivi EPP'!$A$6:$A$505,0)),"Matricule inconnu"))</f>
        <v/>
      </c>
      <c r="C278" s="40"/>
      <c r="D278" s="39"/>
      <c r="E278" s="39"/>
      <c r="F278" s="39"/>
      <c r="G278" s="39"/>
      <c r="H278" s="39"/>
    </row>
    <row r="279" customFormat="false" ht="15" hidden="false" customHeight="false" outlineLevel="0" collapsed="false">
      <c r="A279" s="39"/>
      <c r="B279" s="44" t="str">
        <f aca="false">IF($A279="","",IFERROR(INDEX('Suivi EPP'!$B$6:$B$505,MATCH($A279,'Suivi EPP'!$A$6:$A$505,0))&amp;" "&amp;INDEX('Suivi EPP'!$C$6:$C$505,MATCH($A279,'Suivi EPP'!$A$6:$A$505,0)),"Matricule inconnu"))</f>
        <v/>
      </c>
      <c r="C279" s="40"/>
      <c r="D279" s="39"/>
      <c r="E279" s="39"/>
      <c r="F279" s="39"/>
      <c r="G279" s="39"/>
      <c r="H279" s="39"/>
    </row>
    <row r="280" customFormat="false" ht="15" hidden="false" customHeight="false" outlineLevel="0" collapsed="false">
      <c r="A280" s="39"/>
      <c r="B280" s="44" t="str">
        <f aca="false">IF($A280="","",IFERROR(INDEX('Suivi EPP'!$B$6:$B$505,MATCH($A280,'Suivi EPP'!$A$6:$A$505,0))&amp;" "&amp;INDEX('Suivi EPP'!$C$6:$C$505,MATCH($A280,'Suivi EPP'!$A$6:$A$505,0)),"Matricule inconnu"))</f>
        <v/>
      </c>
      <c r="C280" s="40"/>
      <c r="D280" s="39"/>
      <c r="E280" s="39"/>
      <c r="F280" s="39"/>
      <c r="G280" s="39"/>
      <c r="H280" s="39"/>
    </row>
    <row r="281" customFormat="false" ht="15" hidden="false" customHeight="false" outlineLevel="0" collapsed="false">
      <c r="A281" s="39"/>
      <c r="B281" s="44" t="str">
        <f aca="false">IF($A281="","",IFERROR(INDEX('Suivi EPP'!$B$6:$B$505,MATCH($A281,'Suivi EPP'!$A$6:$A$505,0))&amp;" "&amp;INDEX('Suivi EPP'!$C$6:$C$505,MATCH($A281,'Suivi EPP'!$A$6:$A$505,0)),"Matricule inconnu"))</f>
        <v/>
      </c>
      <c r="C281" s="40"/>
      <c r="D281" s="39"/>
      <c r="E281" s="39"/>
      <c r="F281" s="39"/>
      <c r="G281" s="39"/>
      <c r="H281" s="39"/>
    </row>
    <row r="282" customFormat="false" ht="15" hidden="false" customHeight="false" outlineLevel="0" collapsed="false">
      <c r="A282" s="39"/>
      <c r="B282" s="44" t="str">
        <f aca="false">IF($A282="","",IFERROR(INDEX('Suivi EPP'!$B$6:$B$505,MATCH($A282,'Suivi EPP'!$A$6:$A$505,0))&amp;" "&amp;INDEX('Suivi EPP'!$C$6:$C$505,MATCH($A282,'Suivi EPP'!$A$6:$A$505,0)),"Matricule inconnu"))</f>
        <v/>
      </c>
      <c r="C282" s="40"/>
      <c r="D282" s="39"/>
      <c r="E282" s="39"/>
      <c r="F282" s="39"/>
      <c r="G282" s="39"/>
      <c r="H282" s="39"/>
    </row>
    <row r="283" customFormat="false" ht="15" hidden="false" customHeight="false" outlineLevel="0" collapsed="false">
      <c r="A283" s="39"/>
      <c r="B283" s="44" t="str">
        <f aca="false">IF($A283="","",IFERROR(INDEX('Suivi EPP'!$B$6:$B$505,MATCH($A283,'Suivi EPP'!$A$6:$A$505,0))&amp;" "&amp;INDEX('Suivi EPP'!$C$6:$C$505,MATCH($A283,'Suivi EPP'!$A$6:$A$505,0)),"Matricule inconnu"))</f>
        <v/>
      </c>
      <c r="C283" s="40"/>
      <c r="D283" s="39"/>
      <c r="E283" s="39"/>
      <c r="F283" s="39"/>
      <c r="G283" s="39"/>
      <c r="H283" s="39"/>
    </row>
    <row r="284" customFormat="false" ht="15" hidden="false" customHeight="false" outlineLevel="0" collapsed="false">
      <c r="A284" s="39"/>
      <c r="B284" s="44" t="str">
        <f aca="false">IF($A284="","",IFERROR(INDEX('Suivi EPP'!$B$6:$B$505,MATCH($A284,'Suivi EPP'!$A$6:$A$505,0))&amp;" "&amp;INDEX('Suivi EPP'!$C$6:$C$505,MATCH($A284,'Suivi EPP'!$A$6:$A$505,0)),"Matricule inconnu"))</f>
        <v/>
      </c>
      <c r="C284" s="40"/>
      <c r="D284" s="39"/>
      <c r="E284" s="39"/>
      <c r="F284" s="39"/>
      <c r="G284" s="39"/>
      <c r="H284" s="39"/>
    </row>
    <row r="285" customFormat="false" ht="15" hidden="false" customHeight="false" outlineLevel="0" collapsed="false">
      <c r="A285" s="39"/>
      <c r="B285" s="44" t="str">
        <f aca="false">IF($A285="","",IFERROR(INDEX('Suivi EPP'!$B$6:$B$505,MATCH($A285,'Suivi EPP'!$A$6:$A$505,0))&amp;" "&amp;INDEX('Suivi EPP'!$C$6:$C$505,MATCH($A285,'Suivi EPP'!$A$6:$A$505,0)),"Matricule inconnu"))</f>
        <v/>
      </c>
      <c r="C285" s="40"/>
      <c r="D285" s="39"/>
      <c r="E285" s="39"/>
      <c r="F285" s="39"/>
      <c r="G285" s="39"/>
      <c r="H285" s="39"/>
    </row>
    <row r="286" customFormat="false" ht="15" hidden="false" customHeight="false" outlineLevel="0" collapsed="false">
      <c r="A286" s="39"/>
      <c r="B286" s="44" t="str">
        <f aca="false">IF($A286="","",IFERROR(INDEX('Suivi EPP'!$B$6:$B$505,MATCH($A286,'Suivi EPP'!$A$6:$A$505,0))&amp;" "&amp;INDEX('Suivi EPP'!$C$6:$C$505,MATCH($A286,'Suivi EPP'!$A$6:$A$505,0)),"Matricule inconnu"))</f>
        <v/>
      </c>
      <c r="C286" s="40"/>
      <c r="D286" s="39"/>
      <c r="E286" s="39"/>
      <c r="F286" s="39"/>
      <c r="G286" s="39"/>
      <c r="H286" s="39"/>
    </row>
    <row r="287" customFormat="false" ht="15" hidden="false" customHeight="false" outlineLevel="0" collapsed="false">
      <c r="A287" s="39"/>
      <c r="B287" s="44" t="str">
        <f aca="false">IF($A287="","",IFERROR(INDEX('Suivi EPP'!$B$6:$B$505,MATCH($A287,'Suivi EPP'!$A$6:$A$505,0))&amp;" "&amp;INDEX('Suivi EPP'!$C$6:$C$505,MATCH($A287,'Suivi EPP'!$A$6:$A$505,0)),"Matricule inconnu"))</f>
        <v/>
      </c>
      <c r="C287" s="40"/>
      <c r="D287" s="39"/>
      <c r="E287" s="39"/>
      <c r="F287" s="39"/>
      <c r="G287" s="39"/>
      <c r="H287" s="39"/>
    </row>
    <row r="288" customFormat="false" ht="15" hidden="false" customHeight="false" outlineLevel="0" collapsed="false">
      <c r="A288" s="39"/>
      <c r="B288" s="44" t="str">
        <f aca="false">IF($A288="","",IFERROR(INDEX('Suivi EPP'!$B$6:$B$505,MATCH($A288,'Suivi EPP'!$A$6:$A$505,0))&amp;" "&amp;INDEX('Suivi EPP'!$C$6:$C$505,MATCH($A288,'Suivi EPP'!$A$6:$A$505,0)),"Matricule inconnu"))</f>
        <v/>
      </c>
      <c r="C288" s="40"/>
      <c r="D288" s="39"/>
      <c r="E288" s="39"/>
      <c r="F288" s="39"/>
      <c r="G288" s="39"/>
      <c r="H288" s="39"/>
    </row>
    <row r="289" customFormat="false" ht="15" hidden="false" customHeight="false" outlineLevel="0" collapsed="false">
      <c r="A289" s="39"/>
      <c r="B289" s="44" t="str">
        <f aca="false">IF($A289="","",IFERROR(INDEX('Suivi EPP'!$B$6:$B$505,MATCH($A289,'Suivi EPP'!$A$6:$A$505,0))&amp;" "&amp;INDEX('Suivi EPP'!$C$6:$C$505,MATCH($A289,'Suivi EPP'!$A$6:$A$505,0)),"Matricule inconnu"))</f>
        <v/>
      </c>
      <c r="C289" s="40"/>
      <c r="D289" s="39"/>
      <c r="E289" s="39"/>
      <c r="F289" s="39"/>
      <c r="G289" s="39"/>
      <c r="H289" s="39"/>
    </row>
    <row r="290" customFormat="false" ht="15" hidden="false" customHeight="false" outlineLevel="0" collapsed="false">
      <c r="A290" s="39"/>
      <c r="B290" s="44" t="str">
        <f aca="false">IF($A290="","",IFERROR(INDEX('Suivi EPP'!$B$6:$B$505,MATCH($A290,'Suivi EPP'!$A$6:$A$505,0))&amp;" "&amp;INDEX('Suivi EPP'!$C$6:$C$505,MATCH($A290,'Suivi EPP'!$A$6:$A$505,0)),"Matricule inconnu"))</f>
        <v/>
      </c>
      <c r="C290" s="40"/>
      <c r="D290" s="39"/>
      <c r="E290" s="39"/>
      <c r="F290" s="39"/>
      <c r="G290" s="39"/>
      <c r="H290" s="39"/>
    </row>
    <row r="291" customFormat="false" ht="15" hidden="false" customHeight="false" outlineLevel="0" collapsed="false">
      <c r="A291" s="39"/>
      <c r="B291" s="44" t="str">
        <f aca="false">IF($A291="","",IFERROR(INDEX('Suivi EPP'!$B$6:$B$505,MATCH($A291,'Suivi EPP'!$A$6:$A$505,0))&amp;" "&amp;INDEX('Suivi EPP'!$C$6:$C$505,MATCH($A291,'Suivi EPP'!$A$6:$A$505,0)),"Matricule inconnu"))</f>
        <v/>
      </c>
      <c r="C291" s="40"/>
      <c r="D291" s="39"/>
      <c r="E291" s="39"/>
      <c r="F291" s="39"/>
      <c r="G291" s="39"/>
      <c r="H291" s="39"/>
    </row>
    <row r="292" customFormat="false" ht="15" hidden="false" customHeight="false" outlineLevel="0" collapsed="false">
      <c r="A292" s="39"/>
      <c r="B292" s="44" t="str">
        <f aca="false">IF($A292="","",IFERROR(INDEX('Suivi EPP'!$B$6:$B$505,MATCH($A292,'Suivi EPP'!$A$6:$A$505,0))&amp;" "&amp;INDEX('Suivi EPP'!$C$6:$C$505,MATCH($A292,'Suivi EPP'!$A$6:$A$505,0)),"Matricule inconnu"))</f>
        <v/>
      </c>
      <c r="C292" s="40"/>
      <c r="D292" s="39"/>
      <c r="E292" s="39"/>
      <c r="F292" s="39"/>
      <c r="G292" s="39"/>
      <c r="H292" s="39"/>
    </row>
    <row r="293" customFormat="false" ht="15" hidden="false" customHeight="false" outlineLevel="0" collapsed="false">
      <c r="A293" s="39"/>
      <c r="B293" s="44" t="str">
        <f aca="false">IF($A293="","",IFERROR(INDEX('Suivi EPP'!$B$6:$B$505,MATCH($A293,'Suivi EPP'!$A$6:$A$505,0))&amp;" "&amp;INDEX('Suivi EPP'!$C$6:$C$505,MATCH($A293,'Suivi EPP'!$A$6:$A$505,0)),"Matricule inconnu"))</f>
        <v/>
      </c>
      <c r="C293" s="40"/>
      <c r="D293" s="39"/>
      <c r="E293" s="39"/>
      <c r="F293" s="39"/>
      <c r="G293" s="39"/>
      <c r="H293" s="39"/>
    </row>
    <row r="294" customFormat="false" ht="15" hidden="false" customHeight="false" outlineLevel="0" collapsed="false">
      <c r="A294" s="39"/>
      <c r="B294" s="44" t="str">
        <f aca="false">IF($A294="","",IFERROR(INDEX('Suivi EPP'!$B$6:$B$505,MATCH($A294,'Suivi EPP'!$A$6:$A$505,0))&amp;" "&amp;INDEX('Suivi EPP'!$C$6:$C$505,MATCH($A294,'Suivi EPP'!$A$6:$A$505,0)),"Matricule inconnu"))</f>
        <v/>
      </c>
      <c r="C294" s="40"/>
      <c r="D294" s="39"/>
      <c r="E294" s="39"/>
      <c r="F294" s="39"/>
      <c r="G294" s="39"/>
      <c r="H294" s="39"/>
    </row>
    <row r="295" customFormat="false" ht="15" hidden="false" customHeight="false" outlineLevel="0" collapsed="false">
      <c r="A295" s="39"/>
      <c r="B295" s="44" t="str">
        <f aca="false">IF($A295="","",IFERROR(INDEX('Suivi EPP'!$B$6:$B$505,MATCH($A295,'Suivi EPP'!$A$6:$A$505,0))&amp;" "&amp;INDEX('Suivi EPP'!$C$6:$C$505,MATCH($A295,'Suivi EPP'!$A$6:$A$505,0)),"Matricule inconnu"))</f>
        <v/>
      </c>
      <c r="C295" s="40"/>
      <c r="D295" s="39"/>
      <c r="E295" s="39"/>
      <c r="F295" s="39"/>
      <c r="G295" s="39"/>
      <c r="H295" s="39"/>
    </row>
    <row r="296" customFormat="false" ht="15" hidden="false" customHeight="false" outlineLevel="0" collapsed="false">
      <c r="A296" s="39"/>
      <c r="B296" s="44" t="str">
        <f aca="false">IF($A296="","",IFERROR(INDEX('Suivi EPP'!$B$6:$B$505,MATCH($A296,'Suivi EPP'!$A$6:$A$505,0))&amp;" "&amp;INDEX('Suivi EPP'!$C$6:$C$505,MATCH($A296,'Suivi EPP'!$A$6:$A$505,0)),"Matricule inconnu"))</f>
        <v/>
      </c>
      <c r="C296" s="40"/>
      <c r="D296" s="39"/>
      <c r="E296" s="39"/>
      <c r="F296" s="39"/>
      <c r="G296" s="39"/>
      <c r="H296" s="39"/>
    </row>
    <row r="297" customFormat="false" ht="15" hidden="false" customHeight="false" outlineLevel="0" collapsed="false">
      <c r="A297" s="39"/>
      <c r="B297" s="44" t="str">
        <f aca="false">IF($A297="","",IFERROR(INDEX('Suivi EPP'!$B$6:$B$505,MATCH($A297,'Suivi EPP'!$A$6:$A$505,0))&amp;" "&amp;INDEX('Suivi EPP'!$C$6:$C$505,MATCH($A297,'Suivi EPP'!$A$6:$A$505,0)),"Matricule inconnu"))</f>
        <v/>
      </c>
      <c r="C297" s="40"/>
      <c r="D297" s="39"/>
      <c r="E297" s="39"/>
      <c r="F297" s="39"/>
      <c r="G297" s="39"/>
      <c r="H297" s="39"/>
    </row>
    <row r="298" customFormat="false" ht="15" hidden="false" customHeight="false" outlineLevel="0" collapsed="false">
      <c r="A298" s="39"/>
      <c r="B298" s="44" t="str">
        <f aca="false">IF($A298="","",IFERROR(INDEX('Suivi EPP'!$B$6:$B$505,MATCH($A298,'Suivi EPP'!$A$6:$A$505,0))&amp;" "&amp;INDEX('Suivi EPP'!$C$6:$C$505,MATCH($A298,'Suivi EPP'!$A$6:$A$505,0)),"Matricule inconnu"))</f>
        <v/>
      </c>
      <c r="C298" s="40"/>
      <c r="D298" s="39"/>
      <c r="E298" s="39"/>
      <c r="F298" s="39"/>
      <c r="G298" s="39"/>
      <c r="H298" s="39"/>
    </row>
    <row r="299" customFormat="false" ht="15" hidden="false" customHeight="false" outlineLevel="0" collapsed="false">
      <c r="A299" s="39"/>
      <c r="B299" s="44" t="str">
        <f aca="false">IF($A299="","",IFERROR(INDEX('Suivi EPP'!$B$6:$B$505,MATCH($A299,'Suivi EPP'!$A$6:$A$505,0))&amp;" "&amp;INDEX('Suivi EPP'!$C$6:$C$505,MATCH($A299,'Suivi EPP'!$A$6:$A$505,0)),"Matricule inconnu"))</f>
        <v/>
      </c>
      <c r="C299" s="40"/>
      <c r="D299" s="39"/>
      <c r="E299" s="39"/>
      <c r="F299" s="39"/>
      <c r="G299" s="39"/>
      <c r="H299" s="39"/>
    </row>
    <row r="300" customFormat="false" ht="15" hidden="false" customHeight="false" outlineLevel="0" collapsed="false">
      <c r="A300" s="39"/>
      <c r="B300" s="44" t="str">
        <f aca="false">IF($A300="","",IFERROR(INDEX('Suivi EPP'!$B$6:$B$505,MATCH($A300,'Suivi EPP'!$A$6:$A$505,0))&amp;" "&amp;INDEX('Suivi EPP'!$C$6:$C$505,MATCH($A300,'Suivi EPP'!$A$6:$A$505,0)),"Matricule inconnu"))</f>
        <v/>
      </c>
      <c r="C300" s="40"/>
      <c r="D300" s="39"/>
      <c r="E300" s="39"/>
      <c r="F300" s="39"/>
      <c r="G300" s="39"/>
      <c r="H300" s="39"/>
    </row>
    <row r="301" customFormat="false" ht="15" hidden="false" customHeight="false" outlineLevel="0" collapsed="false">
      <c r="A301" s="39"/>
      <c r="B301" s="44" t="str">
        <f aca="false">IF($A301="","",IFERROR(INDEX('Suivi EPP'!$B$6:$B$505,MATCH($A301,'Suivi EPP'!$A$6:$A$505,0))&amp;" "&amp;INDEX('Suivi EPP'!$C$6:$C$505,MATCH($A301,'Suivi EPP'!$A$6:$A$505,0)),"Matricule inconnu"))</f>
        <v/>
      </c>
      <c r="C301" s="40"/>
      <c r="D301" s="39"/>
      <c r="E301" s="39"/>
      <c r="F301" s="39"/>
      <c r="G301" s="39"/>
      <c r="H301" s="39"/>
    </row>
    <row r="302" customFormat="false" ht="15" hidden="false" customHeight="false" outlineLevel="0" collapsed="false">
      <c r="A302" s="39"/>
      <c r="B302" s="44" t="str">
        <f aca="false">IF($A302="","",IFERROR(INDEX('Suivi EPP'!$B$6:$B$505,MATCH($A302,'Suivi EPP'!$A$6:$A$505,0))&amp;" "&amp;INDEX('Suivi EPP'!$C$6:$C$505,MATCH($A302,'Suivi EPP'!$A$6:$A$505,0)),"Matricule inconnu"))</f>
        <v/>
      </c>
      <c r="C302" s="40"/>
      <c r="D302" s="39"/>
      <c r="E302" s="39"/>
      <c r="F302" s="39"/>
      <c r="G302" s="39"/>
      <c r="H302" s="39"/>
    </row>
    <row r="303" customFormat="false" ht="15" hidden="false" customHeight="false" outlineLevel="0" collapsed="false">
      <c r="A303" s="39"/>
      <c r="B303" s="44" t="str">
        <f aca="false">IF($A303="","",IFERROR(INDEX('Suivi EPP'!$B$6:$B$505,MATCH($A303,'Suivi EPP'!$A$6:$A$505,0))&amp;" "&amp;INDEX('Suivi EPP'!$C$6:$C$505,MATCH($A303,'Suivi EPP'!$A$6:$A$505,0)),"Matricule inconnu"))</f>
        <v/>
      </c>
      <c r="C303" s="40"/>
      <c r="D303" s="39"/>
      <c r="E303" s="39"/>
      <c r="F303" s="39"/>
      <c r="G303" s="39"/>
      <c r="H303" s="39"/>
    </row>
    <row r="304" customFormat="false" ht="15" hidden="false" customHeight="false" outlineLevel="0" collapsed="false">
      <c r="A304" s="39"/>
      <c r="B304" s="44" t="str">
        <f aca="false">IF($A304="","",IFERROR(INDEX('Suivi EPP'!$B$6:$B$505,MATCH($A304,'Suivi EPP'!$A$6:$A$505,0))&amp;" "&amp;INDEX('Suivi EPP'!$C$6:$C$505,MATCH($A304,'Suivi EPP'!$A$6:$A$505,0)),"Matricule inconnu"))</f>
        <v/>
      </c>
      <c r="C304" s="40"/>
      <c r="D304" s="39"/>
      <c r="E304" s="39"/>
      <c r="F304" s="39"/>
      <c r="G304" s="39"/>
      <c r="H304" s="39"/>
    </row>
    <row r="305" customFormat="false" ht="15" hidden="false" customHeight="false" outlineLevel="0" collapsed="false">
      <c r="A305" s="39"/>
      <c r="B305" s="44" t="str">
        <f aca="false">IF($A305="","",IFERROR(INDEX('Suivi EPP'!$B$6:$B$505,MATCH($A305,'Suivi EPP'!$A$6:$A$505,0))&amp;" "&amp;INDEX('Suivi EPP'!$C$6:$C$505,MATCH($A305,'Suivi EPP'!$A$6:$A$505,0)),"Matricule inconnu"))</f>
        <v/>
      </c>
      <c r="C305" s="40"/>
      <c r="D305" s="39"/>
      <c r="E305" s="39"/>
      <c r="F305" s="39"/>
      <c r="G305" s="39"/>
      <c r="H305" s="39"/>
    </row>
    <row r="306" customFormat="false" ht="15" hidden="false" customHeight="false" outlineLevel="0" collapsed="false">
      <c r="A306" s="39"/>
      <c r="B306" s="44" t="str">
        <f aca="false">IF($A306="","",IFERROR(INDEX('Suivi EPP'!$B$6:$B$505,MATCH($A306,'Suivi EPP'!$A$6:$A$505,0))&amp;" "&amp;INDEX('Suivi EPP'!$C$6:$C$505,MATCH($A306,'Suivi EPP'!$A$6:$A$505,0)),"Matricule inconnu"))</f>
        <v/>
      </c>
      <c r="C306" s="40"/>
      <c r="D306" s="39"/>
      <c r="E306" s="39"/>
      <c r="F306" s="39"/>
      <c r="G306" s="39"/>
      <c r="H306" s="39"/>
    </row>
    <row r="307" customFormat="false" ht="15" hidden="false" customHeight="false" outlineLevel="0" collapsed="false">
      <c r="A307" s="39"/>
      <c r="B307" s="44" t="str">
        <f aca="false">IF($A307="","",IFERROR(INDEX('Suivi EPP'!$B$6:$B$505,MATCH($A307,'Suivi EPP'!$A$6:$A$505,0))&amp;" "&amp;INDEX('Suivi EPP'!$C$6:$C$505,MATCH($A307,'Suivi EPP'!$A$6:$A$505,0)),"Matricule inconnu"))</f>
        <v/>
      </c>
      <c r="C307" s="40"/>
      <c r="D307" s="39"/>
      <c r="E307" s="39"/>
      <c r="F307" s="39"/>
      <c r="G307" s="39"/>
      <c r="H307" s="39"/>
    </row>
    <row r="308" customFormat="false" ht="15" hidden="false" customHeight="false" outlineLevel="0" collapsed="false">
      <c r="A308" s="39"/>
      <c r="B308" s="44" t="str">
        <f aca="false">IF($A308="","",IFERROR(INDEX('Suivi EPP'!$B$6:$B$505,MATCH($A308,'Suivi EPP'!$A$6:$A$505,0))&amp;" "&amp;INDEX('Suivi EPP'!$C$6:$C$505,MATCH($A308,'Suivi EPP'!$A$6:$A$505,0)),"Matricule inconnu"))</f>
        <v/>
      </c>
      <c r="C308" s="40"/>
      <c r="D308" s="39"/>
      <c r="E308" s="39"/>
      <c r="F308" s="39"/>
      <c r="G308" s="39"/>
      <c r="H308" s="39"/>
    </row>
    <row r="309" customFormat="false" ht="15" hidden="false" customHeight="false" outlineLevel="0" collapsed="false">
      <c r="A309" s="39"/>
      <c r="B309" s="44" t="str">
        <f aca="false">IF($A309="","",IFERROR(INDEX('Suivi EPP'!$B$6:$B$505,MATCH($A309,'Suivi EPP'!$A$6:$A$505,0))&amp;" "&amp;INDEX('Suivi EPP'!$C$6:$C$505,MATCH($A309,'Suivi EPP'!$A$6:$A$505,0)),"Matricule inconnu"))</f>
        <v/>
      </c>
      <c r="C309" s="40"/>
      <c r="D309" s="39"/>
      <c r="E309" s="39"/>
      <c r="F309" s="39"/>
      <c r="G309" s="39"/>
      <c r="H309" s="39"/>
    </row>
    <row r="310" customFormat="false" ht="15" hidden="false" customHeight="false" outlineLevel="0" collapsed="false">
      <c r="A310" s="39"/>
      <c r="B310" s="44" t="str">
        <f aca="false">IF($A310="","",IFERROR(INDEX('Suivi EPP'!$B$6:$B$505,MATCH($A310,'Suivi EPP'!$A$6:$A$505,0))&amp;" "&amp;INDEX('Suivi EPP'!$C$6:$C$505,MATCH($A310,'Suivi EPP'!$A$6:$A$505,0)),"Matricule inconnu"))</f>
        <v/>
      </c>
      <c r="C310" s="40"/>
      <c r="D310" s="39"/>
      <c r="E310" s="39"/>
      <c r="F310" s="39"/>
      <c r="G310" s="39"/>
      <c r="H310" s="39"/>
    </row>
    <row r="311" customFormat="false" ht="15" hidden="false" customHeight="false" outlineLevel="0" collapsed="false">
      <c r="A311" s="39"/>
      <c r="B311" s="44" t="str">
        <f aca="false">IF($A311="","",IFERROR(INDEX('Suivi EPP'!$B$6:$B$505,MATCH($A311,'Suivi EPP'!$A$6:$A$505,0))&amp;" "&amp;INDEX('Suivi EPP'!$C$6:$C$505,MATCH($A311,'Suivi EPP'!$A$6:$A$505,0)),"Matricule inconnu"))</f>
        <v/>
      </c>
      <c r="C311" s="40"/>
      <c r="D311" s="39"/>
      <c r="E311" s="39"/>
      <c r="F311" s="39"/>
      <c r="G311" s="39"/>
      <c r="H311" s="39"/>
    </row>
    <row r="312" customFormat="false" ht="15" hidden="false" customHeight="false" outlineLevel="0" collapsed="false">
      <c r="A312" s="39"/>
      <c r="B312" s="44" t="str">
        <f aca="false">IF($A312="","",IFERROR(INDEX('Suivi EPP'!$B$6:$B$505,MATCH($A312,'Suivi EPP'!$A$6:$A$505,0))&amp;" "&amp;INDEX('Suivi EPP'!$C$6:$C$505,MATCH($A312,'Suivi EPP'!$A$6:$A$505,0)),"Matricule inconnu"))</f>
        <v/>
      </c>
      <c r="C312" s="40"/>
      <c r="D312" s="39"/>
      <c r="E312" s="39"/>
      <c r="F312" s="39"/>
      <c r="G312" s="39"/>
      <c r="H312" s="39"/>
    </row>
    <row r="313" customFormat="false" ht="15" hidden="false" customHeight="false" outlineLevel="0" collapsed="false">
      <c r="A313" s="39"/>
      <c r="B313" s="44" t="str">
        <f aca="false">IF($A313="","",IFERROR(INDEX('Suivi EPP'!$B$6:$B$505,MATCH($A313,'Suivi EPP'!$A$6:$A$505,0))&amp;" "&amp;INDEX('Suivi EPP'!$C$6:$C$505,MATCH($A313,'Suivi EPP'!$A$6:$A$505,0)),"Matricule inconnu"))</f>
        <v/>
      </c>
      <c r="C313" s="40"/>
      <c r="D313" s="39"/>
      <c r="E313" s="39"/>
      <c r="F313" s="39"/>
      <c r="G313" s="39"/>
      <c r="H313" s="39"/>
    </row>
    <row r="314" customFormat="false" ht="15" hidden="false" customHeight="false" outlineLevel="0" collapsed="false">
      <c r="A314" s="39"/>
      <c r="B314" s="44" t="str">
        <f aca="false">IF($A314="","",IFERROR(INDEX('Suivi EPP'!$B$6:$B$505,MATCH($A314,'Suivi EPP'!$A$6:$A$505,0))&amp;" "&amp;INDEX('Suivi EPP'!$C$6:$C$505,MATCH($A314,'Suivi EPP'!$A$6:$A$505,0)),"Matricule inconnu"))</f>
        <v/>
      </c>
      <c r="C314" s="40"/>
      <c r="D314" s="39"/>
      <c r="E314" s="39"/>
      <c r="F314" s="39"/>
      <c r="G314" s="39"/>
      <c r="H314" s="39"/>
    </row>
    <row r="315" customFormat="false" ht="15" hidden="false" customHeight="false" outlineLevel="0" collapsed="false">
      <c r="A315" s="39"/>
      <c r="B315" s="44" t="str">
        <f aca="false">IF($A315="","",IFERROR(INDEX('Suivi EPP'!$B$6:$B$505,MATCH($A315,'Suivi EPP'!$A$6:$A$505,0))&amp;" "&amp;INDEX('Suivi EPP'!$C$6:$C$505,MATCH($A315,'Suivi EPP'!$A$6:$A$505,0)),"Matricule inconnu"))</f>
        <v/>
      </c>
      <c r="C315" s="40"/>
      <c r="D315" s="39"/>
      <c r="E315" s="39"/>
      <c r="F315" s="39"/>
      <c r="G315" s="39"/>
      <c r="H315" s="39"/>
    </row>
    <row r="316" customFormat="false" ht="15" hidden="false" customHeight="false" outlineLevel="0" collapsed="false">
      <c r="A316" s="39"/>
      <c r="B316" s="44" t="str">
        <f aca="false">IF($A316="","",IFERROR(INDEX('Suivi EPP'!$B$6:$B$505,MATCH($A316,'Suivi EPP'!$A$6:$A$505,0))&amp;" "&amp;INDEX('Suivi EPP'!$C$6:$C$505,MATCH($A316,'Suivi EPP'!$A$6:$A$505,0)),"Matricule inconnu"))</f>
        <v/>
      </c>
      <c r="C316" s="40"/>
      <c r="D316" s="39"/>
      <c r="E316" s="39"/>
      <c r="F316" s="39"/>
      <c r="G316" s="39"/>
      <c r="H316" s="39"/>
    </row>
    <row r="317" customFormat="false" ht="15" hidden="false" customHeight="false" outlineLevel="0" collapsed="false">
      <c r="A317" s="39"/>
      <c r="B317" s="44" t="str">
        <f aca="false">IF($A317="","",IFERROR(INDEX('Suivi EPP'!$B$6:$B$505,MATCH($A317,'Suivi EPP'!$A$6:$A$505,0))&amp;" "&amp;INDEX('Suivi EPP'!$C$6:$C$505,MATCH($A317,'Suivi EPP'!$A$6:$A$505,0)),"Matricule inconnu"))</f>
        <v/>
      </c>
      <c r="C317" s="40"/>
      <c r="D317" s="39"/>
      <c r="E317" s="39"/>
      <c r="F317" s="39"/>
      <c r="G317" s="39"/>
      <c r="H317" s="39"/>
    </row>
    <row r="318" customFormat="false" ht="15" hidden="false" customHeight="false" outlineLevel="0" collapsed="false">
      <c r="A318" s="39"/>
      <c r="B318" s="44" t="str">
        <f aca="false">IF($A318="","",IFERROR(INDEX('Suivi EPP'!$B$6:$B$505,MATCH($A318,'Suivi EPP'!$A$6:$A$505,0))&amp;" "&amp;INDEX('Suivi EPP'!$C$6:$C$505,MATCH($A318,'Suivi EPP'!$A$6:$A$505,0)),"Matricule inconnu"))</f>
        <v/>
      </c>
      <c r="C318" s="40"/>
      <c r="D318" s="39"/>
      <c r="E318" s="39"/>
      <c r="F318" s="39"/>
      <c r="G318" s="39"/>
      <c r="H318" s="39"/>
    </row>
    <row r="319" customFormat="false" ht="15" hidden="false" customHeight="false" outlineLevel="0" collapsed="false">
      <c r="A319" s="39"/>
      <c r="B319" s="44" t="str">
        <f aca="false">IF($A319="","",IFERROR(INDEX('Suivi EPP'!$B$6:$B$505,MATCH($A319,'Suivi EPP'!$A$6:$A$505,0))&amp;" "&amp;INDEX('Suivi EPP'!$C$6:$C$505,MATCH($A319,'Suivi EPP'!$A$6:$A$505,0)),"Matricule inconnu"))</f>
        <v/>
      </c>
      <c r="C319" s="40"/>
      <c r="D319" s="39"/>
      <c r="E319" s="39"/>
      <c r="F319" s="39"/>
      <c r="G319" s="39"/>
      <c r="H319" s="39"/>
    </row>
    <row r="320" customFormat="false" ht="15" hidden="false" customHeight="false" outlineLevel="0" collapsed="false">
      <c r="A320" s="39"/>
      <c r="B320" s="44" t="str">
        <f aca="false">IF($A320="","",IFERROR(INDEX('Suivi EPP'!$B$6:$B$505,MATCH($A320,'Suivi EPP'!$A$6:$A$505,0))&amp;" "&amp;INDEX('Suivi EPP'!$C$6:$C$505,MATCH($A320,'Suivi EPP'!$A$6:$A$505,0)),"Matricule inconnu"))</f>
        <v/>
      </c>
      <c r="C320" s="40"/>
      <c r="D320" s="39"/>
      <c r="E320" s="39"/>
      <c r="F320" s="39"/>
      <c r="G320" s="39"/>
      <c r="H320" s="39"/>
    </row>
    <row r="321" customFormat="false" ht="15" hidden="false" customHeight="false" outlineLevel="0" collapsed="false">
      <c r="A321" s="39"/>
      <c r="B321" s="44" t="str">
        <f aca="false">IF($A321="","",IFERROR(INDEX('Suivi EPP'!$B$6:$B$505,MATCH($A321,'Suivi EPP'!$A$6:$A$505,0))&amp;" "&amp;INDEX('Suivi EPP'!$C$6:$C$505,MATCH($A321,'Suivi EPP'!$A$6:$A$505,0)),"Matricule inconnu"))</f>
        <v/>
      </c>
      <c r="C321" s="40"/>
      <c r="D321" s="39"/>
      <c r="E321" s="39"/>
      <c r="F321" s="39"/>
      <c r="G321" s="39"/>
      <c r="H321" s="39"/>
    </row>
    <row r="322" customFormat="false" ht="15" hidden="false" customHeight="false" outlineLevel="0" collapsed="false">
      <c r="A322" s="39"/>
      <c r="B322" s="44" t="str">
        <f aca="false">IF($A322="","",IFERROR(INDEX('Suivi EPP'!$B$6:$B$505,MATCH($A322,'Suivi EPP'!$A$6:$A$505,0))&amp;" "&amp;INDEX('Suivi EPP'!$C$6:$C$505,MATCH($A322,'Suivi EPP'!$A$6:$A$505,0)),"Matricule inconnu"))</f>
        <v/>
      </c>
      <c r="C322" s="40"/>
      <c r="D322" s="39"/>
      <c r="E322" s="39"/>
      <c r="F322" s="39"/>
      <c r="G322" s="39"/>
      <c r="H322" s="39"/>
    </row>
    <row r="323" customFormat="false" ht="15" hidden="false" customHeight="false" outlineLevel="0" collapsed="false">
      <c r="A323" s="39"/>
      <c r="B323" s="44" t="str">
        <f aca="false">IF($A323="","",IFERROR(INDEX('Suivi EPP'!$B$6:$B$505,MATCH($A323,'Suivi EPP'!$A$6:$A$505,0))&amp;" "&amp;INDEX('Suivi EPP'!$C$6:$C$505,MATCH($A323,'Suivi EPP'!$A$6:$A$505,0)),"Matricule inconnu"))</f>
        <v/>
      </c>
      <c r="C323" s="40"/>
      <c r="D323" s="39"/>
      <c r="E323" s="39"/>
      <c r="F323" s="39"/>
      <c r="G323" s="39"/>
      <c r="H323" s="39"/>
    </row>
    <row r="324" customFormat="false" ht="15" hidden="false" customHeight="false" outlineLevel="0" collapsed="false">
      <c r="A324" s="39"/>
      <c r="B324" s="44" t="str">
        <f aca="false">IF($A324="","",IFERROR(INDEX('Suivi EPP'!$B$6:$B$505,MATCH($A324,'Suivi EPP'!$A$6:$A$505,0))&amp;" "&amp;INDEX('Suivi EPP'!$C$6:$C$505,MATCH($A324,'Suivi EPP'!$A$6:$A$505,0)),"Matricule inconnu"))</f>
        <v/>
      </c>
      <c r="C324" s="40"/>
      <c r="D324" s="39"/>
      <c r="E324" s="39"/>
      <c r="F324" s="39"/>
      <c r="G324" s="39"/>
      <c r="H324" s="39"/>
    </row>
    <row r="325" customFormat="false" ht="15" hidden="false" customHeight="false" outlineLevel="0" collapsed="false">
      <c r="A325" s="39"/>
      <c r="B325" s="44" t="str">
        <f aca="false">IF($A325="","",IFERROR(INDEX('Suivi EPP'!$B$6:$B$505,MATCH($A325,'Suivi EPP'!$A$6:$A$505,0))&amp;" "&amp;INDEX('Suivi EPP'!$C$6:$C$505,MATCH($A325,'Suivi EPP'!$A$6:$A$505,0)),"Matricule inconnu"))</f>
        <v/>
      </c>
      <c r="C325" s="40"/>
      <c r="D325" s="39"/>
      <c r="E325" s="39"/>
      <c r="F325" s="39"/>
      <c r="G325" s="39"/>
      <c r="H325" s="39"/>
    </row>
    <row r="326" customFormat="false" ht="15" hidden="false" customHeight="false" outlineLevel="0" collapsed="false">
      <c r="A326" s="39"/>
      <c r="B326" s="44" t="str">
        <f aca="false">IF($A326="","",IFERROR(INDEX('Suivi EPP'!$B$6:$B$505,MATCH($A326,'Suivi EPP'!$A$6:$A$505,0))&amp;" "&amp;INDEX('Suivi EPP'!$C$6:$C$505,MATCH($A326,'Suivi EPP'!$A$6:$A$505,0)),"Matricule inconnu"))</f>
        <v/>
      </c>
      <c r="C326" s="40"/>
      <c r="D326" s="39"/>
      <c r="E326" s="39"/>
      <c r="F326" s="39"/>
      <c r="G326" s="39"/>
      <c r="H326" s="39"/>
    </row>
    <row r="327" customFormat="false" ht="15" hidden="false" customHeight="false" outlineLevel="0" collapsed="false">
      <c r="A327" s="39"/>
      <c r="B327" s="44" t="str">
        <f aca="false">IF($A327="","",IFERROR(INDEX('Suivi EPP'!$B$6:$B$505,MATCH($A327,'Suivi EPP'!$A$6:$A$505,0))&amp;" "&amp;INDEX('Suivi EPP'!$C$6:$C$505,MATCH($A327,'Suivi EPP'!$A$6:$A$505,0)),"Matricule inconnu"))</f>
        <v/>
      </c>
      <c r="C327" s="40"/>
      <c r="D327" s="39"/>
      <c r="E327" s="39"/>
      <c r="F327" s="39"/>
      <c r="G327" s="39"/>
      <c r="H327" s="39"/>
    </row>
    <row r="328" customFormat="false" ht="15" hidden="false" customHeight="false" outlineLevel="0" collapsed="false">
      <c r="A328" s="39"/>
      <c r="B328" s="44" t="str">
        <f aca="false">IF($A328="","",IFERROR(INDEX('Suivi EPP'!$B$6:$B$505,MATCH($A328,'Suivi EPP'!$A$6:$A$505,0))&amp;" "&amp;INDEX('Suivi EPP'!$C$6:$C$505,MATCH($A328,'Suivi EPP'!$A$6:$A$505,0)),"Matricule inconnu"))</f>
        <v/>
      </c>
      <c r="C328" s="40"/>
      <c r="D328" s="39"/>
      <c r="E328" s="39"/>
      <c r="F328" s="39"/>
      <c r="G328" s="39"/>
      <c r="H328" s="39"/>
    </row>
    <row r="329" customFormat="false" ht="15" hidden="false" customHeight="false" outlineLevel="0" collapsed="false">
      <c r="A329" s="39"/>
      <c r="B329" s="44" t="str">
        <f aca="false">IF($A329="","",IFERROR(INDEX('Suivi EPP'!$B$6:$B$505,MATCH($A329,'Suivi EPP'!$A$6:$A$505,0))&amp;" "&amp;INDEX('Suivi EPP'!$C$6:$C$505,MATCH($A329,'Suivi EPP'!$A$6:$A$505,0)),"Matricule inconnu"))</f>
        <v/>
      </c>
      <c r="C329" s="40"/>
      <c r="D329" s="39"/>
      <c r="E329" s="39"/>
      <c r="F329" s="39"/>
      <c r="G329" s="39"/>
      <c r="H329" s="39"/>
    </row>
    <row r="330" customFormat="false" ht="15" hidden="false" customHeight="false" outlineLevel="0" collapsed="false">
      <c r="A330" s="39"/>
      <c r="B330" s="44" t="str">
        <f aca="false">IF($A330="","",IFERROR(INDEX('Suivi EPP'!$B$6:$B$505,MATCH($A330,'Suivi EPP'!$A$6:$A$505,0))&amp;" "&amp;INDEX('Suivi EPP'!$C$6:$C$505,MATCH($A330,'Suivi EPP'!$A$6:$A$505,0)),"Matricule inconnu"))</f>
        <v/>
      </c>
      <c r="C330" s="40"/>
      <c r="D330" s="39"/>
      <c r="E330" s="39"/>
      <c r="F330" s="39"/>
      <c r="G330" s="39"/>
      <c r="H330" s="39"/>
    </row>
    <row r="331" customFormat="false" ht="15" hidden="false" customHeight="false" outlineLevel="0" collapsed="false">
      <c r="A331" s="39"/>
      <c r="B331" s="44" t="str">
        <f aca="false">IF($A331="","",IFERROR(INDEX('Suivi EPP'!$B$6:$B$505,MATCH($A331,'Suivi EPP'!$A$6:$A$505,0))&amp;" "&amp;INDEX('Suivi EPP'!$C$6:$C$505,MATCH($A331,'Suivi EPP'!$A$6:$A$505,0)),"Matricule inconnu"))</f>
        <v/>
      </c>
      <c r="C331" s="40"/>
      <c r="D331" s="39"/>
      <c r="E331" s="39"/>
      <c r="F331" s="39"/>
      <c r="G331" s="39"/>
      <c r="H331" s="39"/>
    </row>
    <row r="332" customFormat="false" ht="15" hidden="false" customHeight="false" outlineLevel="0" collapsed="false">
      <c r="A332" s="39"/>
      <c r="B332" s="44" t="str">
        <f aca="false">IF($A332="","",IFERROR(INDEX('Suivi EPP'!$B$6:$B$505,MATCH($A332,'Suivi EPP'!$A$6:$A$505,0))&amp;" "&amp;INDEX('Suivi EPP'!$C$6:$C$505,MATCH($A332,'Suivi EPP'!$A$6:$A$505,0)),"Matricule inconnu"))</f>
        <v/>
      </c>
      <c r="C332" s="40"/>
      <c r="D332" s="39"/>
      <c r="E332" s="39"/>
      <c r="F332" s="39"/>
      <c r="G332" s="39"/>
      <c r="H332" s="39"/>
    </row>
    <row r="333" customFormat="false" ht="15" hidden="false" customHeight="false" outlineLevel="0" collapsed="false">
      <c r="A333" s="39"/>
      <c r="B333" s="44" t="str">
        <f aca="false">IF($A333="","",IFERROR(INDEX('Suivi EPP'!$B$6:$B$505,MATCH($A333,'Suivi EPP'!$A$6:$A$505,0))&amp;" "&amp;INDEX('Suivi EPP'!$C$6:$C$505,MATCH($A333,'Suivi EPP'!$A$6:$A$505,0)),"Matricule inconnu"))</f>
        <v/>
      </c>
      <c r="C333" s="40"/>
      <c r="D333" s="39"/>
      <c r="E333" s="39"/>
      <c r="F333" s="39"/>
      <c r="G333" s="39"/>
      <c r="H333" s="39"/>
    </row>
    <row r="334" customFormat="false" ht="15" hidden="false" customHeight="false" outlineLevel="0" collapsed="false">
      <c r="A334" s="39"/>
      <c r="B334" s="44" t="str">
        <f aca="false">IF($A334="","",IFERROR(INDEX('Suivi EPP'!$B$6:$B$505,MATCH($A334,'Suivi EPP'!$A$6:$A$505,0))&amp;" "&amp;INDEX('Suivi EPP'!$C$6:$C$505,MATCH($A334,'Suivi EPP'!$A$6:$A$505,0)),"Matricule inconnu"))</f>
        <v/>
      </c>
      <c r="C334" s="40"/>
      <c r="D334" s="39"/>
      <c r="E334" s="39"/>
      <c r="F334" s="39"/>
      <c r="G334" s="39"/>
      <c r="H334" s="39"/>
    </row>
    <row r="335" customFormat="false" ht="15" hidden="false" customHeight="false" outlineLevel="0" collapsed="false">
      <c r="A335" s="39"/>
      <c r="B335" s="44" t="str">
        <f aca="false">IF($A335="","",IFERROR(INDEX('Suivi EPP'!$B$6:$B$505,MATCH($A335,'Suivi EPP'!$A$6:$A$505,0))&amp;" "&amp;INDEX('Suivi EPP'!$C$6:$C$505,MATCH($A335,'Suivi EPP'!$A$6:$A$505,0)),"Matricule inconnu"))</f>
        <v/>
      </c>
      <c r="C335" s="40"/>
      <c r="D335" s="39"/>
      <c r="E335" s="39"/>
      <c r="F335" s="39"/>
      <c r="G335" s="39"/>
      <c r="H335" s="39"/>
    </row>
    <row r="336" customFormat="false" ht="15" hidden="false" customHeight="false" outlineLevel="0" collapsed="false">
      <c r="A336" s="39"/>
      <c r="B336" s="44" t="str">
        <f aca="false">IF($A336="","",IFERROR(INDEX('Suivi EPP'!$B$6:$B$505,MATCH($A336,'Suivi EPP'!$A$6:$A$505,0))&amp;" "&amp;INDEX('Suivi EPP'!$C$6:$C$505,MATCH($A336,'Suivi EPP'!$A$6:$A$505,0)),"Matricule inconnu"))</f>
        <v/>
      </c>
      <c r="C336" s="40"/>
      <c r="D336" s="39"/>
      <c r="E336" s="39"/>
      <c r="F336" s="39"/>
      <c r="G336" s="39"/>
      <c r="H336" s="39"/>
    </row>
    <row r="337" customFormat="false" ht="15" hidden="false" customHeight="false" outlineLevel="0" collapsed="false">
      <c r="A337" s="39"/>
      <c r="B337" s="44" t="str">
        <f aca="false">IF($A337="","",IFERROR(INDEX('Suivi EPP'!$B$6:$B$505,MATCH($A337,'Suivi EPP'!$A$6:$A$505,0))&amp;" "&amp;INDEX('Suivi EPP'!$C$6:$C$505,MATCH($A337,'Suivi EPP'!$A$6:$A$505,0)),"Matricule inconnu"))</f>
        <v/>
      </c>
      <c r="C337" s="40"/>
      <c r="D337" s="39"/>
      <c r="E337" s="39"/>
      <c r="F337" s="39"/>
      <c r="G337" s="39"/>
      <c r="H337" s="39"/>
    </row>
    <row r="338" customFormat="false" ht="15" hidden="false" customHeight="false" outlineLevel="0" collapsed="false">
      <c r="A338" s="39"/>
      <c r="B338" s="44" t="str">
        <f aca="false">IF($A338="","",IFERROR(INDEX('Suivi EPP'!$B$6:$B$505,MATCH($A338,'Suivi EPP'!$A$6:$A$505,0))&amp;" "&amp;INDEX('Suivi EPP'!$C$6:$C$505,MATCH($A338,'Suivi EPP'!$A$6:$A$505,0)),"Matricule inconnu"))</f>
        <v/>
      </c>
      <c r="C338" s="40"/>
      <c r="D338" s="39"/>
      <c r="E338" s="39"/>
      <c r="F338" s="39"/>
      <c r="G338" s="39"/>
      <c r="H338" s="39"/>
    </row>
    <row r="339" customFormat="false" ht="15" hidden="false" customHeight="false" outlineLevel="0" collapsed="false">
      <c r="A339" s="39"/>
      <c r="B339" s="44" t="str">
        <f aca="false">IF($A339="","",IFERROR(INDEX('Suivi EPP'!$B$6:$B$505,MATCH($A339,'Suivi EPP'!$A$6:$A$505,0))&amp;" "&amp;INDEX('Suivi EPP'!$C$6:$C$505,MATCH($A339,'Suivi EPP'!$A$6:$A$505,0)),"Matricule inconnu"))</f>
        <v/>
      </c>
      <c r="C339" s="40"/>
      <c r="D339" s="39"/>
      <c r="E339" s="39"/>
      <c r="F339" s="39"/>
      <c r="G339" s="39"/>
      <c r="H339" s="39"/>
    </row>
    <row r="340" customFormat="false" ht="15" hidden="false" customHeight="false" outlineLevel="0" collapsed="false">
      <c r="A340" s="39"/>
      <c r="B340" s="44" t="str">
        <f aca="false">IF($A340="","",IFERROR(INDEX('Suivi EPP'!$B$6:$B$505,MATCH($A340,'Suivi EPP'!$A$6:$A$505,0))&amp;" "&amp;INDEX('Suivi EPP'!$C$6:$C$505,MATCH($A340,'Suivi EPP'!$A$6:$A$505,0)),"Matricule inconnu"))</f>
        <v/>
      </c>
      <c r="C340" s="40"/>
      <c r="D340" s="39"/>
      <c r="E340" s="39"/>
      <c r="F340" s="39"/>
      <c r="G340" s="39"/>
      <c r="H340" s="39"/>
    </row>
    <row r="341" customFormat="false" ht="15" hidden="false" customHeight="false" outlineLevel="0" collapsed="false">
      <c r="A341" s="39"/>
      <c r="B341" s="44" t="str">
        <f aca="false">IF($A341="","",IFERROR(INDEX('Suivi EPP'!$B$6:$B$505,MATCH($A341,'Suivi EPP'!$A$6:$A$505,0))&amp;" "&amp;INDEX('Suivi EPP'!$C$6:$C$505,MATCH($A341,'Suivi EPP'!$A$6:$A$505,0)),"Matricule inconnu"))</f>
        <v/>
      </c>
      <c r="C341" s="40"/>
      <c r="D341" s="39"/>
      <c r="E341" s="39"/>
      <c r="F341" s="39"/>
      <c r="G341" s="39"/>
      <c r="H341" s="39"/>
    </row>
    <row r="342" customFormat="false" ht="15" hidden="false" customHeight="false" outlineLevel="0" collapsed="false">
      <c r="A342" s="39"/>
      <c r="B342" s="44" t="str">
        <f aca="false">IF($A342="","",IFERROR(INDEX('Suivi EPP'!$B$6:$B$505,MATCH($A342,'Suivi EPP'!$A$6:$A$505,0))&amp;" "&amp;INDEX('Suivi EPP'!$C$6:$C$505,MATCH($A342,'Suivi EPP'!$A$6:$A$505,0)),"Matricule inconnu"))</f>
        <v/>
      </c>
      <c r="C342" s="40"/>
      <c r="D342" s="39"/>
      <c r="E342" s="39"/>
      <c r="F342" s="39"/>
      <c r="G342" s="39"/>
      <c r="H342" s="39"/>
    </row>
    <row r="343" customFormat="false" ht="15" hidden="false" customHeight="false" outlineLevel="0" collapsed="false">
      <c r="A343" s="39"/>
      <c r="B343" s="44" t="str">
        <f aca="false">IF($A343="","",IFERROR(INDEX('Suivi EPP'!$B$6:$B$505,MATCH($A343,'Suivi EPP'!$A$6:$A$505,0))&amp;" "&amp;INDEX('Suivi EPP'!$C$6:$C$505,MATCH($A343,'Suivi EPP'!$A$6:$A$505,0)),"Matricule inconnu"))</f>
        <v/>
      </c>
      <c r="C343" s="40"/>
      <c r="D343" s="39"/>
      <c r="E343" s="39"/>
      <c r="F343" s="39"/>
      <c r="G343" s="39"/>
      <c r="H343" s="39"/>
    </row>
    <row r="344" customFormat="false" ht="15" hidden="false" customHeight="false" outlineLevel="0" collapsed="false">
      <c r="A344" s="39"/>
      <c r="B344" s="44" t="str">
        <f aca="false">IF($A344="","",IFERROR(INDEX('Suivi EPP'!$B$6:$B$505,MATCH($A344,'Suivi EPP'!$A$6:$A$505,0))&amp;" "&amp;INDEX('Suivi EPP'!$C$6:$C$505,MATCH($A344,'Suivi EPP'!$A$6:$A$505,0)),"Matricule inconnu"))</f>
        <v/>
      </c>
      <c r="C344" s="40"/>
      <c r="D344" s="39"/>
      <c r="E344" s="39"/>
      <c r="F344" s="39"/>
      <c r="G344" s="39"/>
      <c r="H344" s="39"/>
    </row>
    <row r="345" customFormat="false" ht="15" hidden="false" customHeight="false" outlineLevel="0" collapsed="false">
      <c r="A345" s="39"/>
      <c r="B345" s="44" t="str">
        <f aca="false">IF($A345="","",IFERROR(INDEX('Suivi EPP'!$B$6:$B$505,MATCH($A345,'Suivi EPP'!$A$6:$A$505,0))&amp;" "&amp;INDEX('Suivi EPP'!$C$6:$C$505,MATCH($A345,'Suivi EPP'!$A$6:$A$505,0)),"Matricule inconnu"))</f>
        <v/>
      </c>
      <c r="C345" s="40"/>
      <c r="D345" s="39"/>
      <c r="E345" s="39"/>
      <c r="F345" s="39"/>
      <c r="G345" s="39"/>
      <c r="H345" s="39"/>
    </row>
    <row r="346" customFormat="false" ht="15" hidden="false" customHeight="false" outlineLevel="0" collapsed="false">
      <c r="A346" s="39"/>
      <c r="B346" s="44" t="str">
        <f aca="false">IF($A346="","",IFERROR(INDEX('Suivi EPP'!$B$6:$B$505,MATCH($A346,'Suivi EPP'!$A$6:$A$505,0))&amp;" "&amp;INDEX('Suivi EPP'!$C$6:$C$505,MATCH($A346,'Suivi EPP'!$A$6:$A$505,0)),"Matricule inconnu"))</f>
        <v/>
      </c>
      <c r="C346" s="40"/>
      <c r="D346" s="39"/>
      <c r="E346" s="39"/>
      <c r="F346" s="39"/>
      <c r="G346" s="39"/>
      <c r="H346" s="39"/>
    </row>
    <row r="347" customFormat="false" ht="15" hidden="false" customHeight="false" outlineLevel="0" collapsed="false">
      <c r="A347" s="39"/>
      <c r="B347" s="44" t="str">
        <f aca="false">IF($A347="","",IFERROR(INDEX('Suivi EPP'!$B$6:$B$505,MATCH($A347,'Suivi EPP'!$A$6:$A$505,0))&amp;" "&amp;INDEX('Suivi EPP'!$C$6:$C$505,MATCH($A347,'Suivi EPP'!$A$6:$A$505,0)),"Matricule inconnu"))</f>
        <v/>
      </c>
      <c r="C347" s="40"/>
      <c r="D347" s="39"/>
      <c r="E347" s="39"/>
      <c r="F347" s="39"/>
      <c r="G347" s="39"/>
      <c r="H347" s="39"/>
    </row>
    <row r="348" customFormat="false" ht="15" hidden="false" customHeight="false" outlineLevel="0" collapsed="false">
      <c r="A348" s="39"/>
      <c r="B348" s="44" t="str">
        <f aca="false">IF($A348="","",IFERROR(INDEX('Suivi EPP'!$B$6:$B$505,MATCH($A348,'Suivi EPP'!$A$6:$A$505,0))&amp;" "&amp;INDEX('Suivi EPP'!$C$6:$C$505,MATCH($A348,'Suivi EPP'!$A$6:$A$505,0)),"Matricule inconnu"))</f>
        <v/>
      </c>
      <c r="C348" s="40"/>
      <c r="D348" s="39"/>
      <c r="E348" s="39"/>
      <c r="F348" s="39"/>
      <c r="G348" s="39"/>
      <c r="H348" s="39"/>
    </row>
    <row r="349" customFormat="false" ht="15" hidden="false" customHeight="false" outlineLevel="0" collapsed="false">
      <c r="A349" s="39"/>
      <c r="B349" s="44" t="str">
        <f aca="false">IF($A349="","",IFERROR(INDEX('Suivi EPP'!$B$6:$B$505,MATCH($A349,'Suivi EPP'!$A$6:$A$505,0))&amp;" "&amp;INDEX('Suivi EPP'!$C$6:$C$505,MATCH($A349,'Suivi EPP'!$A$6:$A$505,0)),"Matricule inconnu"))</f>
        <v/>
      </c>
      <c r="C349" s="40"/>
      <c r="D349" s="39"/>
      <c r="E349" s="39"/>
      <c r="F349" s="39"/>
      <c r="G349" s="39"/>
      <c r="H349" s="39"/>
    </row>
    <row r="350" customFormat="false" ht="15" hidden="false" customHeight="false" outlineLevel="0" collapsed="false">
      <c r="A350" s="39"/>
      <c r="B350" s="44" t="str">
        <f aca="false">IF($A350="","",IFERROR(INDEX('Suivi EPP'!$B$6:$B$505,MATCH($A350,'Suivi EPP'!$A$6:$A$505,0))&amp;" "&amp;INDEX('Suivi EPP'!$C$6:$C$505,MATCH($A350,'Suivi EPP'!$A$6:$A$505,0)),"Matricule inconnu"))</f>
        <v/>
      </c>
      <c r="C350" s="40"/>
      <c r="D350" s="39"/>
      <c r="E350" s="39"/>
      <c r="F350" s="39"/>
      <c r="G350" s="39"/>
      <c r="H350" s="39"/>
    </row>
    <row r="351" customFormat="false" ht="15" hidden="false" customHeight="false" outlineLevel="0" collapsed="false">
      <c r="A351" s="39"/>
      <c r="B351" s="44" t="str">
        <f aca="false">IF($A351="","",IFERROR(INDEX('Suivi EPP'!$B$6:$B$505,MATCH($A351,'Suivi EPP'!$A$6:$A$505,0))&amp;" "&amp;INDEX('Suivi EPP'!$C$6:$C$505,MATCH($A351,'Suivi EPP'!$A$6:$A$505,0)),"Matricule inconnu"))</f>
        <v/>
      </c>
      <c r="C351" s="40"/>
      <c r="D351" s="39"/>
      <c r="E351" s="39"/>
      <c r="F351" s="39"/>
      <c r="G351" s="39"/>
      <c r="H351" s="39"/>
    </row>
    <row r="352" customFormat="false" ht="15" hidden="false" customHeight="false" outlineLevel="0" collapsed="false">
      <c r="A352" s="39"/>
      <c r="B352" s="44" t="str">
        <f aca="false">IF($A352="","",IFERROR(INDEX('Suivi EPP'!$B$6:$B$505,MATCH($A352,'Suivi EPP'!$A$6:$A$505,0))&amp;" "&amp;INDEX('Suivi EPP'!$C$6:$C$505,MATCH($A352,'Suivi EPP'!$A$6:$A$505,0)),"Matricule inconnu"))</f>
        <v/>
      </c>
      <c r="C352" s="40"/>
      <c r="D352" s="39"/>
      <c r="E352" s="39"/>
      <c r="F352" s="39"/>
      <c r="G352" s="39"/>
      <c r="H352" s="39"/>
    </row>
    <row r="353" customFormat="false" ht="15" hidden="false" customHeight="false" outlineLevel="0" collapsed="false">
      <c r="A353" s="39"/>
      <c r="B353" s="44" t="str">
        <f aca="false">IF($A353="","",IFERROR(INDEX('Suivi EPP'!$B$6:$B$505,MATCH($A353,'Suivi EPP'!$A$6:$A$505,0))&amp;" "&amp;INDEX('Suivi EPP'!$C$6:$C$505,MATCH($A353,'Suivi EPP'!$A$6:$A$505,0)),"Matricule inconnu"))</f>
        <v/>
      </c>
      <c r="C353" s="40"/>
      <c r="D353" s="39"/>
      <c r="E353" s="39"/>
      <c r="F353" s="39"/>
      <c r="G353" s="39"/>
      <c r="H353" s="39"/>
    </row>
    <row r="354" customFormat="false" ht="15" hidden="false" customHeight="false" outlineLevel="0" collapsed="false">
      <c r="A354" s="39"/>
      <c r="B354" s="44" t="str">
        <f aca="false">IF($A354="","",IFERROR(INDEX('Suivi EPP'!$B$6:$B$505,MATCH($A354,'Suivi EPP'!$A$6:$A$505,0))&amp;" "&amp;INDEX('Suivi EPP'!$C$6:$C$505,MATCH($A354,'Suivi EPP'!$A$6:$A$505,0)),"Matricule inconnu"))</f>
        <v/>
      </c>
      <c r="C354" s="40"/>
      <c r="D354" s="39"/>
      <c r="E354" s="39"/>
      <c r="F354" s="39"/>
      <c r="G354" s="39"/>
      <c r="H354" s="39"/>
    </row>
    <row r="355" customFormat="false" ht="15" hidden="false" customHeight="false" outlineLevel="0" collapsed="false">
      <c r="A355" s="39"/>
      <c r="B355" s="44" t="str">
        <f aca="false">IF($A355="","",IFERROR(INDEX('Suivi EPP'!$B$6:$B$505,MATCH($A355,'Suivi EPP'!$A$6:$A$505,0))&amp;" "&amp;INDEX('Suivi EPP'!$C$6:$C$505,MATCH($A355,'Suivi EPP'!$A$6:$A$505,0)),"Matricule inconnu"))</f>
        <v/>
      </c>
      <c r="C355" s="40"/>
      <c r="D355" s="39"/>
      <c r="E355" s="39"/>
      <c r="F355" s="39"/>
      <c r="G355" s="39"/>
      <c r="H355" s="39"/>
    </row>
    <row r="356" customFormat="false" ht="15" hidden="false" customHeight="false" outlineLevel="0" collapsed="false">
      <c r="A356" s="39"/>
      <c r="B356" s="44" t="str">
        <f aca="false">IF($A356="","",IFERROR(INDEX('Suivi EPP'!$B$6:$B$505,MATCH($A356,'Suivi EPP'!$A$6:$A$505,0))&amp;" "&amp;INDEX('Suivi EPP'!$C$6:$C$505,MATCH($A356,'Suivi EPP'!$A$6:$A$505,0)),"Matricule inconnu"))</f>
        <v/>
      </c>
      <c r="C356" s="40"/>
      <c r="D356" s="39"/>
      <c r="E356" s="39"/>
      <c r="F356" s="39"/>
      <c r="G356" s="39"/>
      <c r="H356" s="39"/>
    </row>
    <row r="357" customFormat="false" ht="15" hidden="false" customHeight="false" outlineLevel="0" collapsed="false">
      <c r="A357" s="39"/>
      <c r="B357" s="44" t="str">
        <f aca="false">IF($A357="","",IFERROR(INDEX('Suivi EPP'!$B$6:$B$505,MATCH($A357,'Suivi EPP'!$A$6:$A$505,0))&amp;" "&amp;INDEX('Suivi EPP'!$C$6:$C$505,MATCH($A357,'Suivi EPP'!$A$6:$A$505,0)),"Matricule inconnu"))</f>
        <v/>
      </c>
      <c r="C357" s="40"/>
      <c r="D357" s="39"/>
      <c r="E357" s="39"/>
      <c r="F357" s="39"/>
      <c r="G357" s="39"/>
      <c r="H357" s="39"/>
    </row>
    <row r="358" customFormat="false" ht="15" hidden="false" customHeight="false" outlineLevel="0" collapsed="false">
      <c r="A358" s="39"/>
      <c r="B358" s="44" t="str">
        <f aca="false">IF($A358="","",IFERROR(INDEX('Suivi EPP'!$B$6:$B$505,MATCH($A358,'Suivi EPP'!$A$6:$A$505,0))&amp;" "&amp;INDEX('Suivi EPP'!$C$6:$C$505,MATCH($A358,'Suivi EPP'!$A$6:$A$505,0)),"Matricule inconnu"))</f>
        <v/>
      </c>
      <c r="C358" s="40"/>
      <c r="D358" s="39"/>
      <c r="E358" s="39"/>
      <c r="F358" s="39"/>
      <c r="G358" s="39"/>
      <c r="H358" s="39"/>
    </row>
    <row r="359" customFormat="false" ht="15" hidden="false" customHeight="false" outlineLevel="0" collapsed="false">
      <c r="A359" s="39"/>
      <c r="B359" s="44" t="str">
        <f aca="false">IF($A359="","",IFERROR(INDEX('Suivi EPP'!$B$6:$B$505,MATCH($A359,'Suivi EPP'!$A$6:$A$505,0))&amp;" "&amp;INDEX('Suivi EPP'!$C$6:$C$505,MATCH($A359,'Suivi EPP'!$A$6:$A$505,0)),"Matricule inconnu"))</f>
        <v/>
      </c>
      <c r="C359" s="40"/>
      <c r="D359" s="39"/>
      <c r="E359" s="39"/>
      <c r="F359" s="39"/>
      <c r="G359" s="39"/>
      <c r="H359" s="39"/>
    </row>
    <row r="360" customFormat="false" ht="15" hidden="false" customHeight="false" outlineLevel="0" collapsed="false">
      <c r="A360" s="39"/>
      <c r="B360" s="44" t="str">
        <f aca="false">IF($A360="","",IFERROR(INDEX('Suivi EPP'!$B$6:$B$505,MATCH($A360,'Suivi EPP'!$A$6:$A$505,0))&amp;" "&amp;INDEX('Suivi EPP'!$C$6:$C$505,MATCH($A360,'Suivi EPP'!$A$6:$A$505,0)),"Matricule inconnu"))</f>
        <v/>
      </c>
      <c r="C360" s="40"/>
      <c r="D360" s="39"/>
      <c r="E360" s="39"/>
      <c r="F360" s="39"/>
      <c r="G360" s="39"/>
      <c r="H360" s="39"/>
    </row>
    <row r="361" customFormat="false" ht="15" hidden="false" customHeight="false" outlineLevel="0" collapsed="false">
      <c r="A361" s="39"/>
      <c r="B361" s="44" t="str">
        <f aca="false">IF($A361="","",IFERROR(INDEX('Suivi EPP'!$B$6:$B$505,MATCH($A361,'Suivi EPP'!$A$6:$A$505,0))&amp;" "&amp;INDEX('Suivi EPP'!$C$6:$C$505,MATCH($A361,'Suivi EPP'!$A$6:$A$505,0)),"Matricule inconnu"))</f>
        <v/>
      </c>
      <c r="C361" s="40"/>
      <c r="D361" s="39"/>
      <c r="E361" s="39"/>
      <c r="F361" s="39"/>
      <c r="G361" s="39"/>
      <c r="H361" s="39"/>
    </row>
    <row r="362" customFormat="false" ht="15" hidden="false" customHeight="false" outlineLevel="0" collapsed="false">
      <c r="A362" s="39"/>
      <c r="B362" s="44" t="str">
        <f aca="false">IF($A362="","",IFERROR(INDEX('Suivi EPP'!$B$6:$B$505,MATCH($A362,'Suivi EPP'!$A$6:$A$505,0))&amp;" "&amp;INDEX('Suivi EPP'!$C$6:$C$505,MATCH($A362,'Suivi EPP'!$A$6:$A$505,0)),"Matricule inconnu"))</f>
        <v/>
      </c>
      <c r="C362" s="40"/>
      <c r="D362" s="39"/>
      <c r="E362" s="39"/>
      <c r="F362" s="39"/>
      <c r="G362" s="39"/>
      <c r="H362" s="39"/>
    </row>
    <row r="363" customFormat="false" ht="15" hidden="false" customHeight="false" outlineLevel="0" collapsed="false">
      <c r="A363" s="39"/>
      <c r="B363" s="44" t="str">
        <f aca="false">IF($A363="","",IFERROR(INDEX('Suivi EPP'!$B$6:$B$505,MATCH($A363,'Suivi EPP'!$A$6:$A$505,0))&amp;" "&amp;INDEX('Suivi EPP'!$C$6:$C$505,MATCH($A363,'Suivi EPP'!$A$6:$A$505,0)),"Matricule inconnu"))</f>
        <v/>
      </c>
      <c r="C363" s="40"/>
      <c r="D363" s="39"/>
      <c r="E363" s="39"/>
      <c r="F363" s="39"/>
      <c r="G363" s="39"/>
      <c r="H363" s="39"/>
    </row>
    <row r="364" customFormat="false" ht="15" hidden="false" customHeight="false" outlineLevel="0" collapsed="false">
      <c r="A364" s="39"/>
      <c r="B364" s="44" t="str">
        <f aca="false">IF($A364="","",IFERROR(INDEX('Suivi EPP'!$B$6:$B$505,MATCH($A364,'Suivi EPP'!$A$6:$A$505,0))&amp;" "&amp;INDEX('Suivi EPP'!$C$6:$C$505,MATCH($A364,'Suivi EPP'!$A$6:$A$505,0)),"Matricule inconnu"))</f>
        <v/>
      </c>
      <c r="C364" s="40"/>
      <c r="D364" s="39"/>
      <c r="E364" s="39"/>
      <c r="F364" s="39"/>
      <c r="G364" s="39"/>
      <c r="H364" s="39"/>
    </row>
    <row r="365" customFormat="false" ht="15" hidden="false" customHeight="false" outlineLevel="0" collapsed="false">
      <c r="A365" s="39"/>
      <c r="B365" s="44" t="str">
        <f aca="false">IF($A365="","",IFERROR(INDEX('Suivi EPP'!$B$6:$B$505,MATCH($A365,'Suivi EPP'!$A$6:$A$505,0))&amp;" "&amp;INDEX('Suivi EPP'!$C$6:$C$505,MATCH($A365,'Suivi EPP'!$A$6:$A$505,0)),"Matricule inconnu"))</f>
        <v/>
      </c>
      <c r="C365" s="40"/>
      <c r="D365" s="39"/>
      <c r="E365" s="39"/>
      <c r="F365" s="39"/>
      <c r="G365" s="39"/>
      <c r="H365" s="39"/>
    </row>
    <row r="366" customFormat="false" ht="15" hidden="false" customHeight="false" outlineLevel="0" collapsed="false">
      <c r="A366" s="39"/>
      <c r="B366" s="44" t="str">
        <f aca="false">IF($A366="","",IFERROR(INDEX('Suivi EPP'!$B$6:$B$505,MATCH($A366,'Suivi EPP'!$A$6:$A$505,0))&amp;" "&amp;INDEX('Suivi EPP'!$C$6:$C$505,MATCH($A366,'Suivi EPP'!$A$6:$A$505,0)),"Matricule inconnu"))</f>
        <v/>
      </c>
      <c r="C366" s="40"/>
      <c r="D366" s="39"/>
      <c r="E366" s="39"/>
      <c r="F366" s="39"/>
      <c r="G366" s="39"/>
      <c r="H366" s="39"/>
    </row>
    <row r="367" customFormat="false" ht="15" hidden="false" customHeight="false" outlineLevel="0" collapsed="false">
      <c r="A367" s="39"/>
      <c r="B367" s="44" t="str">
        <f aca="false">IF($A367="","",IFERROR(INDEX('Suivi EPP'!$B$6:$B$505,MATCH($A367,'Suivi EPP'!$A$6:$A$505,0))&amp;" "&amp;INDEX('Suivi EPP'!$C$6:$C$505,MATCH($A367,'Suivi EPP'!$A$6:$A$505,0)),"Matricule inconnu"))</f>
        <v/>
      </c>
      <c r="C367" s="40"/>
      <c r="D367" s="39"/>
      <c r="E367" s="39"/>
      <c r="F367" s="39"/>
      <c r="G367" s="39"/>
      <c r="H367" s="39"/>
    </row>
    <row r="368" customFormat="false" ht="15" hidden="false" customHeight="false" outlineLevel="0" collapsed="false">
      <c r="A368" s="39"/>
      <c r="B368" s="44" t="str">
        <f aca="false">IF($A368="","",IFERROR(INDEX('Suivi EPP'!$B$6:$B$505,MATCH($A368,'Suivi EPP'!$A$6:$A$505,0))&amp;" "&amp;INDEX('Suivi EPP'!$C$6:$C$505,MATCH($A368,'Suivi EPP'!$A$6:$A$505,0)),"Matricule inconnu"))</f>
        <v/>
      </c>
      <c r="C368" s="40"/>
      <c r="D368" s="39"/>
      <c r="E368" s="39"/>
      <c r="F368" s="39"/>
      <c r="G368" s="39"/>
      <c r="H368" s="39"/>
    </row>
    <row r="369" customFormat="false" ht="15" hidden="false" customHeight="false" outlineLevel="0" collapsed="false">
      <c r="A369" s="39"/>
      <c r="B369" s="44" t="str">
        <f aca="false">IF($A369="","",IFERROR(INDEX('Suivi EPP'!$B$6:$B$505,MATCH($A369,'Suivi EPP'!$A$6:$A$505,0))&amp;" "&amp;INDEX('Suivi EPP'!$C$6:$C$505,MATCH($A369,'Suivi EPP'!$A$6:$A$505,0)),"Matricule inconnu"))</f>
        <v/>
      </c>
      <c r="C369" s="40"/>
      <c r="D369" s="39"/>
      <c r="E369" s="39"/>
      <c r="F369" s="39"/>
      <c r="G369" s="39"/>
      <c r="H369" s="39"/>
    </row>
    <row r="370" customFormat="false" ht="15" hidden="false" customHeight="false" outlineLevel="0" collapsed="false">
      <c r="A370" s="39"/>
      <c r="B370" s="44" t="str">
        <f aca="false">IF($A370="","",IFERROR(INDEX('Suivi EPP'!$B$6:$B$505,MATCH($A370,'Suivi EPP'!$A$6:$A$505,0))&amp;" "&amp;INDEX('Suivi EPP'!$C$6:$C$505,MATCH($A370,'Suivi EPP'!$A$6:$A$505,0)),"Matricule inconnu"))</f>
        <v/>
      </c>
      <c r="C370" s="40"/>
      <c r="D370" s="39"/>
      <c r="E370" s="39"/>
      <c r="F370" s="39"/>
      <c r="G370" s="39"/>
      <c r="H370" s="39"/>
    </row>
    <row r="371" customFormat="false" ht="15" hidden="false" customHeight="false" outlineLevel="0" collapsed="false">
      <c r="A371" s="39"/>
      <c r="B371" s="44" t="str">
        <f aca="false">IF($A371="","",IFERROR(INDEX('Suivi EPP'!$B$6:$B$505,MATCH($A371,'Suivi EPP'!$A$6:$A$505,0))&amp;" "&amp;INDEX('Suivi EPP'!$C$6:$C$505,MATCH($A371,'Suivi EPP'!$A$6:$A$505,0)),"Matricule inconnu"))</f>
        <v/>
      </c>
      <c r="C371" s="40"/>
      <c r="D371" s="39"/>
      <c r="E371" s="39"/>
      <c r="F371" s="39"/>
      <c r="G371" s="39"/>
      <c r="H371" s="39"/>
    </row>
    <row r="372" customFormat="false" ht="15" hidden="false" customHeight="false" outlineLevel="0" collapsed="false">
      <c r="A372" s="39"/>
      <c r="B372" s="44" t="str">
        <f aca="false">IF($A372="","",IFERROR(INDEX('Suivi EPP'!$B$6:$B$505,MATCH($A372,'Suivi EPP'!$A$6:$A$505,0))&amp;" "&amp;INDEX('Suivi EPP'!$C$6:$C$505,MATCH($A372,'Suivi EPP'!$A$6:$A$505,0)),"Matricule inconnu"))</f>
        <v/>
      </c>
      <c r="C372" s="40"/>
      <c r="D372" s="39"/>
      <c r="E372" s="39"/>
      <c r="F372" s="39"/>
      <c r="G372" s="39"/>
      <c r="H372" s="39"/>
    </row>
    <row r="373" customFormat="false" ht="15" hidden="false" customHeight="false" outlineLevel="0" collapsed="false">
      <c r="A373" s="39"/>
      <c r="B373" s="44" t="str">
        <f aca="false">IF($A373="","",IFERROR(INDEX('Suivi EPP'!$B$6:$B$505,MATCH($A373,'Suivi EPP'!$A$6:$A$505,0))&amp;" "&amp;INDEX('Suivi EPP'!$C$6:$C$505,MATCH($A373,'Suivi EPP'!$A$6:$A$505,0)),"Matricule inconnu"))</f>
        <v/>
      </c>
      <c r="C373" s="40"/>
      <c r="D373" s="39"/>
      <c r="E373" s="39"/>
      <c r="F373" s="39"/>
      <c r="G373" s="39"/>
      <c r="H373" s="39"/>
    </row>
    <row r="374" customFormat="false" ht="15" hidden="false" customHeight="false" outlineLevel="0" collapsed="false">
      <c r="A374" s="39"/>
      <c r="B374" s="44" t="str">
        <f aca="false">IF($A374="","",IFERROR(INDEX('Suivi EPP'!$B$6:$B$505,MATCH($A374,'Suivi EPP'!$A$6:$A$505,0))&amp;" "&amp;INDEX('Suivi EPP'!$C$6:$C$505,MATCH($A374,'Suivi EPP'!$A$6:$A$505,0)),"Matricule inconnu"))</f>
        <v/>
      </c>
      <c r="C374" s="40"/>
      <c r="D374" s="39"/>
      <c r="E374" s="39"/>
      <c r="F374" s="39"/>
      <c r="G374" s="39"/>
      <c r="H374" s="39"/>
    </row>
    <row r="375" customFormat="false" ht="15" hidden="false" customHeight="false" outlineLevel="0" collapsed="false">
      <c r="A375" s="39"/>
      <c r="B375" s="44" t="str">
        <f aca="false">IF($A375="","",IFERROR(INDEX('Suivi EPP'!$B$6:$B$505,MATCH($A375,'Suivi EPP'!$A$6:$A$505,0))&amp;" "&amp;INDEX('Suivi EPP'!$C$6:$C$505,MATCH($A375,'Suivi EPP'!$A$6:$A$505,0)),"Matricule inconnu"))</f>
        <v/>
      </c>
      <c r="C375" s="40"/>
      <c r="D375" s="39"/>
      <c r="E375" s="39"/>
      <c r="F375" s="39"/>
      <c r="G375" s="39"/>
      <c r="H375" s="39"/>
    </row>
    <row r="376" customFormat="false" ht="15" hidden="false" customHeight="false" outlineLevel="0" collapsed="false">
      <c r="A376" s="39"/>
      <c r="B376" s="44" t="str">
        <f aca="false">IF($A376="","",IFERROR(INDEX('Suivi EPP'!$B$6:$B$505,MATCH($A376,'Suivi EPP'!$A$6:$A$505,0))&amp;" "&amp;INDEX('Suivi EPP'!$C$6:$C$505,MATCH($A376,'Suivi EPP'!$A$6:$A$505,0)),"Matricule inconnu"))</f>
        <v/>
      </c>
      <c r="C376" s="40"/>
      <c r="D376" s="39"/>
      <c r="E376" s="39"/>
      <c r="F376" s="39"/>
      <c r="G376" s="39"/>
      <c r="H376" s="39"/>
    </row>
    <row r="377" customFormat="false" ht="15" hidden="false" customHeight="false" outlineLevel="0" collapsed="false">
      <c r="A377" s="39"/>
      <c r="B377" s="44" t="str">
        <f aca="false">IF($A377="","",IFERROR(INDEX('Suivi EPP'!$B$6:$B$505,MATCH($A377,'Suivi EPP'!$A$6:$A$505,0))&amp;" "&amp;INDEX('Suivi EPP'!$C$6:$C$505,MATCH($A377,'Suivi EPP'!$A$6:$A$505,0)),"Matricule inconnu"))</f>
        <v/>
      </c>
      <c r="C377" s="40"/>
      <c r="D377" s="39"/>
      <c r="E377" s="39"/>
      <c r="F377" s="39"/>
      <c r="G377" s="39"/>
      <c r="H377" s="39"/>
    </row>
    <row r="378" customFormat="false" ht="15" hidden="false" customHeight="false" outlineLevel="0" collapsed="false">
      <c r="A378" s="39"/>
      <c r="B378" s="44" t="str">
        <f aca="false">IF($A378="","",IFERROR(INDEX('Suivi EPP'!$B$6:$B$505,MATCH($A378,'Suivi EPP'!$A$6:$A$505,0))&amp;" "&amp;INDEX('Suivi EPP'!$C$6:$C$505,MATCH($A378,'Suivi EPP'!$A$6:$A$505,0)),"Matricule inconnu"))</f>
        <v/>
      </c>
      <c r="C378" s="40"/>
      <c r="D378" s="39"/>
      <c r="E378" s="39"/>
      <c r="F378" s="39"/>
      <c r="G378" s="39"/>
      <c r="H378" s="39"/>
    </row>
    <row r="379" customFormat="false" ht="15" hidden="false" customHeight="false" outlineLevel="0" collapsed="false">
      <c r="A379" s="39"/>
      <c r="B379" s="44" t="str">
        <f aca="false">IF($A379="","",IFERROR(INDEX('Suivi EPP'!$B$6:$B$505,MATCH($A379,'Suivi EPP'!$A$6:$A$505,0))&amp;" "&amp;INDEX('Suivi EPP'!$C$6:$C$505,MATCH($A379,'Suivi EPP'!$A$6:$A$505,0)),"Matricule inconnu"))</f>
        <v/>
      </c>
      <c r="C379" s="40"/>
      <c r="D379" s="39"/>
      <c r="E379" s="39"/>
      <c r="F379" s="39"/>
      <c r="G379" s="39"/>
      <c r="H379" s="39"/>
    </row>
    <row r="380" customFormat="false" ht="15" hidden="false" customHeight="false" outlineLevel="0" collapsed="false">
      <c r="A380" s="39"/>
      <c r="B380" s="44" t="str">
        <f aca="false">IF($A380="","",IFERROR(INDEX('Suivi EPP'!$B$6:$B$505,MATCH($A380,'Suivi EPP'!$A$6:$A$505,0))&amp;" "&amp;INDEX('Suivi EPP'!$C$6:$C$505,MATCH($A380,'Suivi EPP'!$A$6:$A$505,0)),"Matricule inconnu"))</f>
        <v/>
      </c>
      <c r="C380" s="40"/>
      <c r="D380" s="39"/>
      <c r="E380" s="39"/>
      <c r="F380" s="39"/>
      <c r="G380" s="39"/>
      <c r="H380" s="39"/>
    </row>
    <row r="381" customFormat="false" ht="15" hidden="false" customHeight="false" outlineLevel="0" collapsed="false">
      <c r="A381" s="39"/>
      <c r="B381" s="44" t="str">
        <f aca="false">IF($A381="","",IFERROR(INDEX('Suivi EPP'!$B$6:$B$505,MATCH($A381,'Suivi EPP'!$A$6:$A$505,0))&amp;" "&amp;INDEX('Suivi EPP'!$C$6:$C$505,MATCH($A381,'Suivi EPP'!$A$6:$A$505,0)),"Matricule inconnu"))</f>
        <v/>
      </c>
      <c r="C381" s="40"/>
      <c r="D381" s="39"/>
      <c r="E381" s="39"/>
      <c r="F381" s="39"/>
      <c r="G381" s="39"/>
      <c r="H381" s="39"/>
    </row>
    <row r="382" customFormat="false" ht="15" hidden="false" customHeight="false" outlineLevel="0" collapsed="false">
      <c r="A382" s="39"/>
      <c r="B382" s="44" t="str">
        <f aca="false">IF($A382="","",IFERROR(INDEX('Suivi EPP'!$B$6:$B$505,MATCH($A382,'Suivi EPP'!$A$6:$A$505,0))&amp;" "&amp;INDEX('Suivi EPP'!$C$6:$C$505,MATCH($A382,'Suivi EPP'!$A$6:$A$505,0)),"Matricule inconnu"))</f>
        <v/>
      </c>
      <c r="C382" s="40"/>
      <c r="D382" s="39"/>
      <c r="E382" s="39"/>
      <c r="F382" s="39"/>
      <c r="G382" s="39"/>
      <c r="H382" s="39"/>
    </row>
    <row r="383" customFormat="false" ht="15" hidden="false" customHeight="false" outlineLevel="0" collapsed="false">
      <c r="A383" s="39"/>
      <c r="B383" s="44" t="str">
        <f aca="false">IF($A383="","",IFERROR(INDEX('Suivi EPP'!$B$6:$B$505,MATCH($A383,'Suivi EPP'!$A$6:$A$505,0))&amp;" "&amp;INDEX('Suivi EPP'!$C$6:$C$505,MATCH($A383,'Suivi EPP'!$A$6:$A$505,0)),"Matricule inconnu"))</f>
        <v/>
      </c>
      <c r="C383" s="40"/>
      <c r="D383" s="39"/>
      <c r="E383" s="39"/>
      <c r="F383" s="39"/>
      <c r="G383" s="39"/>
      <c r="H383" s="39"/>
    </row>
    <row r="384" customFormat="false" ht="15" hidden="false" customHeight="false" outlineLevel="0" collapsed="false">
      <c r="A384" s="39"/>
      <c r="B384" s="44" t="str">
        <f aca="false">IF($A384="","",IFERROR(INDEX('Suivi EPP'!$B$6:$B$505,MATCH($A384,'Suivi EPP'!$A$6:$A$505,0))&amp;" "&amp;INDEX('Suivi EPP'!$C$6:$C$505,MATCH($A384,'Suivi EPP'!$A$6:$A$505,0)),"Matricule inconnu"))</f>
        <v/>
      </c>
      <c r="C384" s="40"/>
      <c r="D384" s="39"/>
      <c r="E384" s="39"/>
      <c r="F384" s="39"/>
      <c r="G384" s="39"/>
      <c r="H384" s="39"/>
    </row>
    <row r="385" customFormat="false" ht="15" hidden="false" customHeight="false" outlineLevel="0" collapsed="false">
      <c r="A385" s="39"/>
      <c r="B385" s="44" t="str">
        <f aca="false">IF($A385="","",IFERROR(INDEX('Suivi EPP'!$B$6:$B$505,MATCH($A385,'Suivi EPP'!$A$6:$A$505,0))&amp;" "&amp;INDEX('Suivi EPP'!$C$6:$C$505,MATCH($A385,'Suivi EPP'!$A$6:$A$505,0)),"Matricule inconnu"))</f>
        <v/>
      </c>
      <c r="C385" s="40"/>
      <c r="D385" s="39"/>
      <c r="E385" s="39"/>
      <c r="F385" s="39"/>
      <c r="G385" s="39"/>
      <c r="H385" s="39"/>
    </row>
    <row r="386" customFormat="false" ht="15" hidden="false" customHeight="false" outlineLevel="0" collapsed="false">
      <c r="A386" s="39"/>
      <c r="B386" s="44" t="str">
        <f aca="false">IF($A386="","",IFERROR(INDEX('Suivi EPP'!$B$6:$B$505,MATCH($A386,'Suivi EPP'!$A$6:$A$505,0))&amp;" "&amp;INDEX('Suivi EPP'!$C$6:$C$505,MATCH($A386,'Suivi EPP'!$A$6:$A$505,0)),"Matricule inconnu"))</f>
        <v/>
      </c>
      <c r="C386" s="40"/>
      <c r="D386" s="39"/>
      <c r="E386" s="39"/>
      <c r="F386" s="39"/>
      <c r="G386" s="39"/>
      <c r="H386" s="39"/>
    </row>
    <row r="387" customFormat="false" ht="15" hidden="false" customHeight="false" outlineLevel="0" collapsed="false">
      <c r="A387" s="39"/>
      <c r="B387" s="44" t="str">
        <f aca="false">IF($A387="","",IFERROR(INDEX('Suivi EPP'!$B$6:$B$505,MATCH($A387,'Suivi EPP'!$A$6:$A$505,0))&amp;" "&amp;INDEX('Suivi EPP'!$C$6:$C$505,MATCH($A387,'Suivi EPP'!$A$6:$A$505,0)),"Matricule inconnu"))</f>
        <v/>
      </c>
      <c r="C387" s="40"/>
      <c r="D387" s="39"/>
      <c r="E387" s="39"/>
      <c r="F387" s="39"/>
      <c r="G387" s="39"/>
      <c r="H387" s="39"/>
    </row>
    <row r="388" customFormat="false" ht="15" hidden="false" customHeight="false" outlineLevel="0" collapsed="false">
      <c r="A388" s="39"/>
      <c r="B388" s="44" t="str">
        <f aca="false">IF($A388="","",IFERROR(INDEX('Suivi EPP'!$B$6:$B$505,MATCH($A388,'Suivi EPP'!$A$6:$A$505,0))&amp;" "&amp;INDEX('Suivi EPP'!$C$6:$C$505,MATCH($A388,'Suivi EPP'!$A$6:$A$505,0)),"Matricule inconnu"))</f>
        <v/>
      </c>
      <c r="C388" s="40"/>
      <c r="D388" s="39"/>
      <c r="E388" s="39"/>
      <c r="F388" s="39"/>
      <c r="G388" s="39"/>
      <c r="H388" s="39"/>
    </row>
    <row r="389" customFormat="false" ht="15" hidden="false" customHeight="false" outlineLevel="0" collapsed="false">
      <c r="A389" s="39"/>
      <c r="B389" s="44" t="str">
        <f aca="false">IF($A389="","",IFERROR(INDEX('Suivi EPP'!$B$6:$B$505,MATCH($A389,'Suivi EPP'!$A$6:$A$505,0))&amp;" "&amp;INDEX('Suivi EPP'!$C$6:$C$505,MATCH($A389,'Suivi EPP'!$A$6:$A$505,0)),"Matricule inconnu"))</f>
        <v/>
      </c>
      <c r="C389" s="40"/>
      <c r="D389" s="39"/>
      <c r="E389" s="39"/>
      <c r="F389" s="39"/>
      <c r="G389" s="39"/>
      <c r="H389" s="39"/>
    </row>
    <row r="390" customFormat="false" ht="15" hidden="false" customHeight="false" outlineLevel="0" collapsed="false">
      <c r="A390" s="39"/>
      <c r="B390" s="44" t="str">
        <f aca="false">IF($A390="","",IFERROR(INDEX('Suivi EPP'!$B$6:$B$505,MATCH($A390,'Suivi EPP'!$A$6:$A$505,0))&amp;" "&amp;INDEX('Suivi EPP'!$C$6:$C$505,MATCH($A390,'Suivi EPP'!$A$6:$A$505,0)),"Matricule inconnu"))</f>
        <v/>
      </c>
      <c r="C390" s="40"/>
      <c r="D390" s="39"/>
      <c r="E390" s="39"/>
      <c r="F390" s="39"/>
      <c r="G390" s="39"/>
      <c r="H390" s="39"/>
    </row>
    <row r="391" customFormat="false" ht="15" hidden="false" customHeight="false" outlineLevel="0" collapsed="false">
      <c r="A391" s="39"/>
      <c r="B391" s="44" t="str">
        <f aca="false">IF($A391="","",IFERROR(INDEX('Suivi EPP'!$B$6:$B$505,MATCH($A391,'Suivi EPP'!$A$6:$A$505,0))&amp;" "&amp;INDEX('Suivi EPP'!$C$6:$C$505,MATCH($A391,'Suivi EPP'!$A$6:$A$505,0)),"Matricule inconnu"))</f>
        <v/>
      </c>
      <c r="C391" s="40"/>
      <c r="D391" s="39"/>
      <c r="E391" s="39"/>
      <c r="F391" s="39"/>
      <c r="G391" s="39"/>
      <c r="H391" s="39"/>
    </row>
    <row r="392" customFormat="false" ht="15" hidden="false" customHeight="false" outlineLevel="0" collapsed="false">
      <c r="A392" s="39"/>
      <c r="B392" s="44" t="str">
        <f aca="false">IF($A392="","",IFERROR(INDEX('Suivi EPP'!$B$6:$B$505,MATCH($A392,'Suivi EPP'!$A$6:$A$505,0))&amp;" "&amp;INDEX('Suivi EPP'!$C$6:$C$505,MATCH($A392,'Suivi EPP'!$A$6:$A$505,0)),"Matricule inconnu"))</f>
        <v/>
      </c>
      <c r="C392" s="40"/>
      <c r="D392" s="39"/>
      <c r="E392" s="39"/>
      <c r="F392" s="39"/>
      <c r="G392" s="39"/>
      <c r="H392" s="39"/>
    </row>
    <row r="393" customFormat="false" ht="15" hidden="false" customHeight="false" outlineLevel="0" collapsed="false">
      <c r="A393" s="39"/>
      <c r="B393" s="44" t="str">
        <f aca="false">IF($A393="","",IFERROR(INDEX('Suivi EPP'!$B$6:$B$505,MATCH($A393,'Suivi EPP'!$A$6:$A$505,0))&amp;" "&amp;INDEX('Suivi EPP'!$C$6:$C$505,MATCH($A393,'Suivi EPP'!$A$6:$A$505,0)),"Matricule inconnu"))</f>
        <v/>
      </c>
      <c r="C393" s="40"/>
      <c r="D393" s="39"/>
      <c r="E393" s="39"/>
      <c r="F393" s="39"/>
      <c r="G393" s="39"/>
      <c r="H393" s="39"/>
    </row>
    <row r="394" customFormat="false" ht="15" hidden="false" customHeight="false" outlineLevel="0" collapsed="false">
      <c r="A394" s="39"/>
      <c r="B394" s="44" t="str">
        <f aca="false">IF($A394="","",IFERROR(INDEX('Suivi EPP'!$B$6:$B$505,MATCH($A394,'Suivi EPP'!$A$6:$A$505,0))&amp;" "&amp;INDEX('Suivi EPP'!$C$6:$C$505,MATCH($A394,'Suivi EPP'!$A$6:$A$505,0)),"Matricule inconnu"))</f>
        <v/>
      </c>
      <c r="C394" s="40"/>
      <c r="D394" s="39"/>
      <c r="E394" s="39"/>
      <c r="F394" s="39"/>
      <c r="G394" s="39"/>
      <c r="H394" s="39"/>
    </row>
    <row r="395" customFormat="false" ht="15" hidden="false" customHeight="false" outlineLevel="0" collapsed="false">
      <c r="A395" s="39"/>
      <c r="B395" s="44" t="str">
        <f aca="false">IF($A395="","",IFERROR(INDEX('Suivi EPP'!$B$6:$B$505,MATCH($A395,'Suivi EPP'!$A$6:$A$505,0))&amp;" "&amp;INDEX('Suivi EPP'!$C$6:$C$505,MATCH($A395,'Suivi EPP'!$A$6:$A$505,0)),"Matricule inconnu"))</f>
        <v/>
      </c>
      <c r="C395" s="40"/>
      <c r="D395" s="39"/>
      <c r="E395" s="39"/>
      <c r="F395" s="39"/>
      <c r="G395" s="39"/>
      <c r="H395" s="39"/>
    </row>
    <row r="396" customFormat="false" ht="15" hidden="false" customHeight="false" outlineLevel="0" collapsed="false">
      <c r="A396" s="39"/>
      <c r="B396" s="44" t="str">
        <f aca="false">IF($A396="","",IFERROR(INDEX('Suivi EPP'!$B$6:$B$505,MATCH($A396,'Suivi EPP'!$A$6:$A$505,0))&amp;" "&amp;INDEX('Suivi EPP'!$C$6:$C$505,MATCH($A396,'Suivi EPP'!$A$6:$A$505,0)),"Matricule inconnu"))</f>
        <v/>
      </c>
      <c r="C396" s="40"/>
      <c r="D396" s="39"/>
      <c r="E396" s="39"/>
      <c r="F396" s="39"/>
      <c r="G396" s="39"/>
      <c r="H396" s="39"/>
    </row>
    <row r="397" customFormat="false" ht="15" hidden="false" customHeight="false" outlineLevel="0" collapsed="false">
      <c r="A397" s="39"/>
      <c r="B397" s="44" t="str">
        <f aca="false">IF($A397="","",IFERROR(INDEX('Suivi EPP'!$B$6:$B$505,MATCH($A397,'Suivi EPP'!$A$6:$A$505,0))&amp;" "&amp;INDEX('Suivi EPP'!$C$6:$C$505,MATCH($A397,'Suivi EPP'!$A$6:$A$505,0)),"Matricule inconnu"))</f>
        <v/>
      </c>
      <c r="C397" s="40"/>
      <c r="D397" s="39"/>
      <c r="E397" s="39"/>
      <c r="F397" s="39"/>
      <c r="G397" s="39"/>
      <c r="H397" s="39"/>
    </row>
    <row r="398" customFormat="false" ht="15" hidden="false" customHeight="false" outlineLevel="0" collapsed="false">
      <c r="A398" s="39"/>
      <c r="B398" s="44" t="str">
        <f aca="false">IF($A398="","",IFERROR(INDEX('Suivi EPP'!$B$6:$B$505,MATCH($A398,'Suivi EPP'!$A$6:$A$505,0))&amp;" "&amp;INDEX('Suivi EPP'!$C$6:$C$505,MATCH($A398,'Suivi EPP'!$A$6:$A$505,0)),"Matricule inconnu"))</f>
        <v/>
      </c>
      <c r="C398" s="40"/>
      <c r="D398" s="39"/>
      <c r="E398" s="39"/>
      <c r="F398" s="39"/>
      <c r="G398" s="39"/>
      <c r="H398" s="39"/>
    </row>
    <row r="399" customFormat="false" ht="15" hidden="false" customHeight="false" outlineLevel="0" collapsed="false">
      <c r="A399" s="39"/>
      <c r="B399" s="44" t="str">
        <f aca="false">IF($A399="","",IFERROR(INDEX('Suivi EPP'!$B$6:$B$505,MATCH($A399,'Suivi EPP'!$A$6:$A$505,0))&amp;" "&amp;INDEX('Suivi EPP'!$C$6:$C$505,MATCH($A399,'Suivi EPP'!$A$6:$A$505,0)),"Matricule inconnu"))</f>
        <v/>
      </c>
      <c r="C399" s="40"/>
      <c r="D399" s="39"/>
      <c r="E399" s="39"/>
      <c r="F399" s="39"/>
      <c r="G399" s="39"/>
      <c r="H399" s="39"/>
    </row>
    <row r="400" customFormat="false" ht="15" hidden="false" customHeight="false" outlineLevel="0" collapsed="false">
      <c r="A400" s="39"/>
      <c r="B400" s="44" t="str">
        <f aca="false">IF($A400="","",IFERROR(INDEX('Suivi EPP'!$B$6:$B$505,MATCH($A400,'Suivi EPP'!$A$6:$A$505,0))&amp;" "&amp;INDEX('Suivi EPP'!$C$6:$C$505,MATCH($A400,'Suivi EPP'!$A$6:$A$505,0)),"Matricule inconnu"))</f>
        <v/>
      </c>
      <c r="C400" s="40"/>
      <c r="D400" s="39"/>
      <c r="E400" s="39"/>
      <c r="F400" s="39"/>
      <c r="G400" s="39"/>
      <c r="H400" s="39"/>
    </row>
    <row r="401" customFormat="false" ht="15" hidden="false" customHeight="false" outlineLevel="0" collapsed="false">
      <c r="A401" s="39"/>
      <c r="B401" s="44" t="str">
        <f aca="false">IF($A401="","",IFERROR(INDEX('Suivi EPP'!$B$6:$B$505,MATCH($A401,'Suivi EPP'!$A$6:$A$505,0))&amp;" "&amp;INDEX('Suivi EPP'!$C$6:$C$505,MATCH($A401,'Suivi EPP'!$A$6:$A$505,0)),"Matricule inconnu"))</f>
        <v/>
      </c>
      <c r="C401" s="40"/>
      <c r="D401" s="39"/>
      <c r="E401" s="39"/>
      <c r="F401" s="39"/>
      <c r="G401" s="39"/>
      <c r="H401" s="39"/>
    </row>
    <row r="402" customFormat="false" ht="15" hidden="false" customHeight="false" outlineLevel="0" collapsed="false">
      <c r="A402" s="39"/>
      <c r="B402" s="44" t="str">
        <f aca="false">IF($A402="","",IFERROR(INDEX('Suivi EPP'!$B$6:$B$505,MATCH($A402,'Suivi EPP'!$A$6:$A$505,0))&amp;" "&amp;INDEX('Suivi EPP'!$C$6:$C$505,MATCH($A402,'Suivi EPP'!$A$6:$A$505,0)),"Matricule inconnu"))</f>
        <v/>
      </c>
      <c r="C402" s="40"/>
      <c r="D402" s="39"/>
      <c r="E402" s="39"/>
      <c r="F402" s="39"/>
      <c r="G402" s="39"/>
      <c r="H402" s="39"/>
    </row>
    <row r="403" customFormat="false" ht="15" hidden="false" customHeight="false" outlineLevel="0" collapsed="false">
      <c r="A403" s="39"/>
      <c r="B403" s="44" t="str">
        <f aca="false">IF($A403="","",IFERROR(INDEX('Suivi EPP'!$B$6:$B$505,MATCH($A403,'Suivi EPP'!$A$6:$A$505,0))&amp;" "&amp;INDEX('Suivi EPP'!$C$6:$C$505,MATCH($A403,'Suivi EPP'!$A$6:$A$505,0)),"Matricule inconnu"))</f>
        <v/>
      </c>
      <c r="C403" s="40"/>
      <c r="D403" s="39"/>
      <c r="E403" s="39"/>
      <c r="F403" s="39"/>
      <c r="G403" s="39"/>
      <c r="H403" s="39"/>
    </row>
    <row r="404" customFormat="false" ht="15" hidden="false" customHeight="false" outlineLevel="0" collapsed="false">
      <c r="A404" s="39"/>
      <c r="B404" s="44" t="str">
        <f aca="false">IF($A404="","",IFERROR(INDEX('Suivi EPP'!$B$6:$B$505,MATCH($A404,'Suivi EPP'!$A$6:$A$505,0))&amp;" "&amp;INDEX('Suivi EPP'!$C$6:$C$505,MATCH($A404,'Suivi EPP'!$A$6:$A$505,0)),"Matricule inconnu"))</f>
        <v/>
      </c>
      <c r="C404" s="40"/>
      <c r="D404" s="39"/>
      <c r="E404" s="39"/>
      <c r="F404" s="39"/>
      <c r="G404" s="39"/>
      <c r="H404" s="39"/>
    </row>
    <row r="405" customFormat="false" ht="15" hidden="false" customHeight="false" outlineLevel="0" collapsed="false">
      <c r="A405" s="39"/>
      <c r="B405" s="44" t="str">
        <f aca="false">IF($A405="","",IFERROR(INDEX('Suivi EPP'!$B$6:$B$505,MATCH($A405,'Suivi EPP'!$A$6:$A$505,0))&amp;" "&amp;INDEX('Suivi EPP'!$C$6:$C$505,MATCH($A405,'Suivi EPP'!$A$6:$A$505,0)),"Matricule inconnu"))</f>
        <v/>
      </c>
      <c r="C405" s="40"/>
      <c r="D405" s="39"/>
      <c r="E405" s="39"/>
      <c r="F405" s="39"/>
      <c r="G405" s="39"/>
      <c r="H405" s="39"/>
    </row>
    <row r="406" customFormat="false" ht="15" hidden="false" customHeight="false" outlineLevel="0" collapsed="false">
      <c r="A406" s="39"/>
      <c r="B406" s="44" t="str">
        <f aca="false">IF($A406="","",IFERROR(INDEX('Suivi EPP'!$B$6:$B$505,MATCH($A406,'Suivi EPP'!$A$6:$A$505,0))&amp;" "&amp;INDEX('Suivi EPP'!$C$6:$C$505,MATCH($A406,'Suivi EPP'!$A$6:$A$505,0)),"Matricule inconnu"))</f>
        <v/>
      </c>
      <c r="C406" s="40"/>
      <c r="D406" s="39"/>
      <c r="E406" s="39"/>
      <c r="F406" s="39"/>
      <c r="G406" s="39"/>
      <c r="H406" s="39"/>
    </row>
    <row r="407" customFormat="false" ht="15" hidden="false" customHeight="false" outlineLevel="0" collapsed="false">
      <c r="A407" s="39"/>
      <c r="B407" s="44" t="str">
        <f aca="false">IF($A407="","",IFERROR(INDEX('Suivi EPP'!$B$6:$B$505,MATCH($A407,'Suivi EPP'!$A$6:$A$505,0))&amp;" "&amp;INDEX('Suivi EPP'!$C$6:$C$505,MATCH($A407,'Suivi EPP'!$A$6:$A$505,0)),"Matricule inconnu"))</f>
        <v/>
      </c>
      <c r="C407" s="40"/>
      <c r="D407" s="39"/>
      <c r="E407" s="39"/>
      <c r="F407" s="39"/>
      <c r="G407" s="39"/>
      <c r="H407" s="39"/>
    </row>
    <row r="408" customFormat="false" ht="15" hidden="false" customHeight="false" outlineLevel="0" collapsed="false">
      <c r="A408" s="39"/>
      <c r="B408" s="44" t="str">
        <f aca="false">IF($A408="","",IFERROR(INDEX('Suivi EPP'!$B$6:$B$505,MATCH($A408,'Suivi EPP'!$A$6:$A$505,0))&amp;" "&amp;INDEX('Suivi EPP'!$C$6:$C$505,MATCH($A408,'Suivi EPP'!$A$6:$A$505,0)),"Matricule inconnu"))</f>
        <v/>
      </c>
      <c r="C408" s="40"/>
      <c r="D408" s="39"/>
      <c r="E408" s="39"/>
      <c r="F408" s="39"/>
      <c r="G408" s="39"/>
      <c r="H408" s="39"/>
    </row>
    <row r="409" customFormat="false" ht="15" hidden="false" customHeight="false" outlineLevel="0" collapsed="false">
      <c r="A409" s="39"/>
      <c r="B409" s="44" t="str">
        <f aca="false">IF($A409="","",IFERROR(INDEX('Suivi EPP'!$B$6:$B$505,MATCH($A409,'Suivi EPP'!$A$6:$A$505,0))&amp;" "&amp;INDEX('Suivi EPP'!$C$6:$C$505,MATCH($A409,'Suivi EPP'!$A$6:$A$505,0)),"Matricule inconnu"))</f>
        <v/>
      </c>
      <c r="C409" s="40"/>
      <c r="D409" s="39"/>
      <c r="E409" s="39"/>
      <c r="F409" s="39"/>
      <c r="G409" s="39"/>
      <c r="H409" s="39"/>
    </row>
    <row r="410" customFormat="false" ht="15" hidden="false" customHeight="false" outlineLevel="0" collapsed="false">
      <c r="A410" s="39"/>
      <c r="B410" s="44" t="str">
        <f aca="false">IF($A410="","",IFERROR(INDEX('Suivi EPP'!$B$6:$B$505,MATCH($A410,'Suivi EPP'!$A$6:$A$505,0))&amp;" "&amp;INDEX('Suivi EPP'!$C$6:$C$505,MATCH($A410,'Suivi EPP'!$A$6:$A$505,0)),"Matricule inconnu"))</f>
        <v/>
      </c>
      <c r="C410" s="40"/>
      <c r="D410" s="39"/>
      <c r="E410" s="39"/>
      <c r="F410" s="39"/>
      <c r="G410" s="39"/>
      <c r="H410" s="39"/>
    </row>
    <row r="411" customFormat="false" ht="15" hidden="false" customHeight="false" outlineLevel="0" collapsed="false">
      <c r="A411" s="39"/>
      <c r="B411" s="44" t="str">
        <f aca="false">IF($A411="","",IFERROR(INDEX('Suivi EPP'!$B$6:$B$505,MATCH($A411,'Suivi EPP'!$A$6:$A$505,0))&amp;" "&amp;INDEX('Suivi EPP'!$C$6:$C$505,MATCH($A411,'Suivi EPP'!$A$6:$A$505,0)),"Matricule inconnu"))</f>
        <v/>
      </c>
      <c r="C411" s="40"/>
      <c r="D411" s="39"/>
      <c r="E411" s="39"/>
      <c r="F411" s="39"/>
      <c r="G411" s="39"/>
      <c r="H411" s="39"/>
    </row>
    <row r="412" customFormat="false" ht="15" hidden="false" customHeight="false" outlineLevel="0" collapsed="false">
      <c r="A412" s="39"/>
      <c r="B412" s="44" t="str">
        <f aca="false">IF($A412="","",IFERROR(INDEX('Suivi EPP'!$B$6:$B$505,MATCH($A412,'Suivi EPP'!$A$6:$A$505,0))&amp;" "&amp;INDEX('Suivi EPP'!$C$6:$C$505,MATCH($A412,'Suivi EPP'!$A$6:$A$505,0)),"Matricule inconnu"))</f>
        <v/>
      </c>
      <c r="C412" s="40"/>
      <c r="D412" s="39"/>
      <c r="E412" s="39"/>
      <c r="F412" s="39"/>
      <c r="G412" s="39"/>
      <c r="H412" s="39"/>
    </row>
    <row r="413" customFormat="false" ht="15" hidden="false" customHeight="false" outlineLevel="0" collapsed="false">
      <c r="A413" s="39"/>
      <c r="B413" s="44" t="str">
        <f aca="false">IF($A413="","",IFERROR(INDEX('Suivi EPP'!$B$6:$B$505,MATCH($A413,'Suivi EPP'!$A$6:$A$505,0))&amp;" "&amp;INDEX('Suivi EPP'!$C$6:$C$505,MATCH($A413,'Suivi EPP'!$A$6:$A$505,0)),"Matricule inconnu"))</f>
        <v/>
      </c>
      <c r="C413" s="40"/>
      <c r="D413" s="39"/>
      <c r="E413" s="39"/>
      <c r="F413" s="39"/>
      <c r="G413" s="39"/>
      <c r="H413" s="39"/>
    </row>
    <row r="414" customFormat="false" ht="15" hidden="false" customHeight="false" outlineLevel="0" collapsed="false">
      <c r="A414" s="39"/>
      <c r="B414" s="44" t="str">
        <f aca="false">IF($A414="","",IFERROR(INDEX('Suivi EPP'!$B$6:$B$505,MATCH($A414,'Suivi EPP'!$A$6:$A$505,0))&amp;" "&amp;INDEX('Suivi EPP'!$C$6:$C$505,MATCH($A414,'Suivi EPP'!$A$6:$A$505,0)),"Matricule inconnu"))</f>
        <v/>
      </c>
      <c r="C414" s="40"/>
      <c r="D414" s="39"/>
      <c r="E414" s="39"/>
      <c r="F414" s="39"/>
      <c r="G414" s="39"/>
      <c r="H414" s="39"/>
    </row>
    <row r="415" customFormat="false" ht="15" hidden="false" customHeight="false" outlineLevel="0" collapsed="false">
      <c r="A415" s="39"/>
      <c r="B415" s="44" t="str">
        <f aca="false">IF($A415="","",IFERROR(INDEX('Suivi EPP'!$B$6:$B$505,MATCH($A415,'Suivi EPP'!$A$6:$A$505,0))&amp;" "&amp;INDEX('Suivi EPP'!$C$6:$C$505,MATCH($A415,'Suivi EPP'!$A$6:$A$505,0)),"Matricule inconnu"))</f>
        <v/>
      </c>
      <c r="C415" s="40"/>
      <c r="D415" s="39"/>
      <c r="E415" s="39"/>
      <c r="F415" s="39"/>
      <c r="G415" s="39"/>
      <c r="H415" s="39"/>
    </row>
    <row r="416" customFormat="false" ht="15" hidden="false" customHeight="false" outlineLevel="0" collapsed="false">
      <c r="A416" s="39"/>
      <c r="B416" s="44" t="str">
        <f aca="false">IF($A416="","",IFERROR(INDEX('Suivi EPP'!$B$6:$B$505,MATCH($A416,'Suivi EPP'!$A$6:$A$505,0))&amp;" "&amp;INDEX('Suivi EPP'!$C$6:$C$505,MATCH($A416,'Suivi EPP'!$A$6:$A$505,0)),"Matricule inconnu"))</f>
        <v/>
      </c>
      <c r="C416" s="40"/>
      <c r="D416" s="39"/>
      <c r="E416" s="39"/>
      <c r="F416" s="39"/>
      <c r="G416" s="39"/>
      <c r="H416" s="39"/>
    </row>
    <row r="417" customFormat="false" ht="15" hidden="false" customHeight="false" outlineLevel="0" collapsed="false">
      <c r="A417" s="39"/>
      <c r="B417" s="44" t="str">
        <f aca="false">IF($A417="","",IFERROR(INDEX('Suivi EPP'!$B$6:$B$505,MATCH($A417,'Suivi EPP'!$A$6:$A$505,0))&amp;" "&amp;INDEX('Suivi EPP'!$C$6:$C$505,MATCH($A417,'Suivi EPP'!$A$6:$A$505,0)),"Matricule inconnu"))</f>
        <v/>
      </c>
      <c r="C417" s="40"/>
      <c r="D417" s="39"/>
      <c r="E417" s="39"/>
      <c r="F417" s="39"/>
      <c r="G417" s="39"/>
      <c r="H417" s="39"/>
    </row>
    <row r="418" customFormat="false" ht="15" hidden="false" customHeight="false" outlineLevel="0" collapsed="false">
      <c r="A418" s="39"/>
      <c r="B418" s="44" t="str">
        <f aca="false">IF($A418="","",IFERROR(INDEX('Suivi EPP'!$B$6:$B$505,MATCH($A418,'Suivi EPP'!$A$6:$A$505,0))&amp;" "&amp;INDEX('Suivi EPP'!$C$6:$C$505,MATCH($A418,'Suivi EPP'!$A$6:$A$505,0)),"Matricule inconnu"))</f>
        <v/>
      </c>
      <c r="C418" s="40"/>
      <c r="D418" s="39"/>
      <c r="E418" s="39"/>
      <c r="F418" s="39"/>
      <c r="G418" s="39"/>
      <c r="H418" s="39"/>
    </row>
    <row r="419" customFormat="false" ht="15" hidden="false" customHeight="false" outlineLevel="0" collapsed="false">
      <c r="A419" s="39"/>
      <c r="B419" s="44" t="str">
        <f aca="false">IF($A419="","",IFERROR(INDEX('Suivi EPP'!$B$6:$B$505,MATCH($A419,'Suivi EPP'!$A$6:$A$505,0))&amp;" "&amp;INDEX('Suivi EPP'!$C$6:$C$505,MATCH($A419,'Suivi EPP'!$A$6:$A$505,0)),"Matricule inconnu"))</f>
        <v/>
      </c>
      <c r="C419" s="40"/>
      <c r="D419" s="39"/>
      <c r="E419" s="39"/>
      <c r="F419" s="39"/>
      <c r="G419" s="39"/>
      <c r="H419" s="39"/>
    </row>
    <row r="420" customFormat="false" ht="15" hidden="false" customHeight="false" outlineLevel="0" collapsed="false">
      <c r="A420" s="39"/>
      <c r="B420" s="44" t="str">
        <f aca="false">IF($A420="","",IFERROR(INDEX('Suivi EPP'!$B$6:$B$505,MATCH($A420,'Suivi EPP'!$A$6:$A$505,0))&amp;" "&amp;INDEX('Suivi EPP'!$C$6:$C$505,MATCH($A420,'Suivi EPP'!$A$6:$A$505,0)),"Matricule inconnu"))</f>
        <v/>
      </c>
      <c r="C420" s="40"/>
      <c r="D420" s="39"/>
      <c r="E420" s="39"/>
      <c r="F420" s="39"/>
      <c r="G420" s="39"/>
      <c r="H420" s="39"/>
    </row>
    <row r="421" customFormat="false" ht="15" hidden="false" customHeight="false" outlineLevel="0" collapsed="false">
      <c r="A421" s="39"/>
      <c r="B421" s="44" t="str">
        <f aca="false">IF($A421="","",IFERROR(INDEX('Suivi EPP'!$B$6:$B$505,MATCH($A421,'Suivi EPP'!$A$6:$A$505,0))&amp;" "&amp;INDEX('Suivi EPP'!$C$6:$C$505,MATCH($A421,'Suivi EPP'!$A$6:$A$505,0)),"Matricule inconnu"))</f>
        <v/>
      </c>
      <c r="C421" s="40"/>
      <c r="D421" s="39"/>
      <c r="E421" s="39"/>
      <c r="F421" s="39"/>
      <c r="G421" s="39"/>
      <c r="H421" s="39"/>
    </row>
    <row r="422" customFormat="false" ht="15" hidden="false" customHeight="false" outlineLevel="0" collapsed="false">
      <c r="A422" s="39"/>
      <c r="B422" s="44" t="str">
        <f aca="false">IF($A422="","",IFERROR(INDEX('Suivi EPP'!$B$6:$B$505,MATCH($A422,'Suivi EPP'!$A$6:$A$505,0))&amp;" "&amp;INDEX('Suivi EPP'!$C$6:$C$505,MATCH($A422,'Suivi EPP'!$A$6:$A$505,0)),"Matricule inconnu"))</f>
        <v/>
      </c>
      <c r="C422" s="40"/>
      <c r="D422" s="39"/>
      <c r="E422" s="39"/>
      <c r="F422" s="39"/>
      <c r="G422" s="39"/>
      <c r="H422" s="39"/>
    </row>
    <row r="423" customFormat="false" ht="15" hidden="false" customHeight="false" outlineLevel="0" collapsed="false">
      <c r="A423" s="39"/>
      <c r="B423" s="44" t="str">
        <f aca="false">IF($A423="","",IFERROR(INDEX('Suivi EPP'!$B$6:$B$505,MATCH($A423,'Suivi EPP'!$A$6:$A$505,0))&amp;" "&amp;INDEX('Suivi EPP'!$C$6:$C$505,MATCH($A423,'Suivi EPP'!$A$6:$A$505,0)),"Matricule inconnu"))</f>
        <v/>
      </c>
      <c r="C423" s="40"/>
      <c r="D423" s="39"/>
      <c r="E423" s="39"/>
      <c r="F423" s="39"/>
      <c r="G423" s="39"/>
      <c r="H423" s="39"/>
    </row>
    <row r="424" customFormat="false" ht="15" hidden="false" customHeight="false" outlineLevel="0" collapsed="false">
      <c r="A424" s="39"/>
      <c r="B424" s="44" t="str">
        <f aca="false">IF($A424="","",IFERROR(INDEX('Suivi EPP'!$B$6:$B$505,MATCH($A424,'Suivi EPP'!$A$6:$A$505,0))&amp;" "&amp;INDEX('Suivi EPP'!$C$6:$C$505,MATCH($A424,'Suivi EPP'!$A$6:$A$505,0)),"Matricule inconnu"))</f>
        <v/>
      </c>
      <c r="C424" s="40"/>
      <c r="D424" s="39"/>
      <c r="E424" s="39"/>
      <c r="F424" s="39"/>
      <c r="G424" s="39"/>
      <c r="H424" s="39"/>
    </row>
    <row r="425" customFormat="false" ht="15" hidden="false" customHeight="false" outlineLevel="0" collapsed="false">
      <c r="A425" s="39"/>
      <c r="B425" s="44" t="str">
        <f aca="false">IF($A425="","",IFERROR(INDEX('Suivi EPP'!$B$6:$B$505,MATCH($A425,'Suivi EPP'!$A$6:$A$505,0))&amp;" "&amp;INDEX('Suivi EPP'!$C$6:$C$505,MATCH($A425,'Suivi EPP'!$A$6:$A$505,0)),"Matricule inconnu"))</f>
        <v/>
      </c>
      <c r="C425" s="40"/>
      <c r="D425" s="39"/>
      <c r="E425" s="39"/>
      <c r="F425" s="39"/>
      <c r="G425" s="39"/>
      <c r="H425" s="39"/>
    </row>
    <row r="426" customFormat="false" ht="15" hidden="false" customHeight="false" outlineLevel="0" collapsed="false">
      <c r="A426" s="39"/>
      <c r="B426" s="44" t="str">
        <f aca="false">IF($A426="","",IFERROR(INDEX('Suivi EPP'!$B$6:$B$505,MATCH($A426,'Suivi EPP'!$A$6:$A$505,0))&amp;" "&amp;INDEX('Suivi EPP'!$C$6:$C$505,MATCH($A426,'Suivi EPP'!$A$6:$A$505,0)),"Matricule inconnu"))</f>
        <v/>
      </c>
      <c r="C426" s="40"/>
      <c r="D426" s="39"/>
      <c r="E426" s="39"/>
      <c r="F426" s="39"/>
      <c r="G426" s="39"/>
      <c r="H426" s="39"/>
    </row>
    <row r="427" customFormat="false" ht="15" hidden="false" customHeight="false" outlineLevel="0" collapsed="false">
      <c r="A427" s="39"/>
      <c r="B427" s="44" t="str">
        <f aca="false">IF($A427="","",IFERROR(INDEX('Suivi EPP'!$B$6:$B$505,MATCH($A427,'Suivi EPP'!$A$6:$A$505,0))&amp;" "&amp;INDEX('Suivi EPP'!$C$6:$C$505,MATCH($A427,'Suivi EPP'!$A$6:$A$505,0)),"Matricule inconnu"))</f>
        <v/>
      </c>
      <c r="C427" s="40"/>
      <c r="D427" s="39"/>
      <c r="E427" s="39"/>
      <c r="F427" s="39"/>
      <c r="G427" s="39"/>
      <c r="H427" s="39"/>
    </row>
    <row r="428" customFormat="false" ht="15" hidden="false" customHeight="false" outlineLevel="0" collapsed="false">
      <c r="A428" s="39"/>
      <c r="B428" s="44" t="str">
        <f aca="false">IF($A428="","",IFERROR(INDEX('Suivi EPP'!$B$6:$B$505,MATCH($A428,'Suivi EPP'!$A$6:$A$505,0))&amp;" "&amp;INDEX('Suivi EPP'!$C$6:$C$505,MATCH($A428,'Suivi EPP'!$A$6:$A$505,0)),"Matricule inconnu"))</f>
        <v/>
      </c>
      <c r="C428" s="40"/>
      <c r="D428" s="39"/>
      <c r="E428" s="39"/>
      <c r="F428" s="39"/>
      <c r="G428" s="39"/>
      <c r="H428" s="39"/>
    </row>
    <row r="429" customFormat="false" ht="15" hidden="false" customHeight="false" outlineLevel="0" collapsed="false">
      <c r="A429" s="39"/>
      <c r="B429" s="44" t="str">
        <f aca="false">IF($A429="","",IFERROR(INDEX('Suivi EPP'!$B$6:$B$505,MATCH($A429,'Suivi EPP'!$A$6:$A$505,0))&amp;" "&amp;INDEX('Suivi EPP'!$C$6:$C$505,MATCH($A429,'Suivi EPP'!$A$6:$A$505,0)),"Matricule inconnu"))</f>
        <v/>
      </c>
      <c r="C429" s="40"/>
      <c r="D429" s="39"/>
      <c r="E429" s="39"/>
      <c r="F429" s="39"/>
      <c r="G429" s="39"/>
      <c r="H429" s="39"/>
    </row>
    <row r="430" customFormat="false" ht="15" hidden="false" customHeight="false" outlineLevel="0" collapsed="false">
      <c r="A430" s="39"/>
      <c r="B430" s="44" t="str">
        <f aca="false">IF($A430="","",IFERROR(INDEX('Suivi EPP'!$B$6:$B$505,MATCH($A430,'Suivi EPP'!$A$6:$A$505,0))&amp;" "&amp;INDEX('Suivi EPP'!$C$6:$C$505,MATCH($A430,'Suivi EPP'!$A$6:$A$505,0)),"Matricule inconnu"))</f>
        <v/>
      </c>
      <c r="C430" s="40"/>
      <c r="D430" s="39"/>
      <c r="E430" s="39"/>
      <c r="F430" s="39"/>
      <c r="G430" s="39"/>
      <c r="H430" s="39"/>
    </row>
    <row r="431" customFormat="false" ht="15" hidden="false" customHeight="false" outlineLevel="0" collapsed="false">
      <c r="A431" s="39"/>
      <c r="B431" s="44" t="str">
        <f aca="false">IF($A431="","",IFERROR(INDEX('Suivi EPP'!$B$6:$B$505,MATCH($A431,'Suivi EPP'!$A$6:$A$505,0))&amp;" "&amp;INDEX('Suivi EPP'!$C$6:$C$505,MATCH($A431,'Suivi EPP'!$A$6:$A$505,0)),"Matricule inconnu"))</f>
        <v/>
      </c>
      <c r="C431" s="40"/>
      <c r="D431" s="39"/>
      <c r="E431" s="39"/>
      <c r="F431" s="39"/>
      <c r="G431" s="39"/>
      <c r="H431" s="39"/>
    </row>
    <row r="432" customFormat="false" ht="15" hidden="false" customHeight="false" outlineLevel="0" collapsed="false">
      <c r="A432" s="39"/>
      <c r="B432" s="44" t="str">
        <f aca="false">IF($A432="","",IFERROR(INDEX('Suivi EPP'!$B$6:$B$505,MATCH($A432,'Suivi EPP'!$A$6:$A$505,0))&amp;" "&amp;INDEX('Suivi EPP'!$C$6:$C$505,MATCH($A432,'Suivi EPP'!$A$6:$A$505,0)),"Matricule inconnu"))</f>
        <v/>
      </c>
      <c r="C432" s="40"/>
      <c r="D432" s="39"/>
      <c r="E432" s="39"/>
      <c r="F432" s="39"/>
      <c r="G432" s="39"/>
      <c r="H432" s="39"/>
    </row>
    <row r="433" customFormat="false" ht="15" hidden="false" customHeight="false" outlineLevel="0" collapsed="false">
      <c r="A433" s="39"/>
      <c r="B433" s="44" t="str">
        <f aca="false">IF($A433="","",IFERROR(INDEX('Suivi EPP'!$B$6:$B$505,MATCH($A433,'Suivi EPP'!$A$6:$A$505,0))&amp;" "&amp;INDEX('Suivi EPP'!$C$6:$C$505,MATCH($A433,'Suivi EPP'!$A$6:$A$505,0)),"Matricule inconnu"))</f>
        <v/>
      </c>
      <c r="C433" s="40"/>
      <c r="D433" s="39"/>
      <c r="E433" s="39"/>
      <c r="F433" s="39"/>
      <c r="G433" s="39"/>
      <c r="H433" s="39"/>
    </row>
    <row r="434" customFormat="false" ht="15" hidden="false" customHeight="false" outlineLevel="0" collapsed="false">
      <c r="A434" s="39"/>
      <c r="B434" s="44" t="str">
        <f aca="false">IF($A434="","",IFERROR(INDEX('Suivi EPP'!$B$6:$B$505,MATCH($A434,'Suivi EPP'!$A$6:$A$505,0))&amp;" "&amp;INDEX('Suivi EPP'!$C$6:$C$505,MATCH($A434,'Suivi EPP'!$A$6:$A$505,0)),"Matricule inconnu"))</f>
        <v/>
      </c>
      <c r="C434" s="40"/>
      <c r="D434" s="39"/>
      <c r="E434" s="39"/>
      <c r="F434" s="39"/>
      <c r="G434" s="39"/>
      <c r="H434" s="39"/>
    </row>
    <row r="435" customFormat="false" ht="15" hidden="false" customHeight="false" outlineLevel="0" collapsed="false">
      <c r="A435" s="39"/>
      <c r="B435" s="44" t="str">
        <f aca="false">IF($A435="","",IFERROR(INDEX('Suivi EPP'!$B$6:$B$505,MATCH($A435,'Suivi EPP'!$A$6:$A$505,0))&amp;" "&amp;INDEX('Suivi EPP'!$C$6:$C$505,MATCH($A435,'Suivi EPP'!$A$6:$A$505,0)),"Matricule inconnu"))</f>
        <v/>
      </c>
      <c r="C435" s="40"/>
      <c r="D435" s="39"/>
      <c r="E435" s="39"/>
      <c r="F435" s="39"/>
      <c r="G435" s="39"/>
      <c r="H435" s="39"/>
    </row>
    <row r="436" customFormat="false" ht="15" hidden="false" customHeight="false" outlineLevel="0" collapsed="false">
      <c r="A436" s="39"/>
      <c r="B436" s="44" t="str">
        <f aca="false">IF($A436="","",IFERROR(INDEX('Suivi EPP'!$B$6:$B$505,MATCH($A436,'Suivi EPP'!$A$6:$A$505,0))&amp;" "&amp;INDEX('Suivi EPP'!$C$6:$C$505,MATCH($A436,'Suivi EPP'!$A$6:$A$505,0)),"Matricule inconnu"))</f>
        <v/>
      </c>
      <c r="C436" s="40"/>
      <c r="D436" s="39"/>
      <c r="E436" s="39"/>
      <c r="F436" s="39"/>
      <c r="G436" s="39"/>
      <c r="H436" s="39"/>
    </row>
    <row r="437" customFormat="false" ht="15" hidden="false" customHeight="false" outlineLevel="0" collapsed="false">
      <c r="A437" s="39"/>
      <c r="B437" s="44" t="str">
        <f aca="false">IF($A437="","",IFERROR(INDEX('Suivi EPP'!$B$6:$B$505,MATCH($A437,'Suivi EPP'!$A$6:$A$505,0))&amp;" "&amp;INDEX('Suivi EPP'!$C$6:$C$505,MATCH($A437,'Suivi EPP'!$A$6:$A$505,0)),"Matricule inconnu"))</f>
        <v/>
      </c>
      <c r="C437" s="40"/>
      <c r="D437" s="39"/>
      <c r="E437" s="39"/>
      <c r="F437" s="39"/>
      <c r="G437" s="39"/>
      <c r="H437" s="39"/>
    </row>
    <row r="438" customFormat="false" ht="15" hidden="false" customHeight="false" outlineLevel="0" collapsed="false">
      <c r="A438" s="39"/>
      <c r="B438" s="44" t="str">
        <f aca="false">IF($A438="","",IFERROR(INDEX('Suivi EPP'!$B$6:$B$505,MATCH($A438,'Suivi EPP'!$A$6:$A$505,0))&amp;" "&amp;INDEX('Suivi EPP'!$C$6:$C$505,MATCH($A438,'Suivi EPP'!$A$6:$A$505,0)),"Matricule inconnu"))</f>
        <v/>
      </c>
      <c r="C438" s="40"/>
      <c r="D438" s="39"/>
      <c r="E438" s="39"/>
      <c r="F438" s="39"/>
      <c r="G438" s="39"/>
      <c r="H438" s="39"/>
    </row>
    <row r="439" customFormat="false" ht="15" hidden="false" customHeight="false" outlineLevel="0" collapsed="false">
      <c r="A439" s="39"/>
      <c r="B439" s="44" t="str">
        <f aca="false">IF($A439="","",IFERROR(INDEX('Suivi EPP'!$B$6:$B$505,MATCH($A439,'Suivi EPP'!$A$6:$A$505,0))&amp;" "&amp;INDEX('Suivi EPP'!$C$6:$C$505,MATCH($A439,'Suivi EPP'!$A$6:$A$505,0)),"Matricule inconnu"))</f>
        <v/>
      </c>
      <c r="C439" s="40"/>
      <c r="D439" s="39"/>
      <c r="E439" s="39"/>
      <c r="F439" s="39"/>
      <c r="G439" s="39"/>
      <c r="H439" s="39"/>
    </row>
    <row r="440" customFormat="false" ht="15" hidden="false" customHeight="false" outlineLevel="0" collapsed="false">
      <c r="A440" s="39"/>
      <c r="B440" s="44" t="str">
        <f aca="false">IF($A440="","",IFERROR(INDEX('Suivi EPP'!$B$6:$B$505,MATCH($A440,'Suivi EPP'!$A$6:$A$505,0))&amp;" "&amp;INDEX('Suivi EPP'!$C$6:$C$505,MATCH($A440,'Suivi EPP'!$A$6:$A$505,0)),"Matricule inconnu"))</f>
        <v/>
      </c>
      <c r="C440" s="40"/>
      <c r="D440" s="39"/>
      <c r="E440" s="39"/>
      <c r="F440" s="39"/>
      <c r="G440" s="39"/>
      <c r="H440" s="39"/>
    </row>
    <row r="441" customFormat="false" ht="15" hidden="false" customHeight="false" outlineLevel="0" collapsed="false">
      <c r="A441" s="39"/>
      <c r="B441" s="44" t="str">
        <f aca="false">IF($A441="","",IFERROR(INDEX('Suivi EPP'!$B$6:$B$505,MATCH($A441,'Suivi EPP'!$A$6:$A$505,0))&amp;" "&amp;INDEX('Suivi EPP'!$C$6:$C$505,MATCH($A441,'Suivi EPP'!$A$6:$A$505,0)),"Matricule inconnu"))</f>
        <v/>
      </c>
      <c r="C441" s="40"/>
      <c r="D441" s="39"/>
      <c r="E441" s="39"/>
      <c r="F441" s="39"/>
      <c r="G441" s="39"/>
      <c r="H441" s="39"/>
    </row>
    <row r="442" customFormat="false" ht="15" hidden="false" customHeight="false" outlineLevel="0" collapsed="false">
      <c r="A442" s="39"/>
      <c r="B442" s="44" t="str">
        <f aca="false">IF($A442="","",IFERROR(INDEX('Suivi EPP'!$B$6:$B$505,MATCH($A442,'Suivi EPP'!$A$6:$A$505,0))&amp;" "&amp;INDEX('Suivi EPP'!$C$6:$C$505,MATCH($A442,'Suivi EPP'!$A$6:$A$505,0)),"Matricule inconnu"))</f>
        <v/>
      </c>
      <c r="C442" s="40"/>
      <c r="D442" s="39"/>
      <c r="E442" s="39"/>
      <c r="F442" s="39"/>
      <c r="G442" s="39"/>
      <c r="H442" s="39"/>
    </row>
    <row r="443" customFormat="false" ht="15" hidden="false" customHeight="false" outlineLevel="0" collapsed="false">
      <c r="A443" s="39"/>
      <c r="B443" s="44" t="str">
        <f aca="false">IF($A443="","",IFERROR(INDEX('Suivi EPP'!$B$6:$B$505,MATCH($A443,'Suivi EPP'!$A$6:$A$505,0))&amp;" "&amp;INDEX('Suivi EPP'!$C$6:$C$505,MATCH($A443,'Suivi EPP'!$A$6:$A$505,0)),"Matricule inconnu"))</f>
        <v/>
      </c>
      <c r="C443" s="40"/>
      <c r="D443" s="39"/>
      <c r="E443" s="39"/>
      <c r="F443" s="39"/>
      <c r="G443" s="39"/>
      <c r="H443" s="39"/>
    </row>
    <row r="444" customFormat="false" ht="15" hidden="false" customHeight="false" outlineLevel="0" collapsed="false">
      <c r="A444" s="39"/>
      <c r="B444" s="44" t="str">
        <f aca="false">IF($A444="","",IFERROR(INDEX('Suivi EPP'!$B$6:$B$505,MATCH($A444,'Suivi EPP'!$A$6:$A$505,0))&amp;" "&amp;INDEX('Suivi EPP'!$C$6:$C$505,MATCH($A444,'Suivi EPP'!$A$6:$A$505,0)),"Matricule inconnu"))</f>
        <v/>
      </c>
      <c r="C444" s="40"/>
      <c r="D444" s="39"/>
      <c r="E444" s="39"/>
      <c r="F444" s="39"/>
      <c r="G444" s="39"/>
      <c r="H444" s="39"/>
    </row>
    <row r="445" customFormat="false" ht="15" hidden="false" customHeight="false" outlineLevel="0" collapsed="false">
      <c r="A445" s="39"/>
      <c r="B445" s="44" t="str">
        <f aca="false">IF($A445="","",IFERROR(INDEX('Suivi EPP'!$B$6:$B$505,MATCH($A445,'Suivi EPP'!$A$6:$A$505,0))&amp;" "&amp;INDEX('Suivi EPP'!$C$6:$C$505,MATCH($A445,'Suivi EPP'!$A$6:$A$505,0)),"Matricule inconnu"))</f>
        <v/>
      </c>
      <c r="C445" s="40"/>
      <c r="D445" s="39"/>
      <c r="E445" s="39"/>
      <c r="F445" s="39"/>
      <c r="G445" s="39"/>
      <c r="H445" s="39"/>
    </row>
    <row r="446" customFormat="false" ht="15" hidden="false" customHeight="false" outlineLevel="0" collapsed="false">
      <c r="A446" s="39"/>
      <c r="B446" s="44" t="str">
        <f aca="false">IF($A446="","",IFERROR(INDEX('Suivi EPP'!$B$6:$B$505,MATCH($A446,'Suivi EPP'!$A$6:$A$505,0))&amp;" "&amp;INDEX('Suivi EPP'!$C$6:$C$505,MATCH($A446,'Suivi EPP'!$A$6:$A$505,0)),"Matricule inconnu"))</f>
        <v/>
      </c>
      <c r="C446" s="40"/>
      <c r="D446" s="39"/>
      <c r="E446" s="39"/>
      <c r="F446" s="39"/>
      <c r="G446" s="39"/>
      <c r="H446" s="39"/>
    </row>
    <row r="447" customFormat="false" ht="15" hidden="false" customHeight="false" outlineLevel="0" collapsed="false">
      <c r="A447" s="39"/>
      <c r="B447" s="44" t="str">
        <f aca="false">IF($A447="","",IFERROR(INDEX('Suivi EPP'!$B$6:$B$505,MATCH($A447,'Suivi EPP'!$A$6:$A$505,0))&amp;" "&amp;INDEX('Suivi EPP'!$C$6:$C$505,MATCH($A447,'Suivi EPP'!$A$6:$A$505,0)),"Matricule inconnu"))</f>
        <v/>
      </c>
      <c r="C447" s="40"/>
      <c r="D447" s="39"/>
      <c r="E447" s="39"/>
      <c r="F447" s="39"/>
      <c r="G447" s="39"/>
      <c r="H447" s="39"/>
    </row>
    <row r="448" customFormat="false" ht="15" hidden="false" customHeight="false" outlineLevel="0" collapsed="false">
      <c r="A448" s="39"/>
      <c r="B448" s="44" t="str">
        <f aca="false">IF($A448="","",IFERROR(INDEX('Suivi EPP'!$B$6:$B$505,MATCH($A448,'Suivi EPP'!$A$6:$A$505,0))&amp;" "&amp;INDEX('Suivi EPP'!$C$6:$C$505,MATCH($A448,'Suivi EPP'!$A$6:$A$505,0)),"Matricule inconnu"))</f>
        <v/>
      </c>
      <c r="C448" s="40"/>
      <c r="D448" s="39"/>
      <c r="E448" s="39"/>
      <c r="F448" s="39"/>
      <c r="G448" s="39"/>
      <c r="H448" s="39"/>
    </row>
    <row r="449" customFormat="false" ht="15" hidden="false" customHeight="false" outlineLevel="0" collapsed="false">
      <c r="A449" s="39"/>
      <c r="B449" s="44" t="str">
        <f aca="false">IF($A449="","",IFERROR(INDEX('Suivi EPP'!$B$6:$B$505,MATCH($A449,'Suivi EPP'!$A$6:$A$505,0))&amp;" "&amp;INDEX('Suivi EPP'!$C$6:$C$505,MATCH($A449,'Suivi EPP'!$A$6:$A$505,0)),"Matricule inconnu"))</f>
        <v/>
      </c>
      <c r="C449" s="40"/>
      <c r="D449" s="39"/>
      <c r="E449" s="39"/>
      <c r="F449" s="39"/>
      <c r="G449" s="39"/>
      <c r="H449" s="39"/>
    </row>
    <row r="450" customFormat="false" ht="15" hidden="false" customHeight="false" outlineLevel="0" collapsed="false">
      <c r="A450" s="39"/>
      <c r="B450" s="44" t="str">
        <f aca="false">IF($A450="","",IFERROR(INDEX('Suivi EPP'!$B$6:$B$505,MATCH($A450,'Suivi EPP'!$A$6:$A$505,0))&amp;" "&amp;INDEX('Suivi EPP'!$C$6:$C$505,MATCH($A450,'Suivi EPP'!$A$6:$A$505,0)),"Matricule inconnu"))</f>
        <v/>
      </c>
      <c r="C450" s="40"/>
      <c r="D450" s="39"/>
      <c r="E450" s="39"/>
      <c r="F450" s="39"/>
      <c r="G450" s="39"/>
      <c r="H450" s="39"/>
    </row>
    <row r="451" customFormat="false" ht="15" hidden="false" customHeight="false" outlineLevel="0" collapsed="false">
      <c r="A451" s="39"/>
      <c r="B451" s="44" t="str">
        <f aca="false">IF($A451="","",IFERROR(INDEX('Suivi EPP'!$B$6:$B$505,MATCH($A451,'Suivi EPP'!$A$6:$A$505,0))&amp;" "&amp;INDEX('Suivi EPP'!$C$6:$C$505,MATCH($A451,'Suivi EPP'!$A$6:$A$505,0)),"Matricule inconnu"))</f>
        <v/>
      </c>
      <c r="C451" s="40"/>
      <c r="D451" s="39"/>
      <c r="E451" s="39"/>
      <c r="F451" s="39"/>
      <c r="G451" s="39"/>
      <c r="H451" s="39"/>
    </row>
    <row r="452" customFormat="false" ht="15" hidden="false" customHeight="false" outlineLevel="0" collapsed="false">
      <c r="A452" s="39"/>
      <c r="B452" s="44" t="str">
        <f aca="false">IF($A452="","",IFERROR(INDEX('Suivi EPP'!$B$6:$B$505,MATCH($A452,'Suivi EPP'!$A$6:$A$505,0))&amp;" "&amp;INDEX('Suivi EPP'!$C$6:$C$505,MATCH($A452,'Suivi EPP'!$A$6:$A$505,0)),"Matricule inconnu"))</f>
        <v/>
      </c>
      <c r="C452" s="40"/>
      <c r="D452" s="39"/>
      <c r="E452" s="39"/>
      <c r="F452" s="39"/>
      <c r="G452" s="39"/>
      <c r="H452" s="39"/>
    </row>
    <row r="453" customFormat="false" ht="15" hidden="false" customHeight="false" outlineLevel="0" collapsed="false">
      <c r="A453" s="39"/>
      <c r="B453" s="44" t="str">
        <f aca="false">IF($A453="","",IFERROR(INDEX('Suivi EPP'!$B$6:$B$505,MATCH($A453,'Suivi EPP'!$A$6:$A$505,0))&amp;" "&amp;INDEX('Suivi EPP'!$C$6:$C$505,MATCH($A453,'Suivi EPP'!$A$6:$A$505,0)),"Matricule inconnu"))</f>
        <v/>
      </c>
      <c r="C453" s="40"/>
      <c r="D453" s="39"/>
      <c r="E453" s="39"/>
      <c r="F453" s="39"/>
      <c r="G453" s="39"/>
      <c r="H453" s="39"/>
    </row>
    <row r="454" customFormat="false" ht="15" hidden="false" customHeight="false" outlineLevel="0" collapsed="false">
      <c r="A454" s="39"/>
      <c r="B454" s="44" t="str">
        <f aca="false">IF($A454="","",IFERROR(INDEX('Suivi EPP'!$B$6:$B$505,MATCH($A454,'Suivi EPP'!$A$6:$A$505,0))&amp;" "&amp;INDEX('Suivi EPP'!$C$6:$C$505,MATCH($A454,'Suivi EPP'!$A$6:$A$505,0)),"Matricule inconnu"))</f>
        <v/>
      </c>
      <c r="C454" s="40"/>
      <c r="D454" s="39"/>
      <c r="E454" s="39"/>
      <c r="F454" s="39"/>
      <c r="G454" s="39"/>
      <c r="H454" s="39"/>
    </row>
    <row r="455" customFormat="false" ht="15" hidden="false" customHeight="false" outlineLevel="0" collapsed="false">
      <c r="A455" s="39"/>
      <c r="B455" s="44" t="str">
        <f aca="false">IF($A455="","",IFERROR(INDEX('Suivi EPP'!$B$6:$B$505,MATCH($A455,'Suivi EPP'!$A$6:$A$505,0))&amp;" "&amp;INDEX('Suivi EPP'!$C$6:$C$505,MATCH($A455,'Suivi EPP'!$A$6:$A$505,0)),"Matricule inconnu"))</f>
        <v/>
      </c>
      <c r="C455" s="40"/>
      <c r="D455" s="39"/>
      <c r="E455" s="39"/>
      <c r="F455" s="39"/>
      <c r="G455" s="39"/>
      <c r="H455" s="39"/>
    </row>
    <row r="456" customFormat="false" ht="15" hidden="false" customHeight="false" outlineLevel="0" collapsed="false">
      <c r="A456" s="39"/>
      <c r="B456" s="44" t="str">
        <f aca="false">IF($A456="","",IFERROR(INDEX('Suivi EPP'!$B$6:$B$505,MATCH($A456,'Suivi EPP'!$A$6:$A$505,0))&amp;" "&amp;INDEX('Suivi EPP'!$C$6:$C$505,MATCH($A456,'Suivi EPP'!$A$6:$A$505,0)),"Matricule inconnu"))</f>
        <v/>
      </c>
      <c r="C456" s="40"/>
      <c r="D456" s="39"/>
      <c r="E456" s="39"/>
      <c r="F456" s="39"/>
      <c r="G456" s="39"/>
      <c r="H456" s="39"/>
    </row>
    <row r="457" customFormat="false" ht="15" hidden="false" customHeight="false" outlineLevel="0" collapsed="false">
      <c r="A457" s="39"/>
      <c r="B457" s="44" t="str">
        <f aca="false">IF($A457="","",IFERROR(INDEX('Suivi EPP'!$B$6:$B$505,MATCH($A457,'Suivi EPP'!$A$6:$A$505,0))&amp;" "&amp;INDEX('Suivi EPP'!$C$6:$C$505,MATCH($A457,'Suivi EPP'!$A$6:$A$505,0)),"Matricule inconnu"))</f>
        <v/>
      </c>
      <c r="C457" s="40"/>
      <c r="D457" s="39"/>
      <c r="E457" s="39"/>
      <c r="F457" s="39"/>
      <c r="G457" s="39"/>
      <c r="H457" s="39"/>
    </row>
    <row r="458" customFormat="false" ht="15" hidden="false" customHeight="false" outlineLevel="0" collapsed="false">
      <c r="A458" s="39"/>
      <c r="B458" s="44" t="str">
        <f aca="false">IF($A458="","",IFERROR(INDEX('Suivi EPP'!$B$6:$B$505,MATCH($A458,'Suivi EPP'!$A$6:$A$505,0))&amp;" "&amp;INDEX('Suivi EPP'!$C$6:$C$505,MATCH($A458,'Suivi EPP'!$A$6:$A$505,0)),"Matricule inconnu"))</f>
        <v/>
      </c>
      <c r="C458" s="40"/>
      <c r="D458" s="39"/>
      <c r="E458" s="39"/>
      <c r="F458" s="39"/>
      <c r="G458" s="39"/>
      <c r="H458" s="39"/>
    </row>
    <row r="459" customFormat="false" ht="15" hidden="false" customHeight="false" outlineLevel="0" collapsed="false">
      <c r="A459" s="39"/>
      <c r="B459" s="44" t="str">
        <f aca="false">IF($A459="","",IFERROR(INDEX('Suivi EPP'!$B$6:$B$505,MATCH($A459,'Suivi EPP'!$A$6:$A$505,0))&amp;" "&amp;INDEX('Suivi EPP'!$C$6:$C$505,MATCH($A459,'Suivi EPP'!$A$6:$A$505,0)),"Matricule inconnu"))</f>
        <v/>
      </c>
      <c r="C459" s="40"/>
      <c r="D459" s="39"/>
      <c r="E459" s="39"/>
      <c r="F459" s="39"/>
      <c r="G459" s="39"/>
      <c r="H459" s="39"/>
    </row>
    <row r="460" customFormat="false" ht="15" hidden="false" customHeight="false" outlineLevel="0" collapsed="false">
      <c r="A460" s="39"/>
      <c r="B460" s="44" t="str">
        <f aca="false">IF($A460="","",IFERROR(INDEX('Suivi EPP'!$B$6:$B$505,MATCH($A460,'Suivi EPP'!$A$6:$A$505,0))&amp;" "&amp;INDEX('Suivi EPP'!$C$6:$C$505,MATCH($A460,'Suivi EPP'!$A$6:$A$505,0)),"Matricule inconnu"))</f>
        <v/>
      </c>
      <c r="C460" s="40"/>
      <c r="D460" s="39"/>
      <c r="E460" s="39"/>
      <c r="F460" s="39"/>
      <c r="G460" s="39"/>
      <c r="H460" s="39"/>
    </row>
    <row r="461" customFormat="false" ht="15" hidden="false" customHeight="false" outlineLevel="0" collapsed="false">
      <c r="A461" s="39"/>
      <c r="B461" s="44" t="str">
        <f aca="false">IF($A461="","",IFERROR(INDEX('Suivi EPP'!$B$6:$B$505,MATCH($A461,'Suivi EPP'!$A$6:$A$505,0))&amp;" "&amp;INDEX('Suivi EPP'!$C$6:$C$505,MATCH($A461,'Suivi EPP'!$A$6:$A$505,0)),"Matricule inconnu"))</f>
        <v/>
      </c>
      <c r="C461" s="40"/>
      <c r="D461" s="39"/>
      <c r="E461" s="39"/>
      <c r="F461" s="39"/>
      <c r="G461" s="39"/>
      <c r="H461" s="39"/>
    </row>
    <row r="462" customFormat="false" ht="15" hidden="false" customHeight="false" outlineLevel="0" collapsed="false">
      <c r="A462" s="39"/>
      <c r="B462" s="44" t="str">
        <f aca="false">IF($A462="","",IFERROR(INDEX('Suivi EPP'!$B$6:$B$505,MATCH($A462,'Suivi EPP'!$A$6:$A$505,0))&amp;" "&amp;INDEX('Suivi EPP'!$C$6:$C$505,MATCH($A462,'Suivi EPP'!$A$6:$A$505,0)),"Matricule inconnu"))</f>
        <v/>
      </c>
      <c r="C462" s="40"/>
      <c r="D462" s="39"/>
      <c r="E462" s="39"/>
      <c r="F462" s="39"/>
      <c r="G462" s="39"/>
      <c r="H462" s="39"/>
    </row>
    <row r="463" customFormat="false" ht="15" hidden="false" customHeight="false" outlineLevel="0" collapsed="false">
      <c r="A463" s="39"/>
      <c r="B463" s="44" t="str">
        <f aca="false">IF($A463="","",IFERROR(INDEX('Suivi EPP'!$B$6:$B$505,MATCH($A463,'Suivi EPP'!$A$6:$A$505,0))&amp;" "&amp;INDEX('Suivi EPP'!$C$6:$C$505,MATCH($A463,'Suivi EPP'!$A$6:$A$505,0)),"Matricule inconnu"))</f>
        <v/>
      </c>
      <c r="C463" s="40"/>
      <c r="D463" s="39"/>
      <c r="E463" s="39"/>
      <c r="F463" s="39"/>
      <c r="G463" s="39"/>
      <c r="H463" s="39"/>
    </row>
    <row r="464" customFormat="false" ht="15" hidden="false" customHeight="false" outlineLevel="0" collapsed="false">
      <c r="A464" s="39"/>
      <c r="B464" s="44" t="str">
        <f aca="false">IF($A464="","",IFERROR(INDEX('Suivi EPP'!$B$6:$B$505,MATCH($A464,'Suivi EPP'!$A$6:$A$505,0))&amp;" "&amp;INDEX('Suivi EPP'!$C$6:$C$505,MATCH($A464,'Suivi EPP'!$A$6:$A$505,0)),"Matricule inconnu"))</f>
        <v/>
      </c>
      <c r="C464" s="40"/>
      <c r="D464" s="39"/>
      <c r="E464" s="39"/>
      <c r="F464" s="39"/>
      <c r="G464" s="39"/>
      <c r="H464" s="39"/>
    </row>
    <row r="465" customFormat="false" ht="15" hidden="false" customHeight="false" outlineLevel="0" collapsed="false">
      <c r="A465" s="39"/>
      <c r="B465" s="44" t="str">
        <f aca="false">IF($A465="","",IFERROR(INDEX('Suivi EPP'!$B$6:$B$505,MATCH($A465,'Suivi EPP'!$A$6:$A$505,0))&amp;" "&amp;INDEX('Suivi EPP'!$C$6:$C$505,MATCH($A465,'Suivi EPP'!$A$6:$A$505,0)),"Matricule inconnu"))</f>
        <v/>
      </c>
      <c r="C465" s="40"/>
      <c r="D465" s="39"/>
      <c r="E465" s="39"/>
      <c r="F465" s="39"/>
      <c r="G465" s="39"/>
      <c r="H465" s="39"/>
    </row>
    <row r="466" customFormat="false" ht="15" hidden="false" customHeight="false" outlineLevel="0" collapsed="false">
      <c r="A466" s="39"/>
      <c r="B466" s="44" t="str">
        <f aca="false">IF($A466="","",IFERROR(INDEX('Suivi EPP'!$B$6:$B$505,MATCH($A466,'Suivi EPP'!$A$6:$A$505,0))&amp;" "&amp;INDEX('Suivi EPP'!$C$6:$C$505,MATCH($A466,'Suivi EPP'!$A$6:$A$505,0)),"Matricule inconnu"))</f>
        <v/>
      </c>
      <c r="C466" s="40"/>
      <c r="D466" s="39"/>
      <c r="E466" s="39"/>
      <c r="F466" s="39"/>
      <c r="G466" s="39"/>
      <c r="H466" s="39"/>
    </row>
    <row r="467" customFormat="false" ht="15" hidden="false" customHeight="false" outlineLevel="0" collapsed="false">
      <c r="A467" s="39"/>
      <c r="B467" s="44" t="str">
        <f aca="false">IF($A467="","",IFERROR(INDEX('Suivi EPP'!$B$6:$B$505,MATCH($A467,'Suivi EPP'!$A$6:$A$505,0))&amp;" "&amp;INDEX('Suivi EPP'!$C$6:$C$505,MATCH($A467,'Suivi EPP'!$A$6:$A$505,0)),"Matricule inconnu"))</f>
        <v/>
      </c>
      <c r="C467" s="40"/>
      <c r="D467" s="39"/>
      <c r="E467" s="39"/>
      <c r="F467" s="39"/>
      <c r="G467" s="39"/>
      <c r="H467" s="39"/>
    </row>
    <row r="468" customFormat="false" ht="15" hidden="false" customHeight="false" outlineLevel="0" collapsed="false">
      <c r="A468" s="39"/>
      <c r="B468" s="44" t="str">
        <f aca="false">IF($A468="","",IFERROR(INDEX('Suivi EPP'!$B$6:$B$505,MATCH($A468,'Suivi EPP'!$A$6:$A$505,0))&amp;" "&amp;INDEX('Suivi EPP'!$C$6:$C$505,MATCH($A468,'Suivi EPP'!$A$6:$A$505,0)),"Matricule inconnu"))</f>
        <v/>
      </c>
      <c r="C468" s="40"/>
      <c r="D468" s="39"/>
      <c r="E468" s="39"/>
      <c r="F468" s="39"/>
      <c r="G468" s="39"/>
      <c r="H468" s="39"/>
    </row>
    <row r="469" customFormat="false" ht="15" hidden="false" customHeight="false" outlineLevel="0" collapsed="false">
      <c r="A469" s="39"/>
      <c r="B469" s="44" t="str">
        <f aca="false">IF($A469="","",IFERROR(INDEX('Suivi EPP'!$B$6:$B$505,MATCH($A469,'Suivi EPP'!$A$6:$A$505,0))&amp;" "&amp;INDEX('Suivi EPP'!$C$6:$C$505,MATCH($A469,'Suivi EPP'!$A$6:$A$505,0)),"Matricule inconnu"))</f>
        <v/>
      </c>
      <c r="C469" s="40"/>
      <c r="D469" s="39"/>
      <c r="E469" s="39"/>
      <c r="F469" s="39"/>
      <c r="G469" s="39"/>
      <c r="H469" s="39"/>
    </row>
    <row r="470" customFormat="false" ht="15" hidden="false" customHeight="false" outlineLevel="0" collapsed="false">
      <c r="A470" s="39"/>
      <c r="B470" s="44" t="str">
        <f aca="false">IF($A470="","",IFERROR(INDEX('Suivi EPP'!$B$6:$B$505,MATCH($A470,'Suivi EPP'!$A$6:$A$505,0))&amp;" "&amp;INDEX('Suivi EPP'!$C$6:$C$505,MATCH($A470,'Suivi EPP'!$A$6:$A$505,0)),"Matricule inconnu"))</f>
        <v/>
      </c>
      <c r="C470" s="40"/>
      <c r="D470" s="39"/>
      <c r="E470" s="39"/>
      <c r="F470" s="39"/>
      <c r="G470" s="39"/>
      <c r="H470" s="39"/>
    </row>
    <row r="471" customFormat="false" ht="15" hidden="false" customHeight="false" outlineLevel="0" collapsed="false">
      <c r="A471" s="39"/>
      <c r="B471" s="44" t="str">
        <f aca="false">IF($A471="","",IFERROR(INDEX('Suivi EPP'!$B$6:$B$505,MATCH($A471,'Suivi EPP'!$A$6:$A$505,0))&amp;" "&amp;INDEX('Suivi EPP'!$C$6:$C$505,MATCH($A471,'Suivi EPP'!$A$6:$A$505,0)),"Matricule inconnu"))</f>
        <v/>
      </c>
      <c r="C471" s="40"/>
      <c r="D471" s="39"/>
      <c r="E471" s="39"/>
      <c r="F471" s="39"/>
      <c r="G471" s="39"/>
      <c r="H471" s="39"/>
    </row>
    <row r="472" customFormat="false" ht="15" hidden="false" customHeight="false" outlineLevel="0" collapsed="false">
      <c r="A472" s="39"/>
      <c r="B472" s="44" t="str">
        <f aca="false">IF($A472="","",IFERROR(INDEX('Suivi EPP'!$B$6:$B$505,MATCH($A472,'Suivi EPP'!$A$6:$A$505,0))&amp;" "&amp;INDEX('Suivi EPP'!$C$6:$C$505,MATCH($A472,'Suivi EPP'!$A$6:$A$505,0)),"Matricule inconnu"))</f>
        <v/>
      </c>
      <c r="C472" s="40"/>
      <c r="D472" s="39"/>
      <c r="E472" s="39"/>
      <c r="F472" s="39"/>
      <c r="G472" s="39"/>
      <c r="H472" s="39"/>
    </row>
    <row r="473" customFormat="false" ht="15" hidden="false" customHeight="false" outlineLevel="0" collapsed="false">
      <c r="A473" s="39"/>
      <c r="B473" s="44" t="str">
        <f aca="false">IF($A473="","",IFERROR(INDEX('Suivi EPP'!$B$6:$B$505,MATCH($A473,'Suivi EPP'!$A$6:$A$505,0))&amp;" "&amp;INDEX('Suivi EPP'!$C$6:$C$505,MATCH($A473,'Suivi EPP'!$A$6:$A$505,0)),"Matricule inconnu"))</f>
        <v/>
      </c>
      <c r="C473" s="40"/>
      <c r="D473" s="39"/>
      <c r="E473" s="39"/>
      <c r="F473" s="39"/>
      <c r="G473" s="39"/>
      <c r="H473" s="39"/>
    </row>
    <row r="474" customFormat="false" ht="15" hidden="false" customHeight="false" outlineLevel="0" collapsed="false">
      <c r="A474" s="39"/>
      <c r="B474" s="44" t="str">
        <f aca="false">IF($A474="","",IFERROR(INDEX('Suivi EPP'!$B$6:$B$505,MATCH($A474,'Suivi EPP'!$A$6:$A$505,0))&amp;" "&amp;INDEX('Suivi EPP'!$C$6:$C$505,MATCH($A474,'Suivi EPP'!$A$6:$A$505,0)),"Matricule inconnu"))</f>
        <v/>
      </c>
      <c r="C474" s="40"/>
      <c r="D474" s="39"/>
      <c r="E474" s="39"/>
      <c r="F474" s="39"/>
      <c r="G474" s="39"/>
      <c r="H474" s="39"/>
    </row>
    <row r="475" customFormat="false" ht="15" hidden="false" customHeight="false" outlineLevel="0" collapsed="false">
      <c r="A475" s="39"/>
      <c r="B475" s="44" t="str">
        <f aca="false">IF($A475="","",IFERROR(INDEX('Suivi EPP'!$B$6:$B$505,MATCH($A475,'Suivi EPP'!$A$6:$A$505,0))&amp;" "&amp;INDEX('Suivi EPP'!$C$6:$C$505,MATCH($A475,'Suivi EPP'!$A$6:$A$505,0)),"Matricule inconnu"))</f>
        <v/>
      </c>
      <c r="C475" s="40"/>
      <c r="D475" s="39"/>
      <c r="E475" s="39"/>
      <c r="F475" s="39"/>
      <c r="G475" s="39"/>
      <c r="H475" s="39"/>
    </row>
    <row r="476" customFormat="false" ht="15" hidden="false" customHeight="false" outlineLevel="0" collapsed="false">
      <c r="A476" s="39"/>
      <c r="B476" s="44" t="str">
        <f aca="false">IF($A476="","",IFERROR(INDEX('Suivi EPP'!$B$6:$B$505,MATCH($A476,'Suivi EPP'!$A$6:$A$505,0))&amp;" "&amp;INDEX('Suivi EPP'!$C$6:$C$505,MATCH($A476,'Suivi EPP'!$A$6:$A$505,0)),"Matricule inconnu"))</f>
        <v/>
      </c>
      <c r="C476" s="40"/>
      <c r="D476" s="39"/>
      <c r="E476" s="39"/>
      <c r="F476" s="39"/>
      <c r="G476" s="39"/>
      <c r="H476" s="39"/>
    </row>
    <row r="477" customFormat="false" ht="15" hidden="false" customHeight="false" outlineLevel="0" collapsed="false">
      <c r="A477" s="39"/>
      <c r="B477" s="44" t="str">
        <f aca="false">IF($A477="","",IFERROR(INDEX('Suivi EPP'!$B$6:$B$505,MATCH($A477,'Suivi EPP'!$A$6:$A$505,0))&amp;" "&amp;INDEX('Suivi EPP'!$C$6:$C$505,MATCH($A477,'Suivi EPP'!$A$6:$A$505,0)),"Matricule inconnu"))</f>
        <v/>
      </c>
      <c r="C477" s="40"/>
      <c r="D477" s="39"/>
      <c r="E477" s="39"/>
      <c r="F477" s="39"/>
      <c r="G477" s="39"/>
      <c r="H477" s="39"/>
    </row>
    <row r="478" customFormat="false" ht="15" hidden="false" customHeight="false" outlineLevel="0" collapsed="false">
      <c r="A478" s="39"/>
      <c r="B478" s="44" t="str">
        <f aca="false">IF($A478="","",IFERROR(INDEX('Suivi EPP'!$B$6:$B$505,MATCH($A478,'Suivi EPP'!$A$6:$A$505,0))&amp;" "&amp;INDEX('Suivi EPP'!$C$6:$C$505,MATCH($A478,'Suivi EPP'!$A$6:$A$505,0)),"Matricule inconnu"))</f>
        <v/>
      </c>
      <c r="C478" s="40"/>
      <c r="D478" s="39"/>
      <c r="E478" s="39"/>
      <c r="F478" s="39"/>
      <c r="G478" s="39"/>
      <c r="H478" s="39"/>
    </row>
    <row r="479" customFormat="false" ht="15" hidden="false" customHeight="false" outlineLevel="0" collapsed="false">
      <c r="A479" s="39"/>
      <c r="B479" s="44" t="str">
        <f aca="false">IF($A479="","",IFERROR(INDEX('Suivi EPP'!$B$6:$B$505,MATCH($A479,'Suivi EPP'!$A$6:$A$505,0))&amp;" "&amp;INDEX('Suivi EPP'!$C$6:$C$505,MATCH($A479,'Suivi EPP'!$A$6:$A$505,0)),"Matricule inconnu"))</f>
        <v/>
      </c>
      <c r="C479" s="40"/>
      <c r="D479" s="39"/>
      <c r="E479" s="39"/>
      <c r="F479" s="39"/>
      <c r="G479" s="39"/>
      <c r="H479" s="39"/>
    </row>
    <row r="480" customFormat="false" ht="15" hidden="false" customHeight="false" outlineLevel="0" collapsed="false">
      <c r="A480" s="39"/>
      <c r="B480" s="44" t="str">
        <f aca="false">IF($A480="","",IFERROR(INDEX('Suivi EPP'!$B$6:$B$505,MATCH($A480,'Suivi EPP'!$A$6:$A$505,0))&amp;" "&amp;INDEX('Suivi EPP'!$C$6:$C$505,MATCH($A480,'Suivi EPP'!$A$6:$A$505,0)),"Matricule inconnu"))</f>
        <v/>
      </c>
      <c r="C480" s="40"/>
      <c r="D480" s="39"/>
      <c r="E480" s="39"/>
      <c r="F480" s="39"/>
      <c r="G480" s="39"/>
      <c r="H480" s="39"/>
    </row>
    <row r="481" customFormat="false" ht="15" hidden="false" customHeight="false" outlineLevel="0" collapsed="false">
      <c r="A481" s="39"/>
      <c r="B481" s="44" t="str">
        <f aca="false">IF($A481="","",IFERROR(INDEX('Suivi EPP'!$B$6:$B$505,MATCH($A481,'Suivi EPP'!$A$6:$A$505,0))&amp;" "&amp;INDEX('Suivi EPP'!$C$6:$C$505,MATCH($A481,'Suivi EPP'!$A$6:$A$505,0)),"Matricule inconnu"))</f>
        <v/>
      </c>
      <c r="C481" s="40"/>
      <c r="D481" s="39"/>
      <c r="E481" s="39"/>
      <c r="F481" s="39"/>
      <c r="G481" s="39"/>
      <c r="H481" s="39"/>
    </row>
    <row r="482" customFormat="false" ht="15" hidden="false" customHeight="false" outlineLevel="0" collapsed="false">
      <c r="A482" s="39"/>
      <c r="B482" s="44" t="str">
        <f aca="false">IF($A482="","",IFERROR(INDEX('Suivi EPP'!$B$6:$B$505,MATCH($A482,'Suivi EPP'!$A$6:$A$505,0))&amp;" "&amp;INDEX('Suivi EPP'!$C$6:$C$505,MATCH($A482,'Suivi EPP'!$A$6:$A$505,0)),"Matricule inconnu"))</f>
        <v/>
      </c>
      <c r="C482" s="40"/>
      <c r="D482" s="39"/>
      <c r="E482" s="39"/>
      <c r="F482" s="39"/>
      <c r="G482" s="39"/>
      <c r="H482" s="39"/>
    </row>
    <row r="483" customFormat="false" ht="15" hidden="false" customHeight="false" outlineLevel="0" collapsed="false">
      <c r="A483" s="39"/>
      <c r="B483" s="44" t="str">
        <f aca="false">IF($A483="","",IFERROR(INDEX('Suivi EPP'!$B$6:$B$505,MATCH($A483,'Suivi EPP'!$A$6:$A$505,0))&amp;" "&amp;INDEX('Suivi EPP'!$C$6:$C$505,MATCH($A483,'Suivi EPP'!$A$6:$A$505,0)),"Matricule inconnu"))</f>
        <v/>
      </c>
      <c r="C483" s="40"/>
      <c r="D483" s="39"/>
      <c r="E483" s="39"/>
      <c r="F483" s="39"/>
      <c r="G483" s="39"/>
      <c r="H483" s="39"/>
    </row>
    <row r="484" customFormat="false" ht="15" hidden="false" customHeight="false" outlineLevel="0" collapsed="false">
      <c r="A484" s="39"/>
      <c r="B484" s="44" t="str">
        <f aca="false">IF($A484="","",IFERROR(INDEX('Suivi EPP'!$B$6:$B$505,MATCH($A484,'Suivi EPP'!$A$6:$A$505,0))&amp;" "&amp;INDEX('Suivi EPP'!$C$6:$C$505,MATCH($A484,'Suivi EPP'!$A$6:$A$505,0)),"Matricule inconnu"))</f>
        <v/>
      </c>
      <c r="C484" s="40"/>
      <c r="D484" s="39"/>
      <c r="E484" s="39"/>
      <c r="F484" s="39"/>
      <c r="G484" s="39"/>
      <c r="H484" s="39"/>
    </row>
    <row r="485" customFormat="false" ht="15" hidden="false" customHeight="false" outlineLevel="0" collapsed="false">
      <c r="A485" s="39"/>
      <c r="B485" s="44" t="str">
        <f aca="false">IF($A485="","",IFERROR(INDEX('Suivi EPP'!$B$6:$B$505,MATCH($A485,'Suivi EPP'!$A$6:$A$505,0))&amp;" "&amp;INDEX('Suivi EPP'!$C$6:$C$505,MATCH($A485,'Suivi EPP'!$A$6:$A$505,0)),"Matricule inconnu"))</f>
        <v/>
      </c>
      <c r="C485" s="40"/>
      <c r="D485" s="39"/>
      <c r="E485" s="39"/>
      <c r="F485" s="39"/>
      <c r="G485" s="39"/>
      <c r="H485" s="39"/>
    </row>
    <row r="486" customFormat="false" ht="15" hidden="false" customHeight="false" outlineLevel="0" collapsed="false">
      <c r="A486" s="39"/>
      <c r="B486" s="44" t="str">
        <f aca="false">IF($A486="","",IFERROR(INDEX('Suivi EPP'!$B$6:$B$505,MATCH($A486,'Suivi EPP'!$A$6:$A$505,0))&amp;" "&amp;INDEX('Suivi EPP'!$C$6:$C$505,MATCH($A486,'Suivi EPP'!$A$6:$A$505,0)),"Matricule inconnu"))</f>
        <v/>
      </c>
      <c r="C486" s="40"/>
      <c r="D486" s="39"/>
      <c r="E486" s="39"/>
      <c r="F486" s="39"/>
      <c r="G486" s="39"/>
      <c r="H486" s="39"/>
    </row>
    <row r="487" customFormat="false" ht="15" hidden="false" customHeight="false" outlineLevel="0" collapsed="false">
      <c r="A487" s="39"/>
      <c r="B487" s="44" t="str">
        <f aca="false">IF($A487="","",IFERROR(INDEX('Suivi EPP'!$B$6:$B$505,MATCH($A487,'Suivi EPP'!$A$6:$A$505,0))&amp;" "&amp;INDEX('Suivi EPP'!$C$6:$C$505,MATCH($A487,'Suivi EPP'!$A$6:$A$505,0)),"Matricule inconnu"))</f>
        <v/>
      </c>
      <c r="C487" s="40"/>
      <c r="D487" s="39"/>
      <c r="E487" s="39"/>
      <c r="F487" s="39"/>
      <c r="G487" s="39"/>
      <c r="H487" s="39"/>
    </row>
    <row r="488" customFormat="false" ht="15" hidden="false" customHeight="false" outlineLevel="0" collapsed="false">
      <c r="A488" s="39"/>
      <c r="B488" s="44" t="str">
        <f aca="false">IF($A488="","",IFERROR(INDEX('Suivi EPP'!$B$6:$B$505,MATCH($A488,'Suivi EPP'!$A$6:$A$505,0))&amp;" "&amp;INDEX('Suivi EPP'!$C$6:$C$505,MATCH($A488,'Suivi EPP'!$A$6:$A$505,0)),"Matricule inconnu"))</f>
        <v/>
      </c>
      <c r="C488" s="40"/>
      <c r="D488" s="39"/>
      <c r="E488" s="39"/>
      <c r="F488" s="39"/>
      <c r="G488" s="39"/>
      <c r="H488" s="39"/>
    </row>
    <row r="489" customFormat="false" ht="15" hidden="false" customHeight="false" outlineLevel="0" collapsed="false">
      <c r="A489" s="39"/>
      <c r="B489" s="44" t="str">
        <f aca="false">IF($A489="","",IFERROR(INDEX('Suivi EPP'!$B$6:$B$505,MATCH($A489,'Suivi EPP'!$A$6:$A$505,0))&amp;" "&amp;INDEX('Suivi EPP'!$C$6:$C$505,MATCH($A489,'Suivi EPP'!$A$6:$A$505,0)),"Matricule inconnu"))</f>
        <v/>
      </c>
      <c r="C489" s="40"/>
      <c r="D489" s="39"/>
      <c r="E489" s="39"/>
      <c r="F489" s="39"/>
      <c r="G489" s="39"/>
      <c r="H489" s="39"/>
    </row>
    <row r="490" customFormat="false" ht="15" hidden="false" customHeight="false" outlineLevel="0" collapsed="false">
      <c r="A490" s="39"/>
      <c r="B490" s="44" t="str">
        <f aca="false">IF($A490="","",IFERROR(INDEX('Suivi EPP'!$B$6:$B$505,MATCH($A490,'Suivi EPP'!$A$6:$A$505,0))&amp;" "&amp;INDEX('Suivi EPP'!$C$6:$C$505,MATCH($A490,'Suivi EPP'!$A$6:$A$505,0)),"Matricule inconnu"))</f>
        <v/>
      </c>
      <c r="C490" s="40"/>
      <c r="D490" s="39"/>
      <c r="E490" s="39"/>
      <c r="F490" s="39"/>
      <c r="G490" s="39"/>
      <c r="H490" s="39"/>
    </row>
    <row r="491" customFormat="false" ht="15" hidden="false" customHeight="false" outlineLevel="0" collapsed="false">
      <c r="A491" s="39"/>
      <c r="B491" s="44" t="str">
        <f aca="false">IF($A491="","",IFERROR(INDEX('Suivi EPP'!$B$6:$B$505,MATCH($A491,'Suivi EPP'!$A$6:$A$505,0))&amp;" "&amp;INDEX('Suivi EPP'!$C$6:$C$505,MATCH($A491,'Suivi EPP'!$A$6:$A$505,0)),"Matricule inconnu"))</f>
        <v/>
      </c>
      <c r="C491" s="40"/>
      <c r="D491" s="39"/>
      <c r="E491" s="39"/>
      <c r="F491" s="39"/>
      <c r="G491" s="39"/>
      <c r="H491" s="39"/>
    </row>
    <row r="492" customFormat="false" ht="15" hidden="false" customHeight="false" outlineLevel="0" collapsed="false">
      <c r="A492" s="39"/>
      <c r="B492" s="44" t="str">
        <f aca="false">IF($A492="","",IFERROR(INDEX('Suivi EPP'!$B$6:$B$505,MATCH($A492,'Suivi EPP'!$A$6:$A$505,0))&amp;" "&amp;INDEX('Suivi EPP'!$C$6:$C$505,MATCH($A492,'Suivi EPP'!$A$6:$A$505,0)),"Matricule inconnu"))</f>
        <v/>
      </c>
      <c r="C492" s="40"/>
      <c r="D492" s="39"/>
      <c r="E492" s="39"/>
      <c r="F492" s="39"/>
      <c r="G492" s="39"/>
      <c r="H492" s="39"/>
    </row>
    <row r="493" customFormat="false" ht="15" hidden="false" customHeight="false" outlineLevel="0" collapsed="false">
      <c r="A493" s="39"/>
      <c r="B493" s="44" t="str">
        <f aca="false">IF($A493="","",IFERROR(INDEX('Suivi EPP'!$B$6:$B$505,MATCH($A493,'Suivi EPP'!$A$6:$A$505,0))&amp;" "&amp;INDEX('Suivi EPP'!$C$6:$C$505,MATCH($A493,'Suivi EPP'!$A$6:$A$505,0)),"Matricule inconnu"))</f>
        <v/>
      </c>
      <c r="C493" s="40"/>
      <c r="D493" s="39"/>
      <c r="E493" s="39"/>
      <c r="F493" s="39"/>
      <c r="G493" s="39"/>
      <c r="H493" s="39"/>
    </row>
    <row r="494" customFormat="false" ht="15" hidden="false" customHeight="false" outlineLevel="0" collapsed="false">
      <c r="A494" s="39"/>
      <c r="B494" s="44" t="str">
        <f aca="false">IF($A494="","",IFERROR(INDEX('Suivi EPP'!$B$6:$B$505,MATCH($A494,'Suivi EPP'!$A$6:$A$505,0))&amp;" "&amp;INDEX('Suivi EPP'!$C$6:$C$505,MATCH($A494,'Suivi EPP'!$A$6:$A$505,0)),"Matricule inconnu"))</f>
        <v/>
      </c>
      <c r="C494" s="40"/>
      <c r="D494" s="39"/>
      <c r="E494" s="39"/>
      <c r="F494" s="39"/>
      <c r="G494" s="39"/>
      <c r="H494" s="39"/>
    </row>
    <row r="495" customFormat="false" ht="15" hidden="false" customHeight="false" outlineLevel="0" collapsed="false">
      <c r="A495" s="39"/>
      <c r="B495" s="44" t="str">
        <f aca="false">IF($A495="","",IFERROR(INDEX('Suivi EPP'!$B$6:$B$505,MATCH($A495,'Suivi EPP'!$A$6:$A$505,0))&amp;" "&amp;INDEX('Suivi EPP'!$C$6:$C$505,MATCH($A495,'Suivi EPP'!$A$6:$A$505,0)),"Matricule inconnu"))</f>
        <v/>
      </c>
      <c r="C495" s="40"/>
      <c r="D495" s="39"/>
      <c r="E495" s="39"/>
      <c r="F495" s="39"/>
      <c r="G495" s="39"/>
      <c r="H495" s="39"/>
    </row>
    <row r="496" customFormat="false" ht="15" hidden="false" customHeight="false" outlineLevel="0" collapsed="false">
      <c r="A496" s="39"/>
      <c r="B496" s="44" t="str">
        <f aca="false">IF($A496="","",IFERROR(INDEX('Suivi EPP'!$B$6:$B$505,MATCH($A496,'Suivi EPP'!$A$6:$A$505,0))&amp;" "&amp;INDEX('Suivi EPP'!$C$6:$C$505,MATCH($A496,'Suivi EPP'!$A$6:$A$505,0)),"Matricule inconnu"))</f>
        <v/>
      </c>
      <c r="C496" s="40"/>
      <c r="D496" s="39"/>
      <c r="E496" s="39"/>
      <c r="F496" s="39"/>
      <c r="G496" s="39"/>
      <c r="H496" s="39"/>
    </row>
    <row r="497" customFormat="false" ht="15" hidden="false" customHeight="false" outlineLevel="0" collapsed="false">
      <c r="A497" s="39"/>
      <c r="B497" s="44" t="str">
        <f aca="false">IF($A497="","",IFERROR(INDEX('Suivi EPP'!$B$6:$B$505,MATCH($A497,'Suivi EPP'!$A$6:$A$505,0))&amp;" "&amp;INDEX('Suivi EPP'!$C$6:$C$505,MATCH($A497,'Suivi EPP'!$A$6:$A$505,0)),"Matricule inconnu"))</f>
        <v/>
      </c>
      <c r="C497" s="40"/>
      <c r="D497" s="39"/>
      <c r="E497" s="39"/>
      <c r="F497" s="39"/>
      <c r="G497" s="39"/>
      <c r="H497" s="39"/>
    </row>
    <row r="498" customFormat="false" ht="15" hidden="false" customHeight="false" outlineLevel="0" collapsed="false">
      <c r="A498" s="39"/>
      <c r="B498" s="44" t="str">
        <f aca="false">IF($A498="","",IFERROR(INDEX('Suivi EPP'!$B$6:$B$505,MATCH($A498,'Suivi EPP'!$A$6:$A$505,0))&amp;" "&amp;INDEX('Suivi EPP'!$C$6:$C$505,MATCH($A498,'Suivi EPP'!$A$6:$A$505,0)),"Matricule inconnu"))</f>
        <v/>
      </c>
      <c r="C498" s="40"/>
      <c r="D498" s="39"/>
      <c r="E498" s="39"/>
      <c r="F498" s="39"/>
      <c r="G498" s="39"/>
      <c r="H498" s="39"/>
    </row>
    <row r="499" customFormat="false" ht="15" hidden="false" customHeight="false" outlineLevel="0" collapsed="false">
      <c r="A499" s="39"/>
      <c r="B499" s="44" t="str">
        <f aca="false">IF($A499="","",IFERROR(INDEX('Suivi EPP'!$B$6:$B$505,MATCH($A499,'Suivi EPP'!$A$6:$A$505,0))&amp;" "&amp;INDEX('Suivi EPP'!$C$6:$C$505,MATCH($A499,'Suivi EPP'!$A$6:$A$505,0)),"Matricule inconnu"))</f>
        <v/>
      </c>
      <c r="C499" s="40"/>
      <c r="D499" s="39"/>
      <c r="E499" s="39"/>
      <c r="F499" s="39"/>
      <c r="G499" s="39"/>
      <c r="H499" s="39"/>
    </row>
    <row r="500" customFormat="false" ht="15" hidden="false" customHeight="false" outlineLevel="0" collapsed="false">
      <c r="A500" s="39"/>
      <c r="B500" s="44" t="str">
        <f aca="false">IF($A500="","",IFERROR(INDEX('Suivi EPP'!$B$6:$B$505,MATCH($A500,'Suivi EPP'!$A$6:$A$505,0))&amp;" "&amp;INDEX('Suivi EPP'!$C$6:$C$505,MATCH($A500,'Suivi EPP'!$A$6:$A$505,0)),"Matricule inconnu"))</f>
        <v/>
      </c>
      <c r="C500" s="40"/>
      <c r="D500" s="39"/>
      <c r="E500" s="39"/>
      <c r="F500" s="39"/>
      <c r="G500" s="39"/>
      <c r="H500" s="39"/>
    </row>
    <row r="501" customFormat="false" ht="15" hidden="false" customHeight="false" outlineLevel="0" collapsed="false">
      <c r="A501" s="39"/>
      <c r="B501" s="44" t="str">
        <f aca="false">IF($A501="","",IFERROR(INDEX('Suivi EPP'!$B$6:$B$505,MATCH($A501,'Suivi EPP'!$A$6:$A$505,0))&amp;" "&amp;INDEX('Suivi EPP'!$C$6:$C$505,MATCH($A501,'Suivi EPP'!$A$6:$A$505,0)),"Matricule inconnu"))</f>
        <v/>
      </c>
      <c r="C501" s="40"/>
      <c r="D501" s="39"/>
      <c r="E501" s="39"/>
      <c r="F501" s="39"/>
      <c r="G501" s="39"/>
      <c r="H501" s="39"/>
    </row>
    <row r="502" customFormat="false" ht="15" hidden="false" customHeight="false" outlineLevel="0" collapsed="false">
      <c r="A502" s="39"/>
      <c r="B502" s="44" t="str">
        <f aca="false">IF($A502="","",IFERROR(INDEX('Suivi EPP'!$B$6:$B$505,MATCH($A502,'Suivi EPP'!$A$6:$A$505,0))&amp;" "&amp;INDEX('Suivi EPP'!$C$6:$C$505,MATCH($A502,'Suivi EPP'!$A$6:$A$505,0)),"Matricule inconnu"))</f>
        <v/>
      </c>
      <c r="C502" s="40"/>
      <c r="D502" s="39"/>
      <c r="E502" s="39"/>
      <c r="F502" s="39"/>
      <c r="G502" s="39"/>
      <c r="H502" s="39"/>
    </row>
    <row r="503" customFormat="false" ht="15" hidden="false" customHeight="false" outlineLevel="0" collapsed="false">
      <c r="A503" s="39"/>
      <c r="B503" s="44" t="str">
        <f aca="false">IF($A503="","",IFERROR(INDEX('Suivi EPP'!$B$6:$B$505,MATCH($A503,'Suivi EPP'!$A$6:$A$505,0))&amp;" "&amp;INDEX('Suivi EPP'!$C$6:$C$505,MATCH($A503,'Suivi EPP'!$A$6:$A$505,0)),"Matricule inconnu"))</f>
        <v/>
      </c>
      <c r="C503" s="40"/>
      <c r="D503" s="39"/>
      <c r="E503" s="39"/>
      <c r="F503" s="39"/>
      <c r="G503" s="39"/>
      <c r="H503" s="39"/>
    </row>
    <row r="504" customFormat="false" ht="15" hidden="false" customHeight="false" outlineLevel="0" collapsed="false">
      <c r="A504" s="39"/>
      <c r="B504" s="44" t="str">
        <f aca="false">IF($A504="","",IFERROR(INDEX('Suivi EPP'!$B$6:$B$505,MATCH($A504,'Suivi EPP'!$A$6:$A$505,0))&amp;" "&amp;INDEX('Suivi EPP'!$C$6:$C$505,MATCH($A504,'Suivi EPP'!$A$6:$A$505,0)),"Matricule inconnu"))</f>
        <v/>
      </c>
      <c r="C504" s="40"/>
      <c r="D504" s="39"/>
      <c r="E504" s="39"/>
      <c r="F504" s="39"/>
      <c r="G504" s="39"/>
      <c r="H504" s="39"/>
    </row>
    <row r="505" customFormat="false" ht="15" hidden="false" customHeight="false" outlineLevel="0" collapsed="false">
      <c r="A505" s="39"/>
      <c r="B505" s="44" t="str">
        <f aca="false">IF($A505="","",IFERROR(INDEX('Suivi EPP'!$B$6:$B$505,MATCH($A505,'Suivi EPP'!$A$6:$A$505,0))&amp;" "&amp;INDEX('Suivi EPP'!$C$6:$C$505,MATCH($A505,'Suivi EPP'!$A$6:$A$505,0)),"Matricule inconnu"))</f>
        <v/>
      </c>
      <c r="C505" s="40"/>
      <c r="D505" s="39"/>
      <c r="E505" s="39"/>
      <c r="F505" s="39"/>
      <c r="G505" s="39"/>
      <c r="H505" s="39"/>
    </row>
    <row r="506" customFormat="false" ht="15" hidden="false" customHeight="false" outlineLevel="0" collapsed="false">
      <c r="A506" s="39"/>
      <c r="B506" s="44" t="str">
        <f aca="false">IF($A506="","",IFERROR(INDEX('Suivi EPP'!$B$6:$B$505,MATCH($A506,'Suivi EPP'!$A$6:$A$505,0))&amp;" "&amp;INDEX('Suivi EPP'!$C$6:$C$505,MATCH($A506,'Suivi EPP'!$A$6:$A$505,0)),"Matricule inconnu"))</f>
        <v/>
      </c>
      <c r="C506" s="40"/>
      <c r="D506" s="39"/>
      <c r="E506" s="39"/>
      <c r="F506" s="39"/>
      <c r="G506" s="39"/>
      <c r="H506" s="39"/>
    </row>
    <row r="507" customFormat="false" ht="15" hidden="false" customHeight="false" outlineLevel="0" collapsed="false">
      <c r="A507" s="39"/>
      <c r="B507" s="44" t="str">
        <f aca="false">IF($A507="","",IFERROR(INDEX('Suivi EPP'!$B$6:$B$505,MATCH($A507,'Suivi EPP'!$A$6:$A$505,0))&amp;" "&amp;INDEX('Suivi EPP'!$C$6:$C$505,MATCH($A507,'Suivi EPP'!$A$6:$A$505,0)),"Matricule inconnu"))</f>
        <v/>
      </c>
      <c r="C507" s="40"/>
      <c r="D507" s="39"/>
      <c r="E507" s="39"/>
      <c r="F507" s="39"/>
      <c r="G507" s="39"/>
      <c r="H507" s="39"/>
    </row>
    <row r="508" customFormat="false" ht="15" hidden="false" customHeight="false" outlineLevel="0" collapsed="false">
      <c r="A508" s="39"/>
      <c r="B508" s="44" t="str">
        <f aca="false">IF($A508="","",IFERROR(INDEX('Suivi EPP'!$B$6:$B$505,MATCH($A508,'Suivi EPP'!$A$6:$A$505,0))&amp;" "&amp;INDEX('Suivi EPP'!$C$6:$C$505,MATCH($A508,'Suivi EPP'!$A$6:$A$505,0)),"Matricule inconnu"))</f>
        <v/>
      </c>
      <c r="C508" s="40"/>
      <c r="D508" s="39"/>
      <c r="E508" s="39"/>
      <c r="F508" s="39"/>
      <c r="G508" s="39"/>
      <c r="H508" s="39"/>
    </row>
    <row r="509" customFormat="false" ht="15" hidden="false" customHeight="false" outlineLevel="0" collapsed="false">
      <c r="A509" s="39"/>
      <c r="B509" s="44" t="str">
        <f aca="false">IF($A509="","",IFERROR(INDEX('Suivi EPP'!$B$6:$B$505,MATCH($A509,'Suivi EPP'!$A$6:$A$505,0))&amp;" "&amp;INDEX('Suivi EPP'!$C$6:$C$505,MATCH($A509,'Suivi EPP'!$A$6:$A$505,0)),"Matricule inconnu"))</f>
        <v/>
      </c>
      <c r="C509" s="40"/>
      <c r="D509" s="39"/>
      <c r="E509" s="39"/>
      <c r="F509" s="39"/>
      <c r="G509" s="39"/>
      <c r="H509" s="39"/>
    </row>
    <row r="510" customFormat="false" ht="15" hidden="false" customHeight="false" outlineLevel="0" collapsed="false">
      <c r="A510" s="39"/>
      <c r="B510" s="44" t="str">
        <f aca="false">IF($A510="","",IFERROR(INDEX('Suivi EPP'!$B$6:$B$505,MATCH($A510,'Suivi EPP'!$A$6:$A$505,0))&amp;" "&amp;INDEX('Suivi EPP'!$C$6:$C$505,MATCH($A510,'Suivi EPP'!$A$6:$A$505,0)),"Matricule inconnu"))</f>
        <v/>
      </c>
      <c r="C510" s="40"/>
      <c r="D510" s="39"/>
      <c r="E510" s="39"/>
      <c r="F510" s="39"/>
      <c r="G510" s="39"/>
      <c r="H510" s="39"/>
    </row>
    <row r="511" customFormat="false" ht="15" hidden="false" customHeight="false" outlineLevel="0" collapsed="false">
      <c r="A511" s="39"/>
      <c r="B511" s="44" t="str">
        <f aca="false">IF($A511="","",IFERROR(INDEX('Suivi EPP'!$B$6:$B$505,MATCH($A511,'Suivi EPP'!$A$6:$A$505,0))&amp;" "&amp;INDEX('Suivi EPP'!$C$6:$C$505,MATCH($A511,'Suivi EPP'!$A$6:$A$505,0)),"Matricule inconnu"))</f>
        <v/>
      </c>
      <c r="C511" s="40"/>
      <c r="D511" s="39"/>
      <c r="E511" s="39"/>
      <c r="F511" s="39"/>
      <c r="G511" s="39"/>
      <c r="H511" s="39"/>
    </row>
    <row r="512" customFormat="false" ht="15" hidden="false" customHeight="false" outlineLevel="0" collapsed="false">
      <c r="A512" s="39"/>
      <c r="B512" s="44" t="str">
        <f aca="false">IF($A512="","",IFERROR(INDEX('Suivi EPP'!$B$6:$B$505,MATCH($A512,'Suivi EPP'!$A$6:$A$505,0))&amp;" "&amp;INDEX('Suivi EPP'!$C$6:$C$505,MATCH($A512,'Suivi EPP'!$A$6:$A$505,0)),"Matricule inconnu"))</f>
        <v/>
      </c>
      <c r="C512" s="40"/>
      <c r="D512" s="39"/>
      <c r="E512" s="39"/>
      <c r="F512" s="39"/>
      <c r="G512" s="39"/>
      <c r="H512" s="39"/>
    </row>
    <row r="513" customFormat="false" ht="15" hidden="false" customHeight="false" outlineLevel="0" collapsed="false">
      <c r="A513" s="39"/>
      <c r="B513" s="44" t="str">
        <f aca="false">IF($A513="","",IFERROR(INDEX('Suivi EPP'!$B$6:$B$505,MATCH($A513,'Suivi EPP'!$A$6:$A$505,0))&amp;" "&amp;INDEX('Suivi EPP'!$C$6:$C$505,MATCH($A513,'Suivi EPP'!$A$6:$A$505,0)),"Matricule inconnu"))</f>
        <v/>
      </c>
      <c r="C513" s="40"/>
      <c r="D513" s="39"/>
      <c r="E513" s="39"/>
      <c r="F513" s="39"/>
      <c r="G513" s="39"/>
      <c r="H513" s="39"/>
    </row>
    <row r="514" customFormat="false" ht="15" hidden="false" customHeight="false" outlineLevel="0" collapsed="false">
      <c r="A514" s="39"/>
      <c r="B514" s="44" t="str">
        <f aca="false">IF($A514="","",IFERROR(INDEX('Suivi EPP'!$B$6:$B$505,MATCH($A514,'Suivi EPP'!$A$6:$A$505,0))&amp;" "&amp;INDEX('Suivi EPP'!$C$6:$C$505,MATCH($A514,'Suivi EPP'!$A$6:$A$505,0)),"Matricule inconnu"))</f>
        <v/>
      </c>
      <c r="C514" s="40"/>
      <c r="D514" s="39"/>
      <c r="E514" s="39"/>
      <c r="F514" s="39"/>
      <c r="G514" s="39"/>
      <c r="H514" s="39"/>
    </row>
    <row r="515" customFormat="false" ht="15" hidden="false" customHeight="false" outlineLevel="0" collapsed="false">
      <c r="A515" s="39"/>
      <c r="B515" s="44" t="str">
        <f aca="false">IF($A515="","",IFERROR(INDEX('Suivi EPP'!$B$6:$B$505,MATCH($A515,'Suivi EPP'!$A$6:$A$505,0))&amp;" "&amp;INDEX('Suivi EPP'!$C$6:$C$505,MATCH($A515,'Suivi EPP'!$A$6:$A$505,0)),"Matricule inconnu"))</f>
        <v/>
      </c>
      <c r="C515" s="40"/>
      <c r="D515" s="39"/>
      <c r="E515" s="39"/>
      <c r="F515" s="39"/>
      <c r="G515" s="39"/>
      <c r="H515" s="39"/>
    </row>
    <row r="516" customFormat="false" ht="15" hidden="false" customHeight="false" outlineLevel="0" collapsed="false">
      <c r="A516" s="39"/>
      <c r="B516" s="44" t="str">
        <f aca="false">IF($A516="","",IFERROR(INDEX('Suivi EPP'!$B$6:$B$505,MATCH($A516,'Suivi EPP'!$A$6:$A$505,0))&amp;" "&amp;INDEX('Suivi EPP'!$C$6:$C$505,MATCH($A516,'Suivi EPP'!$A$6:$A$505,0)),"Matricule inconnu"))</f>
        <v/>
      </c>
      <c r="C516" s="40"/>
      <c r="D516" s="39"/>
      <c r="E516" s="39"/>
      <c r="F516" s="39"/>
      <c r="G516" s="39"/>
      <c r="H516" s="39"/>
    </row>
    <row r="517" customFormat="false" ht="15" hidden="false" customHeight="false" outlineLevel="0" collapsed="false">
      <c r="A517" s="39"/>
      <c r="B517" s="44" t="str">
        <f aca="false">IF($A517="","",IFERROR(INDEX('Suivi EPP'!$B$6:$B$505,MATCH($A517,'Suivi EPP'!$A$6:$A$505,0))&amp;" "&amp;INDEX('Suivi EPP'!$C$6:$C$505,MATCH($A517,'Suivi EPP'!$A$6:$A$505,0)),"Matricule inconnu"))</f>
        <v/>
      </c>
      <c r="C517" s="40"/>
      <c r="D517" s="39"/>
      <c r="E517" s="39"/>
      <c r="F517" s="39"/>
      <c r="G517" s="39"/>
      <c r="H517" s="39"/>
    </row>
    <row r="518" customFormat="false" ht="15" hidden="false" customHeight="false" outlineLevel="0" collapsed="false">
      <c r="A518" s="39"/>
      <c r="B518" s="44" t="str">
        <f aca="false">IF($A518="","",IFERROR(INDEX('Suivi EPP'!$B$6:$B$505,MATCH($A518,'Suivi EPP'!$A$6:$A$505,0))&amp;" "&amp;INDEX('Suivi EPP'!$C$6:$C$505,MATCH($A518,'Suivi EPP'!$A$6:$A$505,0)),"Matricule inconnu"))</f>
        <v/>
      </c>
      <c r="C518" s="40"/>
      <c r="D518" s="39"/>
      <c r="E518" s="39"/>
      <c r="F518" s="39"/>
      <c r="G518" s="39"/>
      <c r="H518" s="39"/>
    </row>
    <row r="519" customFormat="false" ht="15" hidden="false" customHeight="false" outlineLevel="0" collapsed="false">
      <c r="A519" s="39"/>
      <c r="B519" s="44" t="str">
        <f aca="false">IF($A519="","",IFERROR(INDEX('Suivi EPP'!$B$6:$B$505,MATCH($A519,'Suivi EPP'!$A$6:$A$505,0))&amp;" "&amp;INDEX('Suivi EPP'!$C$6:$C$505,MATCH($A519,'Suivi EPP'!$A$6:$A$505,0)),"Matricule inconnu"))</f>
        <v/>
      </c>
      <c r="C519" s="40"/>
      <c r="D519" s="39"/>
      <c r="E519" s="39"/>
      <c r="F519" s="39"/>
      <c r="G519" s="39"/>
      <c r="H519" s="39"/>
    </row>
    <row r="520" customFormat="false" ht="15" hidden="false" customHeight="false" outlineLevel="0" collapsed="false">
      <c r="A520" s="39"/>
      <c r="B520" s="44" t="str">
        <f aca="false">IF($A520="","",IFERROR(INDEX('Suivi EPP'!$B$6:$B$505,MATCH($A520,'Suivi EPP'!$A$6:$A$505,0))&amp;" "&amp;INDEX('Suivi EPP'!$C$6:$C$505,MATCH($A520,'Suivi EPP'!$A$6:$A$505,0)),"Matricule inconnu"))</f>
        <v/>
      </c>
      <c r="C520" s="40"/>
      <c r="D520" s="39"/>
      <c r="E520" s="39"/>
      <c r="F520" s="39"/>
      <c r="G520" s="39"/>
      <c r="H520" s="39"/>
    </row>
    <row r="521" customFormat="false" ht="15" hidden="false" customHeight="false" outlineLevel="0" collapsed="false">
      <c r="A521" s="39"/>
      <c r="B521" s="44" t="str">
        <f aca="false">IF($A521="","",IFERROR(INDEX('Suivi EPP'!$B$6:$B$505,MATCH($A521,'Suivi EPP'!$A$6:$A$505,0))&amp;" "&amp;INDEX('Suivi EPP'!$C$6:$C$505,MATCH($A521,'Suivi EPP'!$A$6:$A$505,0)),"Matricule inconnu"))</f>
        <v/>
      </c>
      <c r="C521" s="40"/>
      <c r="D521" s="39"/>
      <c r="E521" s="39"/>
      <c r="F521" s="39"/>
      <c r="G521" s="39"/>
      <c r="H521" s="39"/>
    </row>
    <row r="522" customFormat="false" ht="15" hidden="false" customHeight="false" outlineLevel="0" collapsed="false">
      <c r="A522" s="39"/>
      <c r="B522" s="44" t="str">
        <f aca="false">IF($A522="","",IFERROR(INDEX('Suivi EPP'!$B$6:$B$505,MATCH($A522,'Suivi EPP'!$A$6:$A$505,0))&amp;" "&amp;INDEX('Suivi EPP'!$C$6:$C$505,MATCH($A522,'Suivi EPP'!$A$6:$A$505,0)),"Matricule inconnu"))</f>
        <v/>
      </c>
      <c r="C522" s="40"/>
      <c r="D522" s="39"/>
      <c r="E522" s="39"/>
      <c r="F522" s="39"/>
      <c r="G522" s="39"/>
      <c r="H522" s="39"/>
    </row>
    <row r="523" customFormat="false" ht="15" hidden="false" customHeight="false" outlineLevel="0" collapsed="false">
      <c r="A523" s="39"/>
      <c r="B523" s="44" t="str">
        <f aca="false">IF($A523="","",IFERROR(INDEX('Suivi EPP'!$B$6:$B$505,MATCH($A523,'Suivi EPP'!$A$6:$A$505,0))&amp;" "&amp;INDEX('Suivi EPP'!$C$6:$C$505,MATCH($A523,'Suivi EPP'!$A$6:$A$505,0)),"Matricule inconnu"))</f>
        <v/>
      </c>
      <c r="C523" s="40"/>
      <c r="D523" s="39"/>
      <c r="E523" s="39"/>
      <c r="F523" s="39"/>
      <c r="G523" s="39"/>
      <c r="H523" s="39"/>
    </row>
    <row r="524" customFormat="false" ht="15" hidden="false" customHeight="false" outlineLevel="0" collapsed="false">
      <c r="A524" s="39"/>
      <c r="B524" s="44" t="str">
        <f aca="false">IF($A524="","",IFERROR(INDEX('Suivi EPP'!$B$6:$B$505,MATCH($A524,'Suivi EPP'!$A$6:$A$505,0))&amp;" "&amp;INDEX('Suivi EPP'!$C$6:$C$505,MATCH($A524,'Suivi EPP'!$A$6:$A$505,0)),"Matricule inconnu"))</f>
        <v/>
      </c>
      <c r="C524" s="40"/>
      <c r="D524" s="39"/>
      <c r="E524" s="39"/>
      <c r="F524" s="39"/>
      <c r="G524" s="39"/>
      <c r="H524" s="39"/>
    </row>
    <row r="525" customFormat="false" ht="15" hidden="false" customHeight="false" outlineLevel="0" collapsed="false">
      <c r="A525" s="39"/>
      <c r="B525" s="44" t="str">
        <f aca="false">IF($A525="","",IFERROR(INDEX('Suivi EPP'!$B$6:$B$505,MATCH($A525,'Suivi EPP'!$A$6:$A$505,0))&amp;" "&amp;INDEX('Suivi EPP'!$C$6:$C$505,MATCH($A525,'Suivi EPP'!$A$6:$A$505,0)),"Matricule inconnu"))</f>
        <v/>
      </c>
      <c r="C525" s="40"/>
      <c r="D525" s="39"/>
      <c r="E525" s="39"/>
      <c r="F525" s="39"/>
      <c r="G525" s="39"/>
      <c r="H525" s="39"/>
    </row>
    <row r="526" customFormat="false" ht="15" hidden="false" customHeight="false" outlineLevel="0" collapsed="false">
      <c r="A526" s="39"/>
      <c r="B526" s="44" t="str">
        <f aca="false">IF($A526="","",IFERROR(INDEX('Suivi EPP'!$B$6:$B$505,MATCH($A526,'Suivi EPP'!$A$6:$A$505,0))&amp;" "&amp;INDEX('Suivi EPP'!$C$6:$C$505,MATCH($A526,'Suivi EPP'!$A$6:$A$505,0)),"Matricule inconnu"))</f>
        <v/>
      </c>
      <c r="C526" s="40"/>
      <c r="D526" s="39"/>
      <c r="E526" s="39"/>
      <c r="F526" s="39"/>
      <c r="G526" s="39"/>
      <c r="H526" s="39"/>
    </row>
    <row r="527" customFormat="false" ht="15" hidden="false" customHeight="false" outlineLevel="0" collapsed="false">
      <c r="A527" s="39"/>
      <c r="B527" s="44" t="str">
        <f aca="false">IF($A527="","",IFERROR(INDEX('Suivi EPP'!$B$6:$B$505,MATCH($A527,'Suivi EPP'!$A$6:$A$505,0))&amp;" "&amp;INDEX('Suivi EPP'!$C$6:$C$505,MATCH($A527,'Suivi EPP'!$A$6:$A$505,0)),"Matricule inconnu"))</f>
        <v/>
      </c>
      <c r="C527" s="40"/>
      <c r="D527" s="39"/>
      <c r="E527" s="39"/>
      <c r="F527" s="39"/>
      <c r="G527" s="39"/>
      <c r="H527" s="39"/>
    </row>
    <row r="528" customFormat="false" ht="15" hidden="false" customHeight="false" outlineLevel="0" collapsed="false">
      <c r="A528" s="39"/>
      <c r="B528" s="44" t="str">
        <f aca="false">IF($A528="","",IFERROR(INDEX('Suivi EPP'!$B$6:$B$505,MATCH($A528,'Suivi EPP'!$A$6:$A$505,0))&amp;" "&amp;INDEX('Suivi EPP'!$C$6:$C$505,MATCH($A528,'Suivi EPP'!$A$6:$A$505,0)),"Matricule inconnu"))</f>
        <v/>
      </c>
      <c r="C528" s="40"/>
      <c r="D528" s="39"/>
      <c r="E528" s="39"/>
      <c r="F528" s="39"/>
      <c r="G528" s="39"/>
      <c r="H528" s="39"/>
    </row>
    <row r="529" customFormat="false" ht="15" hidden="false" customHeight="false" outlineLevel="0" collapsed="false">
      <c r="A529" s="39"/>
      <c r="B529" s="44" t="str">
        <f aca="false">IF($A529="","",IFERROR(INDEX('Suivi EPP'!$B$6:$B$505,MATCH($A529,'Suivi EPP'!$A$6:$A$505,0))&amp;" "&amp;INDEX('Suivi EPP'!$C$6:$C$505,MATCH($A529,'Suivi EPP'!$A$6:$A$505,0)),"Matricule inconnu"))</f>
        <v/>
      </c>
      <c r="C529" s="40"/>
      <c r="D529" s="39"/>
      <c r="E529" s="39"/>
      <c r="F529" s="39"/>
      <c r="G529" s="39"/>
      <c r="H529" s="39"/>
    </row>
    <row r="530" customFormat="false" ht="15" hidden="false" customHeight="false" outlineLevel="0" collapsed="false">
      <c r="A530" s="39"/>
      <c r="B530" s="44" t="str">
        <f aca="false">IF($A530="","",IFERROR(INDEX('Suivi EPP'!$B$6:$B$505,MATCH($A530,'Suivi EPP'!$A$6:$A$505,0))&amp;" "&amp;INDEX('Suivi EPP'!$C$6:$C$505,MATCH($A530,'Suivi EPP'!$A$6:$A$505,0)),"Matricule inconnu"))</f>
        <v/>
      </c>
      <c r="C530" s="40"/>
      <c r="D530" s="39"/>
      <c r="E530" s="39"/>
      <c r="F530" s="39"/>
      <c r="G530" s="39"/>
      <c r="H530" s="39"/>
    </row>
    <row r="531" customFormat="false" ht="15" hidden="false" customHeight="false" outlineLevel="0" collapsed="false">
      <c r="A531" s="39"/>
      <c r="B531" s="44" t="str">
        <f aca="false">IF($A531="","",IFERROR(INDEX('Suivi EPP'!$B$6:$B$505,MATCH($A531,'Suivi EPP'!$A$6:$A$505,0))&amp;" "&amp;INDEX('Suivi EPP'!$C$6:$C$505,MATCH($A531,'Suivi EPP'!$A$6:$A$505,0)),"Matricule inconnu"))</f>
        <v/>
      </c>
      <c r="C531" s="40"/>
      <c r="D531" s="39"/>
      <c r="E531" s="39"/>
      <c r="F531" s="39"/>
      <c r="G531" s="39"/>
      <c r="H531" s="39"/>
    </row>
    <row r="532" customFormat="false" ht="15" hidden="false" customHeight="false" outlineLevel="0" collapsed="false">
      <c r="A532" s="39"/>
      <c r="B532" s="44" t="str">
        <f aca="false">IF($A532="","",IFERROR(INDEX('Suivi EPP'!$B$6:$B$505,MATCH($A532,'Suivi EPP'!$A$6:$A$505,0))&amp;" "&amp;INDEX('Suivi EPP'!$C$6:$C$505,MATCH($A532,'Suivi EPP'!$A$6:$A$505,0)),"Matricule inconnu"))</f>
        <v/>
      </c>
      <c r="C532" s="40"/>
      <c r="D532" s="39"/>
      <c r="E532" s="39"/>
      <c r="F532" s="39"/>
      <c r="G532" s="39"/>
      <c r="H532" s="39"/>
    </row>
    <row r="533" customFormat="false" ht="15" hidden="false" customHeight="false" outlineLevel="0" collapsed="false">
      <c r="A533" s="39"/>
      <c r="B533" s="44" t="str">
        <f aca="false">IF($A533="","",IFERROR(INDEX('Suivi EPP'!$B$6:$B$505,MATCH($A533,'Suivi EPP'!$A$6:$A$505,0))&amp;" "&amp;INDEX('Suivi EPP'!$C$6:$C$505,MATCH($A533,'Suivi EPP'!$A$6:$A$505,0)),"Matricule inconnu"))</f>
        <v/>
      </c>
      <c r="C533" s="40"/>
      <c r="D533" s="39"/>
      <c r="E533" s="39"/>
      <c r="F533" s="39"/>
      <c r="G533" s="39"/>
      <c r="H533" s="39"/>
    </row>
    <row r="534" customFormat="false" ht="15" hidden="false" customHeight="false" outlineLevel="0" collapsed="false">
      <c r="A534" s="39"/>
      <c r="B534" s="44" t="str">
        <f aca="false">IF($A534="","",IFERROR(INDEX('Suivi EPP'!$B$6:$B$505,MATCH($A534,'Suivi EPP'!$A$6:$A$505,0))&amp;" "&amp;INDEX('Suivi EPP'!$C$6:$C$505,MATCH($A534,'Suivi EPP'!$A$6:$A$505,0)),"Matricule inconnu"))</f>
        <v/>
      </c>
      <c r="C534" s="40"/>
      <c r="D534" s="39"/>
      <c r="E534" s="39"/>
      <c r="F534" s="39"/>
      <c r="G534" s="39"/>
      <c r="H534" s="39"/>
    </row>
    <row r="535" customFormat="false" ht="15" hidden="false" customHeight="false" outlineLevel="0" collapsed="false">
      <c r="A535" s="39"/>
      <c r="B535" s="44" t="str">
        <f aca="false">IF($A535="","",IFERROR(INDEX('Suivi EPP'!$B$6:$B$505,MATCH($A535,'Suivi EPP'!$A$6:$A$505,0))&amp;" "&amp;INDEX('Suivi EPP'!$C$6:$C$505,MATCH($A535,'Suivi EPP'!$A$6:$A$505,0)),"Matricule inconnu"))</f>
        <v/>
      </c>
      <c r="C535" s="40"/>
      <c r="D535" s="39"/>
      <c r="E535" s="39"/>
      <c r="F535" s="39"/>
      <c r="G535" s="39"/>
      <c r="H535" s="39"/>
    </row>
    <row r="536" customFormat="false" ht="15" hidden="false" customHeight="false" outlineLevel="0" collapsed="false">
      <c r="A536" s="39"/>
      <c r="B536" s="44" t="str">
        <f aca="false">IF($A536="","",IFERROR(INDEX('Suivi EPP'!$B$6:$B$505,MATCH($A536,'Suivi EPP'!$A$6:$A$505,0))&amp;" "&amp;INDEX('Suivi EPP'!$C$6:$C$505,MATCH($A536,'Suivi EPP'!$A$6:$A$505,0)),"Matricule inconnu"))</f>
        <v/>
      </c>
      <c r="C536" s="40"/>
      <c r="D536" s="39"/>
      <c r="E536" s="39"/>
      <c r="F536" s="39"/>
      <c r="G536" s="39"/>
      <c r="H536" s="39"/>
    </row>
    <row r="537" customFormat="false" ht="15" hidden="false" customHeight="false" outlineLevel="0" collapsed="false">
      <c r="A537" s="39"/>
      <c r="B537" s="44" t="str">
        <f aca="false">IF($A537="","",IFERROR(INDEX('Suivi EPP'!$B$6:$B$505,MATCH($A537,'Suivi EPP'!$A$6:$A$505,0))&amp;" "&amp;INDEX('Suivi EPP'!$C$6:$C$505,MATCH($A537,'Suivi EPP'!$A$6:$A$505,0)),"Matricule inconnu"))</f>
        <v/>
      </c>
      <c r="C537" s="40"/>
      <c r="D537" s="39"/>
      <c r="E537" s="39"/>
      <c r="F537" s="39"/>
      <c r="G537" s="39"/>
      <c r="H537" s="39"/>
    </row>
    <row r="538" customFormat="false" ht="15" hidden="false" customHeight="false" outlineLevel="0" collapsed="false">
      <c r="A538" s="39"/>
      <c r="B538" s="44" t="str">
        <f aca="false">IF($A538="","",IFERROR(INDEX('Suivi EPP'!$B$6:$B$505,MATCH($A538,'Suivi EPP'!$A$6:$A$505,0))&amp;" "&amp;INDEX('Suivi EPP'!$C$6:$C$505,MATCH($A538,'Suivi EPP'!$A$6:$A$505,0)),"Matricule inconnu"))</f>
        <v/>
      </c>
      <c r="C538" s="40"/>
      <c r="D538" s="39"/>
      <c r="E538" s="39"/>
      <c r="F538" s="39"/>
      <c r="G538" s="39"/>
      <c r="H538" s="39"/>
    </row>
    <row r="539" customFormat="false" ht="15" hidden="false" customHeight="false" outlineLevel="0" collapsed="false">
      <c r="A539" s="39"/>
      <c r="B539" s="44" t="str">
        <f aca="false">IF($A539="","",IFERROR(INDEX('Suivi EPP'!$B$6:$B$505,MATCH($A539,'Suivi EPP'!$A$6:$A$505,0))&amp;" "&amp;INDEX('Suivi EPP'!$C$6:$C$505,MATCH($A539,'Suivi EPP'!$A$6:$A$505,0)),"Matricule inconnu"))</f>
        <v/>
      </c>
      <c r="C539" s="40"/>
      <c r="D539" s="39"/>
      <c r="E539" s="39"/>
      <c r="F539" s="39"/>
      <c r="G539" s="39"/>
      <c r="H539" s="39"/>
    </row>
    <row r="540" customFormat="false" ht="15" hidden="false" customHeight="false" outlineLevel="0" collapsed="false">
      <c r="A540" s="39"/>
      <c r="B540" s="44" t="str">
        <f aca="false">IF($A540="","",IFERROR(INDEX('Suivi EPP'!$B$6:$B$505,MATCH($A540,'Suivi EPP'!$A$6:$A$505,0))&amp;" "&amp;INDEX('Suivi EPP'!$C$6:$C$505,MATCH($A540,'Suivi EPP'!$A$6:$A$505,0)),"Matricule inconnu"))</f>
        <v/>
      </c>
      <c r="C540" s="40"/>
      <c r="D540" s="39"/>
      <c r="E540" s="39"/>
      <c r="F540" s="39"/>
      <c r="G540" s="39"/>
      <c r="H540" s="39"/>
    </row>
    <row r="541" customFormat="false" ht="15" hidden="false" customHeight="false" outlineLevel="0" collapsed="false">
      <c r="A541" s="39"/>
      <c r="B541" s="44" t="str">
        <f aca="false">IF($A541="","",IFERROR(INDEX('Suivi EPP'!$B$6:$B$505,MATCH($A541,'Suivi EPP'!$A$6:$A$505,0))&amp;" "&amp;INDEX('Suivi EPP'!$C$6:$C$505,MATCH($A541,'Suivi EPP'!$A$6:$A$505,0)),"Matricule inconnu"))</f>
        <v/>
      </c>
      <c r="C541" s="40"/>
      <c r="D541" s="39"/>
      <c r="E541" s="39"/>
      <c r="F541" s="39"/>
      <c r="G541" s="39"/>
      <c r="H541" s="39"/>
    </row>
    <row r="542" customFormat="false" ht="15" hidden="false" customHeight="false" outlineLevel="0" collapsed="false">
      <c r="A542" s="39"/>
      <c r="B542" s="44" t="str">
        <f aca="false">IF($A542="","",IFERROR(INDEX('Suivi EPP'!$B$6:$B$505,MATCH($A542,'Suivi EPP'!$A$6:$A$505,0))&amp;" "&amp;INDEX('Suivi EPP'!$C$6:$C$505,MATCH($A542,'Suivi EPP'!$A$6:$A$505,0)),"Matricule inconnu"))</f>
        <v/>
      </c>
      <c r="C542" s="40"/>
      <c r="D542" s="39"/>
      <c r="E542" s="39"/>
      <c r="F542" s="39"/>
      <c r="G542" s="39"/>
      <c r="H542" s="39"/>
    </row>
    <row r="543" customFormat="false" ht="15" hidden="false" customHeight="false" outlineLevel="0" collapsed="false">
      <c r="A543" s="39"/>
      <c r="B543" s="44" t="str">
        <f aca="false">IF($A543="","",IFERROR(INDEX('Suivi EPP'!$B$6:$B$505,MATCH($A543,'Suivi EPP'!$A$6:$A$505,0))&amp;" "&amp;INDEX('Suivi EPP'!$C$6:$C$505,MATCH($A543,'Suivi EPP'!$A$6:$A$505,0)),"Matricule inconnu"))</f>
        <v/>
      </c>
      <c r="C543" s="40"/>
      <c r="D543" s="39"/>
      <c r="E543" s="39"/>
      <c r="F543" s="39"/>
      <c r="G543" s="39"/>
      <c r="H543" s="39"/>
    </row>
    <row r="544" customFormat="false" ht="15" hidden="false" customHeight="false" outlineLevel="0" collapsed="false">
      <c r="A544" s="39"/>
      <c r="B544" s="44" t="str">
        <f aca="false">IF($A544="","",IFERROR(INDEX('Suivi EPP'!$B$6:$B$505,MATCH($A544,'Suivi EPP'!$A$6:$A$505,0))&amp;" "&amp;INDEX('Suivi EPP'!$C$6:$C$505,MATCH($A544,'Suivi EPP'!$A$6:$A$505,0)),"Matricule inconnu"))</f>
        <v/>
      </c>
      <c r="C544" s="40"/>
      <c r="D544" s="39"/>
      <c r="E544" s="39"/>
      <c r="F544" s="39"/>
      <c r="G544" s="39"/>
      <c r="H544" s="39"/>
    </row>
    <row r="545" customFormat="false" ht="15" hidden="false" customHeight="false" outlineLevel="0" collapsed="false">
      <c r="A545" s="39"/>
      <c r="B545" s="44" t="str">
        <f aca="false">IF($A545="","",IFERROR(INDEX('Suivi EPP'!$B$6:$B$505,MATCH($A545,'Suivi EPP'!$A$6:$A$505,0))&amp;" "&amp;INDEX('Suivi EPP'!$C$6:$C$505,MATCH($A545,'Suivi EPP'!$A$6:$A$505,0)),"Matricule inconnu"))</f>
        <v/>
      </c>
      <c r="C545" s="40"/>
      <c r="D545" s="39"/>
      <c r="E545" s="39"/>
      <c r="F545" s="39"/>
      <c r="G545" s="39"/>
      <c r="H545" s="39"/>
    </row>
    <row r="546" customFormat="false" ht="15" hidden="false" customHeight="false" outlineLevel="0" collapsed="false">
      <c r="A546" s="39"/>
      <c r="B546" s="44" t="str">
        <f aca="false">IF($A546="","",IFERROR(INDEX('Suivi EPP'!$B$6:$B$505,MATCH($A546,'Suivi EPP'!$A$6:$A$505,0))&amp;" "&amp;INDEX('Suivi EPP'!$C$6:$C$505,MATCH($A546,'Suivi EPP'!$A$6:$A$505,0)),"Matricule inconnu"))</f>
        <v/>
      </c>
      <c r="C546" s="40"/>
      <c r="D546" s="39"/>
      <c r="E546" s="39"/>
      <c r="F546" s="39"/>
      <c r="G546" s="39"/>
      <c r="H546" s="39"/>
    </row>
    <row r="547" customFormat="false" ht="15" hidden="false" customHeight="false" outlineLevel="0" collapsed="false">
      <c r="A547" s="39"/>
      <c r="B547" s="44" t="str">
        <f aca="false">IF($A547="","",IFERROR(INDEX('Suivi EPP'!$B$6:$B$505,MATCH($A547,'Suivi EPP'!$A$6:$A$505,0))&amp;" "&amp;INDEX('Suivi EPP'!$C$6:$C$505,MATCH($A547,'Suivi EPP'!$A$6:$A$505,0)),"Matricule inconnu"))</f>
        <v/>
      </c>
      <c r="C547" s="40"/>
      <c r="D547" s="39"/>
      <c r="E547" s="39"/>
      <c r="F547" s="39"/>
      <c r="G547" s="39"/>
      <c r="H547" s="39"/>
    </row>
    <row r="548" customFormat="false" ht="15" hidden="false" customHeight="false" outlineLevel="0" collapsed="false">
      <c r="A548" s="39"/>
      <c r="B548" s="44" t="str">
        <f aca="false">IF($A548="","",IFERROR(INDEX('Suivi EPP'!$B$6:$B$505,MATCH($A548,'Suivi EPP'!$A$6:$A$505,0))&amp;" "&amp;INDEX('Suivi EPP'!$C$6:$C$505,MATCH($A548,'Suivi EPP'!$A$6:$A$505,0)),"Matricule inconnu"))</f>
        <v/>
      </c>
      <c r="C548" s="40"/>
      <c r="D548" s="39"/>
      <c r="E548" s="39"/>
      <c r="F548" s="39"/>
      <c r="G548" s="39"/>
      <c r="H548" s="39"/>
    </row>
    <row r="549" customFormat="false" ht="15" hidden="false" customHeight="false" outlineLevel="0" collapsed="false">
      <c r="A549" s="39"/>
      <c r="B549" s="44" t="str">
        <f aca="false">IF($A549="","",IFERROR(INDEX('Suivi EPP'!$B$6:$B$505,MATCH($A549,'Suivi EPP'!$A$6:$A$505,0))&amp;" "&amp;INDEX('Suivi EPP'!$C$6:$C$505,MATCH($A549,'Suivi EPP'!$A$6:$A$505,0)),"Matricule inconnu"))</f>
        <v/>
      </c>
      <c r="C549" s="40"/>
      <c r="D549" s="39"/>
      <c r="E549" s="39"/>
      <c r="F549" s="39"/>
      <c r="G549" s="39"/>
      <c r="H549" s="39"/>
    </row>
    <row r="550" customFormat="false" ht="15" hidden="false" customHeight="false" outlineLevel="0" collapsed="false">
      <c r="A550" s="39"/>
      <c r="B550" s="44" t="str">
        <f aca="false">IF($A550="","",IFERROR(INDEX('Suivi EPP'!$B$6:$B$505,MATCH($A550,'Suivi EPP'!$A$6:$A$505,0))&amp;" "&amp;INDEX('Suivi EPP'!$C$6:$C$505,MATCH($A550,'Suivi EPP'!$A$6:$A$505,0)),"Matricule inconnu"))</f>
        <v/>
      </c>
      <c r="C550" s="40"/>
      <c r="D550" s="39"/>
      <c r="E550" s="39"/>
      <c r="F550" s="39"/>
      <c r="G550" s="39"/>
      <c r="H550" s="39"/>
    </row>
    <row r="551" customFormat="false" ht="15" hidden="false" customHeight="false" outlineLevel="0" collapsed="false">
      <c r="A551" s="39"/>
      <c r="B551" s="44" t="str">
        <f aca="false">IF($A551="","",IFERROR(INDEX('Suivi EPP'!$B$6:$B$505,MATCH($A551,'Suivi EPP'!$A$6:$A$505,0))&amp;" "&amp;INDEX('Suivi EPP'!$C$6:$C$505,MATCH($A551,'Suivi EPP'!$A$6:$A$505,0)),"Matricule inconnu"))</f>
        <v/>
      </c>
      <c r="C551" s="40"/>
      <c r="D551" s="39"/>
      <c r="E551" s="39"/>
      <c r="F551" s="39"/>
      <c r="G551" s="39"/>
      <c r="H551" s="39"/>
    </row>
    <row r="552" customFormat="false" ht="15" hidden="false" customHeight="false" outlineLevel="0" collapsed="false">
      <c r="A552" s="39"/>
      <c r="B552" s="44" t="str">
        <f aca="false">IF($A552="","",IFERROR(INDEX('Suivi EPP'!$B$6:$B$505,MATCH($A552,'Suivi EPP'!$A$6:$A$505,0))&amp;" "&amp;INDEX('Suivi EPP'!$C$6:$C$505,MATCH($A552,'Suivi EPP'!$A$6:$A$505,0)),"Matricule inconnu"))</f>
        <v/>
      </c>
      <c r="C552" s="40"/>
      <c r="D552" s="39"/>
      <c r="E552" s="39"/>
      <c r="F552" s="39"/>
      <c r="G552" s="39"/>
      <c r="H552" s="39"/>
    </row>
    <row r="553" customFormat="false" ht="15" hidden="false" customHeight="false" outlineLevel="0" collapsed="false">
      <c r="A553" s="39"/>
      <c r="B553" s="44" t="str">
        <f aca="false">IF($A553="","",IFERROR(INDEX('Suivi EPP'!$B$6:$B$505,MATCH($A553,'Suivi EPP'!$A$6:$A$505,0))&amp;" "&amp;INDEX('Suivi EPP'!$C$6:$C$505,MATCH($A553,'Suivi EPP'!$A$6:$A$505,0)),"Matricule inconnu"))</f>
        <v/>
      </c>
      <c r="C553" s="40"/>
      <c r="D553" s="39"/>
      <c r="E553" s="39"/>
      <c r="F553" s="39"/>
      <c r="G553" s="39"/>
      <c r="H553" s="39"/>
    </row>
    <row r="554" customFormat="false" ht="15" hidden="false" customHeight="false" outlineLevel="0" collapsed="false">
      <c r="A554" s="39"/>
      <c r="B554" s="44" t="str">
        <f aca="false">IF($A554="","",IFERROR(INDEX('Suivi EPP'!$B$6:$B$505,MATCH($A554,'Suivi EPP'!$A$6:$A$505,0))&amp;" "&amp;INDEX('Suivi EPP'!$C$6:$C$505,MATCH($A554,'Suivi EPP'!$A$6:$A$505,0)),"Matricule inconnu"))</f>
        <v/>
      </c>
      <c r="C554" s="40"/>
      <c r="D554" s="39"/>
      <c r="E554" s="39"/>
      <c r="F554" s="39"/>
      <c r="G554" s="39"/>
      <c r="H554" s="39"/>
    </row>
    <row r="555" customFormat="false" ht="15" hidden="false" customHeight="false" outlineLevel="0" collapsed="false">
      <c r="A555" s="39"/>
      <c r="B555" s="44" t="str">
        <f aca="false">IF($A555="","",IFERROR(INDEX('Suivi EPP'!$B$6:$B$505,MATCH($A555,'Suivi EPP'!$A$6:$A$505,0))&amp;" "&amp;INDEX('Suivi EPP'!$C$6:$C$505,MATCH($A555,'Suivi EPP'!$A$6:$A$505,0)),"Matricule inconnu"))</f>
        <v/>
      </c>
      <c r="C555" s="40"/>
      <c r="D555" s="39"/>
      <c r="E555" s="39"/>
      <c r="F555" s="39"/>
      <c r="G555" s="39"/>
      <c r="H555" s="39"/>
    </row>
    <row r="556" customFormat="false" ht="15" hidden="false" customHeight="false" outlineLevel="0" collapsed="false">
      <c r="A556" s="39"/>
      <c r="B556" s="44" t="str">
        <f aca="false">IF($A556="","",IFERROR(INDEX('Suivi EPP'!$B$6:$B$505,MATCH($A556,'Suivi EPP'!$A$6:$A$505,0))&amp;" "&amp;INDEX('Suivi EPP'!$C$6:$C$505,MATCH($A556,'Suivi EPP'!$A$6:$A$505,0)),"Matricule inconnu"))</f>
        <v/>
      </c>
      <c r="C556" s="40"/>
      <c r="D556" s="39"/>
      <c r="E556" s="39"/>
      <c r="F556" s="39"/>
      <c r="G556" s="39"/>
      <c r="H556" s="39"/>
    </row>
    <row r="557" customFormat="false" ht="15" hidden="false" customHeight="false" outlineLevel="0" collapsed="false">
      <c r="A557" s="39"/>
      <c r="B557" s="44" t="str">
        <f aca="false">IF($A557="","",IFERROR(INDEX('Suivi EPP'!$B$6:$B$505,MATCH($A557,'Suivi EPP'!$A$6:$A$505,0))&amp;" "&amp;INDEX('Suivi EPP'!$C$6:$C$505,MATCH($A557,'Suivi EPP'!$A$6:$A$505,0)),"Matricule inconnu"))</f>
        <v/>
      </c>
      <c r="C557" s="40"/>
      <c r="D557" s="39"/>
      <c r="E557" s="39"/>
      <c r="F557" s="39"/>
      <c r="G557" s="39"/>
      <c r="H557" s="39"/>
    </row>
    <row r="558" customFormat="false" ht="15" hidden="false" customHeight="false" outlineLevel="0" collapsed="false">
      <c r="A558" s="39"/>
      <c r="B558" s="44" t="str">
        <f aca="false">IF($A558="","",IFERROR(INDEX('Suivi EPP'!$B$6:$B$505,MATCH($A558,'Suivi EPP'!$A$6:$A$505,0))&amp;" "&amp;INDEX('Suivi EPP'!$C$6:$C$505,MATCH($A558,'Suivi EPP'!$A$6:$A$505,0)),"Matricule inconnu"))</f>
        <v/>
      </c>
      <c r="C558" s="40"/>
      <c r="D558" s="39"/>
      <c r="E558" s="39"/>
      <c r="F558" s="39"/>
      <c r="G558" s="39"/>
      <c r="H558" s="39"/>
    </row>
    <row r="559" customFormat="false" ht="15" hidden="false" customHeight="false" outlineLevel="0" collapsed="false">
      <c r="A559" s="39"/>
      <c r="B559" s="44" t="str">
        <f aca="false">IF($A559="","",IFERROR(INDEX('Suivi EPP'!$B$6:$B$505,MATCH($A559,'Suivi EPP'!$A$6:$A$505,0))&amp;" "&amp;INDEX('Suivi EPP'!$C$6:$C$505,MATCH($A559,'Suivi EPP'!$A$6:$A$505,0)),"Matricule inconnu"))</f>
        <v/>
      </c>
      <c r="C559" s="40"/>
      <c r="D559" s="39"/>
      <c r="E559" s="39"/>
      <c r="F559" s="39"/>
      <c r="G559" s="39"/>
      <c r="H559" s="39"/>
    </row>
    <row r="560" customFormat="false" ht="15" hidden="false" customHeight="false" outlineLevel="0" collapsed="false">
      <c r="A560" s="39"/>
      <c r="B560" s="44" t="str">
        <f aca="false">IF($A560="","",IFERROR(INDEX('Suivi EPP'!$B$6:$B$505,MATCH($A560,'Suivi EPP'!$A$6:$A$505,0))&amp;" "&amp;INDEX('Suivi EPP'!$C$6:$C$505,MATCH($A560,'Suivi EPP'!$A$6:$A$505,0)),"Matricule inconnu"))</f>
        <v/>
      </c>
      <c r="C560" s="40"/>
      <c r="D560" s="39"/>
      <c r="E560" s="39"/>
      <c r="F560" s="39"/>
      <c r="G560" s="39"/>
      <c r="H560" s="39"/>
    </row>
    <row r="561" customFormat="false" ht="15" hidden="false" customHeight="false" outlineLevel="0" collapsed="false">
      <c r="A561" s="39"/>
      <c r="B561" s="44" t="str">
        <f aca="false">IF($A561="","",IFERROR(INDEX('Suivi EPP'!$B$6:$B$505,MATCH($A561,'Suivi EPP'!$A$6:$A$505,0))&amp;" "&amp;INDEX('Suivi EPP'!$C$6:$C$505,MATCH($A561,'Suivi EPP'!$A$6:$A$505,0)),"Matricule inconnu"))</f>
        <v/>
      </c>
      <c r="C561" s="40"/>
      <c r="D561" s="39"/>
      <c r="E561" s="39"/>
      <c r="F561" s="39"/>
      <c r="G561" s="39"/>
      <c r="H561" s="39"/>
    </row>
    <row r="562" customFormat="false" ht="15" hidden="false" customHeight="false" outlineLevel="0" collapsed="false">
      <c r="A562" s="39"/>
      <c r="B562" s="44" t="str">
        <f aca="false">IF($A562="","",IFERROR(INDEX('Suivi EPP'!$B$6:$B$505,MATCH($A562,'Suivi EPP'!$A$6:$A$505,0))&amp;" "&amp;INDEX('Suivi EPP'!$C$6:$C$505,MATCH($A562,'Suivi EPP'!$A$6:$A$505,0)),"Matricule inconnu"))</f>
        <v/>
      </c>
      <c r="C562" s="40"/>
      <c r="D562" s="39"/>
      <c r="E562" s="39"/>
      <c r="F562" s="39"/>
      <c r="G562" s="39"/>
      <c r="H562" s="39"/>
    </row>
    <row r="563" customFormat="false" ht="15" hidden="false" customHeight="false" outlineLevel="0" collapsed="false">
      <c r="A563" s="39"/>
      <c r="B563" s="44" t="str">
        <f aca="false">IF($A563="","",IFERROR(INDEX('Suivi EPP'!$B$6:$B$505,MATCH($A563,'Suivi EPP'!$A$6:$A$505,0))&amp;" "&amp;INDEX('Suivi EPP'!$C$6:$C$505,MATCH($A563,'Suivi EPP'!$A$6:$A$505,0)),"Matricule inconnu"))</f>
        <v/>
      </c>
      <c r="C563" s="40"/>
      <c r="D563" s="39"/>
      <c r="E563" s="39"/>
      <c r="F563" s="39"/>
      <c r="G563" s="39"/>
      <c r="H563" s="39"/>
    </row>
    <row r="564" customFormat="false" ht="15" hidden="false" customHeight="false" outlineLevel="0" collapsed="false">
      <c r="A564" s="39"/>
      <c r="B564" s="44" t="str">
        <f aca="false">IF($A564="","",IFERROR(INDEX('Suivi EPP'!$B$6:$B$505,MATCH($A564,'Suivi EPP'!$A$6:$A$505,0))&amp;" "&amp;INDEX('Suivi EPP'!$C$6:$C$505,MATCH($A564,'Suivi EPP'!$A$6:$A$505,0)),"Matricule inconnu"))</f>
        <v/>
      </c>
      <c r="C564" s="40"/>
      <c r="D564" s="39"/>
      <c r="E564" s="39"/>
      <c r="F564" s="39"/>
      <c r="G564" s="39"/>
      <c r="H564" s="39"/>
    </row>
    <row r="565" customFormat="false" ht="15" hidden="false" customHeight="false" outlineLevel="0" collapsed="false">
      <c r="A565" s="39"/>
      <c r="B565" s="44" t="str">
        <f aca="false">IF($A565="","",IFERROR(INDEX('Suivi EPP'!$B$6:$B$505,MATCH($A565,'Suivi EPP'!$A$6:$A$505,0))&amp;" "&amp;INDEX('Suivi EPP'!$C$6:$C$505,MATCH($A565,'Suivi EPP'!$A$6:$A$505,0)),"Matricule inconnu"))</f>
        <v/>
      </c>
      <c r="C565" s="40"/>
      <c r="D565" s="39"/>
      <c r="E565" s="39"/>
      <c r="F565" s="39"/>
      <c r="G565" s="39"/>
      <c r="H565" s="39"/>
    </row>
    <row r="566" customFormat="false" ht="15" hidden="false" customHeight="false" outlineLevel="0" collapsed="false">
      <c r="A566" s="39"/>
      <c r="B566" s="44" t="str">
        <f aca="false">IF($A566="","",IFERROR(INDEX('Suivi EPP'!$B$6:$B$505,MATCH($A566,'Suivi EPP'!$A$6:$A$505,0))&amp;" "&amp;INDEX('Suivi EPP'!$C$6:$C$505,MATCH($A566,'Suivi EPP'!$A$6:$A$505,0)),"Matricule inconnu"))</f>
        <v/>
      </c>
      <c r="C566" s="40"/>
      <c r="D566" s="39"/>
      <c r="E566" s="39"/>
      <c r="F566" s="39"/>
      <c r="G566" s="39"/>
      <c r="H566" s="39"/>
    </row>
    <row r="567" customFormat="false" ht="15" hidden="false" customHeight="false" outlineLevel="0" collapsed="false">
      <c r="A567" s="39"/>
      <c r="B567" s="44" t="str">
        <f aca="false">IF($A567="","",IFERROR(INDEX('Suivi EPP'!$B$6:$B$505,MATCH($A567,'Suivi EPP'!$A$6:$A$505,0))&amp;" "&amp;INDEX('Suivi EPP'!$C$6:$C$505,MATCH($A567,'Suivi EPP'!$A$6:$A$505,0)),"Matricule inconnu"))</f>
        <v/>
      </c>
      <c r="C567" s="40"/>
      <c r="D567" s="39"/>
      <c r="E567" s="39"/>
      <c r="F567" s="39"/>
      <c r="G567" s="39"/>
      <c r="H567" s="39"/>
    </row>
    <row r="568" customFormat="false" ht="15" hidden="false" customHeight="false" outlineLevel="0" collapsed="false">
      <c r="A568" s="39"/>
      <c r="B568" s="44" t="str">
        <f aca="false">IF($A568="","",IFERROR(INDEX('Suivi EPP'!$B$6:$B$505,MATCH($A568,'Suivi EPP'!$A$6:$A$505,0))&amp;" "&amp;INDEX('Suivi EPP'!$C$6:$C$505,MATCH($A568,'Suivi EPP'!$A$6:$A$505,0)),"Matricule inconnu"))</f>
        <v/>
      </c>
      <c r="C568" s="40"/>
      <c r="D568" s="39"/>
      <c r="E568" s="39"/>
      <c r="F568" s="39"/>
      <c r="G568" s="39"/>
      <c r="H568" s="39"/>
    </row>
    <row r="569" customFormat="false" ht="15" hidden="false" customHeight="false" outlineLevel="0" collapsed="false">
      <c r="A569" s="39"/>
      <c r="B569" s="44" t="str">
        <f aca="false">IF($A569="","",IFERROR(INDEX('Suivi EPP'!$B$6:$B$505,MATCH($A569,'Suivi EPP'!$A$6:$A$505,0))&amp;" "&amp;INDEX('Suivi EPP'!$C$6:$C$505,MATCH($A569,'Suivi EPP'!$A$6:$A$505,0)),"Matricule inconnu"))</f>
        <v/>
      </c>
      <c r="C569" s="40"/>
      <c r="D569" s="39"/>
      <c r="E569" s="39"/>
      <c r="F569" s="39"/>
      <c r="G569" s="39"/>
      <c r="H569" s="39"/>
    </row>
    <row r="570" customFormat="false" ht="15" hidden="false" customHeight="false" outlineLevel="0" collapsed="false">
      <c r="A570" s="39"/>
      <c r="B570" s="44" t="str">
        <f aca="false">IF($A570="","",IFERROR(INDEX('Suivi EPP'!$B$6:$B$505,MATCH($A570,'Suivi EPP'!$A$6:$A$505,0))&amp;" "&amp;INDEX('Suivi EPP'!$C$6:$C$505,MATCH($A570,'Suivi EPP'!$A$6:$A$505,0)),"Matricule inconnu"))</f>
        <v/>
      </c>
      <c r="C570" s="40"/>
      <c r="D570" s="39"/>
      <c r="E570" s="39"/>
      <c r="F570" s="39"/>
      <c r="G570" s="39"/>
      <c r="H570" s="39"/>
    </row>
    <row r="571" customFormat="false" ht="15" hidden="false" customHeight="false" outlineLevel="0" collapsed="false">
      <c r="A571" s="39"/>
      <c r="B571" s="44" t="str">
        <f aca="false">IF($A571="","",IFERROR(INDEX('Suivi EPP'!$B$6:$B$505,MATCH($A571,'Suivi EPP'!$A$6:$A$505,0))&amp;" "&amp;INDEX('Suivi EPP'!$C$6:$C$505,MATCH($A571,'Suivi EPP'!$A$6:$A$505,0)),"Matricule inconnu"))</f>
        <v/>
      </c>
      <c r="C571" s="40"/>
      <c r="D571" s="39"/>
      <c r="E571" s="39"/>
      <c r="F571" s="39"/>
      <c r="G571" s="39"/>
      <c r="H571" s="39"/>
    </row>
    <row r="572" customFormat="false" ht="15" hidden="false" customHeight="false" outlineLevel="0" collapsed="false">
      <c r="A572" s="39"/>
      <c r="B572" s="44" t="str">
        <f aca="false">IF($A572="","",IFERROR(INDEX('Suivi EPP'!$B$6:$B$505,MATCH($A572,'Suivi EPP'!$A$6:$A$505,0))&amp;" "&amp;INDEX('Suivi EPP'!$C$6:$C$505,MATCH($A572,'Suivi EPP'!$A$6:$A$505,0)),"Matricule inconnu"))</f>
        <v/>
      </c>
      <c r="C572" s="40"/>
      <c r="D572" s="39"/>
      <c r="E572" s="39"/>
      <c r="F572" s="39"/>
      <c r="G572" s="39"/>
      <c r="H572" s="39"/>
    </row>
    <row r="573" customFormat="false" ht="15" hidden="false" customHeight="false" outlineLevel="0" collapsed="false">
      <c r="A573" s="39"/>
      <c r="B573" s="44" t="str">
        <f aca="false">IF($A573="","",IFERROR(INDEX('Suivi EPP'!$B$6:$B$505,MATCH($A573,'Suivi EPP'!$A$6:$A$505,0))&amp;" "&amp;INDEX('Suivi EPP'!$C$6:$C$505,MATCH($A573,'Suivi EPP'!$A$6:$A$505,0)),"Matricule inconnu"))</f>
        <v/>
      </c>
      <c r="C573" s="40"/>
      <c r="D573" s="39"/>
      <c r="E573" s="39"/>
      <c r="F573" s="39"/>
      <c r="G573" s="39"/>
      <c r="H573" s="39"/>
    </row>
    <row r="574" customFormat="false" ht="15" hidden="false" customHeight="false" outlineLevel="0" collapsed="false">
      <c r="A574" s="39"/>
      <c r="B574" s="44" t="str">
        <f aca="false">IF($A574="","",IFERROR(INDEX('Suivi EPP'!$B$6:$B$505,MATCH($A574,'Suivi EPP'!$A$6:$A$505,0))&amp;" "&amp;INDEX('Suivi EPP'!$C$6:$C$505,MATCH($A574,'Suivi EPP'!$A$6:$A$505,0)),"Matricule inconnu"))</f>
        <v/>
      </c>
      <c r="C574" s="40"/>
      <c r="D574" s="39"/>
      <c r="E574" s="39"/>
      <c r="F574" s="39"/>
      <c r="G574" s="39"/>
      <c r="H574" s="39"/>
    </row>
    <row r="575" customFormat="false" ht="15" hidden="false" customHeight="false" outlineLevel="0" collapsed="false">
      <c r="A575" s="39"/>
      <c r="B575" s="44" t="str">
        <f aca="false">IF($A575="","",IFERROR(INDEX('Suivi EPP'!$B$6:$B$505,MATCH($A575,'Suivi EPP'!$A$6:$A$505,0))&amp;" "&amp;INDEX('Suivi EPP'!$C$6:$C$505,MATCH($A575,'Suivi EPP'!$A$6:$A$505,0)),"Matricule inconnu"))</f>
        <v/>
      </c>
      <c r="C575" s="40"/>
      <c r="D575" s="39"/>
      <c r="E575" s="39"/>
      <c r="F575" s="39"/>
      <c r="G575" s="39"/>
      <c r="H575" s="39"/>
    </row>
    <row r="576" customFormat="false" ht="15" hidden="false" customHeight="false" outlineLevel="0" collapsed="false">
      <c r="A576" s="39"/>
      <c r="B576" s="44" t="str">
        <f aca="false">IF($A576="","",IFERROR(INDEX('Suivi EPP'!$B$6:$B$505,MATCH($A576,'Suivi EPP'!$A$6:$A$505,0))&amp;" "&amp;INDEX('Suivi EPP'!$C$6:$C$505,MATCH($A576,'Suivi EPP'!$A$6:$A$505,0)),"Matricule inconnu"))</f>
        <v/>
      </c>
      <c r="C576" s="40"/>
      <c r="D576" s="39"/>
      <c r="E576" s="39"/>
      <c r="F576" s="39"/>
      <c r="G576" s="39"/>
      <c r="H576" s="39"/>
    </row>
    <row r="577" customFormat="false" ht="15" hidden="false" customHeight="false" outlineLevel="0" collapsed="false">
      <c r="A577" s="39"/>
      <c r="B577" s="44" t="str">
        <f aca="false">IF($A577="","",IFERROR(INDEX('Suivi EPP'!$B$6:$B$505,MATCH($A577,'Suivi EPP'!$A$6:$A$505,0))&amp;" "&amp;INDEX('Suivi EPP'!$C$6:$C$505,MATCH($A577,'Suivi EPP'!$A$6:$A$505,0)),"Matricule inconnu"))</f>
        <v/>
      </c>
      <c r="C577" s="40"/>
      <c r="D577" s="39"/>
      <c r="E577" s="39"/>
      <c r="F577" s="39"/>
      <c r="G577" s="39"/>
      <c r="H577" s="39"/>
    </row>
    <row r="578" customFormat="false" ht="15" hidden="false" customHeight="false" outlineLevel="0" collapsed="false">
      <c r="A578" s="39"/>
      <c r="B578" s="44" t="str">
        <f aca="false">IF($A578="","",IFERROR(INDEX('Suivi EPP'!$B$6:$B$505,MATCH($A578,'Suivi EPP'!$A$6:$A$505,0))&amp;" "&amp;INDEX('Suivi EPP'!$C$6:$C$505,MATCH($A578,'Suivi EPP'!$A$6:$A$505,0)),"Matricule inconnu"))</f>
        <v/>
      </c>
      <c r="C578" s="40"/>
      <c r="D578" s="39"/>
      <c r="E578" s="39"/>
      <c r="F578" s="39"/>
      <c r="G578" s="39"/>
      <c r="H578" s="39"/>
    </row>
    <row r="579" customFormat="false" ht="15" hidden="false" customHeight="false" outlineLevel="0" collapsed="false">
      <c r="A579" s="39"/>
      <c r="B579" s="44" t="str">
        <f aca="false">IF($A579="","",IFERROR(INDEX('Suivi EPP'!$B$6:$B$505,MATCH($A579,'Suivi EPP'!$A$6:$A$505,0))&amp;" "&amp;INDEX('Suivi EPP'!$C$6:$C$505,MATCH($A579,'Suivi EPP'!$A$6:$A$505,0)),"Matricule inconnu"))</f>
        <v/>
      </c>
      <c r="C579" s="40"/>
      <c r="D579" s="39"/>
      <c r="E579" s="39"/>
      <c r="F579" s="39"/>
      <c r="G579" s="39"/>
      <c r="H579" s="39"/>
    </row>
    <row r="580" customFormat="false" ht="15" hidden="false" customHeight="false" outlineLevel="0" collapsed="false">
      <c r="A580" s="39"/>
      <c r="B580" s="44" t="str">
        <f aca="false">IF($A580="","",IFERROR(INDEX('Suivi EPP'!$B$6:$B$505,MATCH($A580,'Suivi EPP'!$A$6:$A$505,0))&amp;" "&amp;INDEX('Suivi EPP'!$C$6:$C$505,MATCH($A580,'Suivi EPP'!$A$6:$A$505,0)),"Matricule inconnu"))</f>
        <v/>
      </c>
      <c r="C580" s="40"/>
      <c r="D580" s="39"/>
      <c r="E580" s="39"/>
      <c r="F580" s="39"/>
      <c r="G580" s="39"/>
      <c r="H580" s="39"/>
    </row>
    <row r="581" customFormat="false" ht="15" hidden="false" customHeight="false" outlineLevel="0" collapsed="false">
      <c r="A581" s="39"/>
      <c r="B581" s="44" t="str">
        <f aca="false">IF($A581="","",IFERROR(INDEX('Suivi EPP'!$B$6:$B$505,MATCH($A581,'Suivi EPP'!$A$6:$A$505,0))&amp;" "&amp;INDEX('Suivi EPP'!$C$6:$C$505,MATCH($A581,'Suivi EPP'!$A$6:$A$505,0)),"Matricule inconnu"))</f>
        <v/>
      </c>
      <c r="C581" s="40"/>
      <c r="D581" s="39"/>
      <c r="E581" s="39"/>
      <c r="F581" s="39"/>
      <c r="G581" s="39"/>
      <c r="H581" s="39"/>
    </row>
    <row r="582" customFormat="false" ht="15" hidden="false" customHeight="false" outlineLevel="0" collapsed="false">
      <c r="A582" s="39"/>
      <c r="B582" s="44" t="str">
        <f aca="false">IF($A582="","",IFERROR(INDEX('Suivi EPP'!$B$6:$B$505,MATCH($A582,'Suivi EPP'!$A$6:$A$505,0))&amp;" "&amp;INDEX('Suivi EPP'!$C$6:$C$505,MATCH($A582,'Suivi EPP'!$A$6:$A$505,0)),"Matricule inconnu"))</f>
        <v/>
      </c>
      <c r="C582" s="40"/>
      <c r="D582" s="39"/>
      <c r="E582" s="39"/>
      <c r="F582" s="39"/>
      <c r="G582" s="39"/>
      <c r="H582" s="39"/>
    </row>
    <row r="583" customFormat="false" ht="15" hidden="false" customHeight="false" outlineLevel="0" collapsed="false">
      <c r="A583" s="39"/>
      <c r="B583" s="44" t="str">
        <f aca="false">IF($A583="","",IFERROR(INDEX('Suivi EPP'!$B$6:$B$505,MATCH($A583,'Suivi EPP'!$A$6:$A$505,0))&amp;" "&amp;INDEX('Suivi EPP'!$C$6:$C$505,MATCH($A583,'Suivi EPP'!$A$6:$A$505,0)),"Matricule inconnu"))</f>
        <v/>
      </c>
      <c r="C583" s="40"/>
      <c r="D583" s="39"/>
      <c r="E583" s="39"/>
      <c r="F583" s="39"/>
      <c r="G583" s="39"/>
      <c r="H583" s="39"/>
    </row>
    <row r="584" customFormat="false" ht="15" hidden="false" customHeight="false" outlineLevel="0" collapsed="false">
      <c r="A584" s="39"/>
      <c r="B584" s="44" t="str">
        <f aca="false">IF($A584="","",IFERROR(INDEX('Suivi EPP'!$B$6:$B$505,MATCH($A584,'Suivi EPP'!$A$6:$A$505,0))&amp;" "&amp;INDEX('Suivi EPP'!$C$6:$C$505,MATCH($A584,'Suivi EPP'!$A$6:$A$505,0)),"Matricule inconnu"))</f>
        <v/>
      </c>
      <c r="C584" s="40"/>
      <c r="D584" s="39"/>
      <c r="E584" s="39"/>
      <c r="F584" s="39"/>
      <c r="G584" s="39"/>
      <c r="H584" s="39"/>
    </row>
    <row r="585" customFormat="false" ht="15" hidden="false" customHeight="false" outlineLevel="0" collapsed="false">
      <c r="A585" s="39"/>
      <c r="B585" s="44" t="str">
        <f aca="false">IF($A585="","",IFERROR(INDEX('Suivi EPP'!$B$6:$B$505,MATCH($A585,'Suivi EPP'!$A$6:$A$505,0))&amp;" "&amp;INDEX('Suivi EPP'!$C$6:$C$505,MATCH($A585,'Suivi EPP'!$A$6:$A$505,0)),"Matricule inconnu"))</f>
        <v/>
      </c>
      <c r="C585" s="40"/>
      <c r="D585" s="39"/>
      <c r="E585" s="39"/>
      <c r="F585" s="39"/>
      <c r="G585" s="39"/>
      <c r="H585" s="39"/>
    </row>
    <row r="586" customFormat="false" ht="15" hidden="false" customHeight="false" outlineLevel="0" collapsed="false">
      <c r="A586" s="39"/>
      <c r="B586" s="44" t="str">
        <f aca="false">IF($A586="","",IFERROR(INDEX('Suivi EPP'!$B$6:$B$505,MATCH($A586,'Suivi EPP'!$A$6:$A$505,0))&amp;" "&amp;INDEX('Suivi EPP'!$C$6:$C$505,MATCH($A586,'Suivi EPP'!$A$6:$A$505,0)),"Matricule inconnu"))</f>
        <v/>
      </c>
      <c r="C586" s="40"/>
      <c r="D586" s="39"/>
      <c r="E586" s="39"/>
      <c r="F586" s="39"/>
      <c r="G586" s="39"/>
      <c r="H586" s="39"/>
    </row>
    <row r="587" customFormat="false" ht="15" hidden="false" customHeight="false" outlineLevel="0" collapsed="false">
      <c r="A587" s="39"/>
      <c r="B587" s="44" t="str">
        <f aca="false">IF($A587="","",IFERROR(INDEX('Suivi EPP'!$B$6:$B$505,MATCH($A587,'Suivi EPP'!$A$6:$A$505,0))&amp;" "&amp;INDEX('Suivi EPP'!$C$6:$C$505,MATCH($A587,'Suivi EPP'!$A$6:$A$505,0)),"Matricule inconnu"))</f>
        <v/>
      </c>
      <c r="C587" s="40"/>
      <c r="D587" s="39"/>
      <c r="E587" s="39"/>
      <c r="F587" s="39"/>
      <c r="G587" s="39"/>
      <c r="H587" s="39"/>
    </row>
    <row r="588" customFormat="false" ht="15" hidden="false" customHeight="false" outlineLevel="0" collapsed="false">
      <c r="A588" s="39"/>
      <c r="B588" s="44" t="str">
        <f aca="false">IF($A588="","",IFERROR(INDEX('Suivi EPP'!$B$6:$B$505,MATCH($A588,'Suivi EPP'!$A$6:$A$505,0))&amp;" "&amp;INDEX('Suivi EPP'!$C$6:$C$505,MATCH($A588,'Suivi EPP'!$A$6:$A$505,0)),"Matricule inconnu"))</f>
        <v/>
      </c>
      <c r="C588" s="40"/>
      <c r="D588" s="39"/>
      <c r="E588" s="39"/>
      <c r="F588" s="39"/>
      <c r="G588" s="39"/>
      <c r="H588" s="39"/>
    </row>
    <row r="589" customFormat="false" ht="15" hidden="false" customHeight="false" outlineLevel="0" collapsed="false">
      <c r="A589" s="39"/>
      <c r="B589" s="44" t="str">
        <f aca="false">IF($A589="","",IFERROR(INDEX('Suivi EPP'!$B$6:$B$505,MATCH($A589,'Suivi EPP'!$A$6:$A$505,0))&amp;" "&amp;INDEX('Suivi EPP'!$C$6:$C$505,MATCH($A589,'Suivi EPP'!$A$6:$A$505,0)),"Matricule inconnu"))</f>
        <v/>
      </c>
      <c r="C589" s="40"/>
      <c r="D589" s="39"/>
      <c r="E589" s="39"/>
      <c r="F589" s="39"/>
      <c r="G589" s="39"/>
      <c r="H589" s="39"/>
    </row>
    <row r="590" customFormat="false" ht="15" hidden="false" customHeight="false" outlineLevel="0" collapsed="false">
      <c r="A590" s="39"/>
      <c r="B590" s="44" t="str">
        <f aca="false">IF($A590="","",IFERROR(INDEX('Suivi EPP'!$B$6:$B$505,MATCH($A590,'Suivi EPP'!$A$6:$A$505,0))&amp;" "&amp;INDEX('Suivi EPP'!$C$6:$C$505,MATCH($A590,'Suivi EPP'!$A$6:$A$505,0)),"Matricule inconnu"))</f>
        <v/>
      </c>
      <c r="C590" s="40"/>
      <c r="D590" s="39"/>
      <c r="E590" s="39"/>
      <c r="F590" s="39"/>
      <c r="G590" s="39"/>
      <c r="H590" s="39"/>
    </row>
    <row r="591" customFormat="false" ht="15" hidden="false" customHeight="false" outlineLevel="0" collapsed="false">
      <c r="A591" s="39"/>
      <c r="B591" s="44" t="str">
        <f aca="false">IF($A591="","",IFERROR(INDEX('Suivi EPP'!$B$6:$B$505,MATCH($A591,'Suivi EPP'!$A$6:$A$505,0))&amp;" "&amp;INDEX('Suivi EPP'!$C$6:$C$505,MATCH($A591,'Suivi EPP'!$A$6:$A$505,0)),"Matricule inconnu"))</f>
        <v/>
      </c>
      <c r="C591" s="40"/>
      <c r="D591" s="39"/>
      <c r="E591" s="39"/>
      <c r="F591" s="39"/>
      <c r="G591" s="39"/>
      <c r="H591" s="39"/>
    </row>
    <row r="592" customFormat="false" ht="15" hidden="false" customHeight="false" outlineLevel="0" collapsed="false">
      <c r="A592" s="39"/>
      <c r="B592" s="44" t="str">
        <f aca="false">IF($A592="","",IFERROR(INDEX('Suivi EPP'!$B$6:$B$505,MATCH($A592,'Suivi EPP'!$A$6:$A$505,0))&amp;" "&amp;INDEX('Suivi EPP'!$C$6:$C$505,MATCH($A592,'Suivi EPP'!$A$6:$A$505,0)),"Matricule inconnu"))</f>
        <v/>
      </c>
      <c r="C592" s="40"/>
      <c r="D592" s="39"/>
      <c r="E592" s="39"/>
      <c r="F592" s="39"/>
      <c r="G592" s="39"/>
      <c r="H592" s="39"/>
    </row>
    <row r="593" customFormat="false" ht="15" hidden="false" customHeight="false" outlineLevel="0" collapsed="false">
      <c r="A593" s="39"/>
      <c r="B593" s="44" t="str">
        <f aca="false">IF($A593="","",IFERROR(INDEX('Suivi EPP'!$B$6:$B$505,MATCH($A593,'Suivi EPP'!$A$6:$A$505,0))&amp;" "&amp;INDEX('Suivi EPP'!$C$6:$C$505,MATCH($A593,'Suivi EPP'!$A$6:$A$505,0)),"Matricule inconnu"))</f>
        <v/>
      </c>
      <c r="C593" s="40"/>
      <c r="D593" s="39"/>
      <c r="E593" s="39"/>
      <c r="F593" s="39"/>
      <c r="G593" s="39"/>
      <c r="H593" s="39"/>
    </row>
    <row r="594" customFormat="false" ht="15" hidden="false" customHeight="false" outlineLevel="0" collapsed="false">
      <c r="A594" s="39"/>
      <c r="B594" s="44" t="str">
        <f aca="false">IF($A594="","",IFERROR(INDEX('Suivi EPP'!$B$6:$B$505,MATCH($A594,'Suivi EPP'!$A$6:$A$505,0))&amp;" "&amp;INDEX('Suivi EPP'!$C$6:$C$505,MATCH($A594,'Suivi EPP'!$A$6:$A$505,0)),"Matricule inconnu"))</f>
        <v/>
      </c>
      <c r="C594" s="40"/>
      <c r="D594" s="39"/>
      <c r="E594" s="39"/>
      <c r="F594" s="39"/>
      <c r="G594" s="39"/>
      <c r="H594" s="39"/>
    </row>
    <row r="595" customFormat="false" ht="15" hidden="false" customHeight="false" outlineLevel="0" collapsed="false">
      <c r="A595" s="39"/>
      <c r="B595" s="44" t="str">
        <f aca="false">IF($A595="","",IFERROR(INDEX('Suivi EPP'!$B$6:$B$505,MATCH($A595,'Suivi EPP'!$A$6:$A$505,0))&amp;" "&amp;INDEX('Suivi EPP'!$C$6:$C$505,MATCH($A595,'Suivi EPP'!$A$6:$A$505,0)),"Matricule inconnu"))</f>
        <v/>
      </c>
      <c r="C595" s="40"/>
      <c r="D595" s="39"/>
      <c r="E595" s="39"/>
      <c r="F595" s="39"/>
      <c r="G595" s="39"/>
      <c r="H595" s="39"/>
    </row>
    <row r="596" customFormat="false" ht="15" hidden="false" customHeight="false" outlineLevel="0" collapsed="false">
      <c r="A596" s="39"/>
      <c r="B596" s="44" t="str">
        <f aca="false">IF($A596="","",IFERROR(INDEX('Suivi EPP'!$B$6:$B$505,MATCH($A596,'Suivi EPP'!$A$6:$A$505,0))&amp;" "&amp;INDEX('Suivi EPP'!$C$6:$C$505,MATCH($A596,'Suivi EPP'!$A$6:$A$505,0)),"Matricule inconnu"))</f>
        <v/>
      </c>
      <c r="C596" s="40"/>
      <c r="D596" s="39"/>
      <c r="E596" s="39"/>
      <c r="F596" s="39"/>
      <c r="G596" s="39"/>
      <c r="H596" s="39"/>
    </row>
    <row r="597" customFormat="false" ht="15" hidden="false" customHeight="false" outlineLevel="0" collapsed="false">
      <c r="A597" s="39"/>
      <c r="B597" s="44" t="str">
        <f aca="false">IF($A597="","",IFERROR(INDEX('Suivi EPP'!$B$6:$B$505,MATCH($A597,'Suivi EPP'!$A$6:$A$505,0))&amp;" "&amp;INDEX('Suivi EPP'!$C$6:$C$505,MATCH($A597,'Suivi EPP'!$A$6:$A$505,0)),"Matricule inconnu"))</f>
        <v/>
      </c>
      <c r="C597" s="40"/>
      <c r="D597" s="39"/>
      <c r="E597" s="39"/>
      <c r="F597" s="39"/>
      <c r="G597" s="39"/>
      <c r="H597" s="39"/>
    </row>
    <row r="598" customFormat="false" ht="15" hidden="false" customHeight="false" outlineLevel="0" collapsed="false">
      <c r="A598" s="39"/>
      <c r="B598" s="44" t="str">
        <f aca="false">IF($A598="","",IFERROR(INDEX('Suivi EPP'!$B$6:$B$505,MATCH($A598,'Suivi EPP'!$A$6:$A$505,0))&amp;" "&amp;INDEX('Suivi EPP'!$C$6:$C$505,MATCH($A598,'Suivi EPP'!$A$6:$A$505,0)),"Matricule inconnu"))</f>
        <v/>
      </c>
      <c r="C598" s="40"/>
      <c r="D598" s="39"/>
      <c r="E598" s="39"/>
      <c r="F598" s="39"/>
      <c r="G598" s="39"/>
      <c r="H598" s="39"/>
    </row>
    <row r="599" customFormat="false" ht="15" hidden="false" customHeight="false" outlineLevel="0" collapsed="false">
      <c r="A599" s="39"/>
      <c r="B599" s="44" t="str">
        <f aca="false">IF($A599="","",IFERROR(INDEX('Suivi EPP'!$B$6:$B$505,MATCH($A599,'Suivi EPP'!$A$6:$A$505,0))&amp;" "&amp;INDEX('Suivi EPP'!$C$6:$C$505,MATCH($A599,'Suivi EPP'!$A$6:$A$505,0)),"Matricule inconnu"))</f>
        <v/>
      </c>
      <c r="C599" s="40"/>
      <c r="D599" s="39"/>
      <c r="E599" s="39"/>
      <c r="F599" s="39"/>
      <c r="G599" s="39"/>
      <c r="H599" s="39"/>
    </row>
    <row r="600" customFormat="false" ht="15" hidden="false" customHeight="false" outlineLevel="0" collapsed="false">
      <c r="A600" s="39"/>
      <c r="B600" s="44" t="str">
        <f aca="false">IF($A600="","",IFERROR(INDEX('Suivi EPP'!$B$6:$B$505,MATCH($A600,'Suivi EPP'!$A$6:$A$505,0))&amp;" "&amp;INDEX('Suivi EPP'!$C$6:$C$505,MATCH($A600,'Suivi EPP'!$A$6:$A$505,0)),"Matricule inconnu"))</f>
        <v/>
      </c>
      <c r="C600" s="40"/>
      <c r="D600" s="39"/>
      <c r="E600" s="39"/>
      <c r="F600" s="39"/>
      <c r="G600" s="39"/>
      <c r="H600" s="39"/>
    </row>
    <row r="601" customFormat="false" ht="15" hidden="false" customHeight="false" outlineLevel="0" collapsed="false">
      <c r="A601" s="39"/>
      <c r="B601" s="44" t="str">
        <f aca="false">IF($A601="","",IFERROR(INDEX('Suivi EPP'!$B$6:$B$505,MATCH($A601,'Suivi EPP'!$A$6:$A$505,0))&amp;" "&amp;INDEX('Suivi EPP'!$C$6:$C$505,MATCH($A601,'Suivi EPP'!$A$6:$A$505,0)),"Matricule inconnu"))</f>
        <v/>
      </c>
      <c r="C601" s="40"/>
      <c r="D601" s="39"/>
      <c r="E601" s="39"/>
      <c r="F601" s="39"/>
      <c r="G601" s="39"/>
      <c r="H601" s="39"/>
    </row>
    <row r="602" customFormat="false" ht="15" hidden="false" customHeight="false" outlineLevel="0" collapsed="false">
      <c r="A602" s="39"/>
      <c r="B602" s="44" t="str">
        <f aca="false">IF($A602="","",IFERROR(INDEX('Suivi EPP'!$B$6:$B$505,MATCH($A602,'Suivi EPP'!$A$6:$A$505,0))&amp;" "&amp;INDEX('Suivi EPP'!$C$6:$C$505,MATCH($A602,'Suivi EPP'!$A$6:$A$505,0)),"Matricule inconnu"))</f>
        <v/>
      </c>
      <c r="C602" s="40"/>
      <c r="D602" s="39"/>
      <c r="E602" s="39"/>
      <c r="F602" s="39"/>
      <c r="G602" s="39"/>
      <c r="H602" s="39"/>
    </row>
    <row r="603" customFormat="false" ht="15" hidden="false" customHeight="false" outlineLevel="0" collapsed="false">
      <c r="A603" s="39"/>
      <c r="B603" s="44" t="str">
        <f aca="false">IF($A603="","",IFERROR(INDEX('Suivi EPP'!$B$6:$B$505,MATCH($A603,'Suivi EPP'!$A$6:$A$505,0))&amp;" "&amp;INDEX('Suivi EPP'!$C$6:$C$505,MATCH($A603,'Suivi EPP'!$A$6:$A$505,0)),"Matricule inconnu"))</f>
        <v/>
      </c>
      <c r="C603" s="40"/>
      <c r="D603" s="39"/>
      <c r="E603" s="39"/>
      <c r="F603" s="39"/>
      <c r="G603" s="39"/>
      <c r="H603" s="39"/>
    </row>
    <row r="604" customFormat="false" ht="15" hidden="false" customHeight="false" outlineLevel="0" collapsed="false">
      <c r="A604" s="39"/>
      <c r="B604" s="44" t="str">
        <f aca="false">IF($A604="","",IFERROR(INDEX('Suivi EPP'!$B$6:$B$505,MATCH($A604,'Suivi EPP'!$A$6:$A$505,0))&amp;" "&amp;INDEX('Suivi EPP'!$C$6:$C$505,MATCH($A604,'Suivi EPP'!$A$6:$A$505,0)),"Matricule inconnu"))</f>
        <v/>
      </c>
      <c r="C604" s="40"/>
      <c r="D604" s="39"/>
      <c r="E604" s="39"/>
      <c r="F604" s="39"/>
      <c r="G604" s="39"/>
      <c r="H604" s="39"/>
    </row>
    <row r="605" customFormat="false" ht="15" hidden="false" customHeight="false" outlineLevel="0" collapsed="false">
      <c r="A605" s="39"/>
      <c r="B605" s="44" t="str">
        <f aca="false">IF($A605="","",IFERROR(INDEX('Suivi EPP'!$B$6:$B$505,MATCH($A605,'Suivi EPP'!$A$6:$A$505,0))&amp;" "&amp;INDEX('Suivi EPP'!$C$6:$C$505,MATCH($A605,'Suivi EPP'!$A$6:$A$505,0)),"Matricule inconnu"))</f>
        <v/>
      </c>
      <c r="C605" s="40"/>
      <c r="D605" s="39"/>
      <c r="E605" s="39"/>
      <c r="F605" s="39"/>
      <c r="G605" s="39"/>
      <c r="H605" s="39"/>
    </row>
    <row r="606" customFormat="false" ht="15" hidden="false" customHeight="false" outlineLevel="0" collapsed="false">
      <c r="A606" s="39"/>
      <c r="B606" s="44" t="str">
        <f aca="false">IF($A606="","",IFERROR(INDEX('Suivi EPP'!$B$6:$B$505,MATCH($A606,'Suivi EPP'!$A$6:$A$505,0))&amp;" "&amp;INDEX('Suivi EPP'!$C$6:$C$505,MATCH($A606,'Suivi EPP'!$A$6:$A$505,0)),"Matricule inconnu"))</f>
        <v/>
      </c>
      <c r="C606" s="40"/>
      <c r="D606" s="39"/>
      <c r="E606" s="39"/>
      <c r="F606" s="39"/>
      <c r="G606" s="39"/>
      <c r="H606" s="39"/>
    </row>
    <row r="607" customFormat="false" ht="15" hidden="false" customHeight="false" outlineLevel="0" collapsed="false">
      <c r="A607" s="39"/>
      <c r="B607" s="44" t="str">
        <f aca="false">IF($A607="","",IFERROR(INDEX('Suivi EPP'!$B$6:$B$505,MATCH($A607,'Suivi EPP'!$A$6:$A$505,0))&amp;" "&amp;INDEX('Suivi EPP'!$C$6:$C$505,MATCH($A607,'Suivi EPP'!$A$6:$A$505,0)),"Matricule inconnu"))</f>
        <v/>
      </c>
      <c r="C607" s="40"/>
      <c r="D607" s="39"/>
      <c r="E607" s="39"/>
      <c r="F607" s="39"/>
      <c r="G607" s="39"/>
      <c r="H607" s="39"/>
    </row>
    <row r="608" customFormat="false" ht="15" hidden="false" customHeight="false" outlineLevel="0" collapsed="false">
      <c r="A608" s="39"/>
      <c r="B608" s="44" t="str">
        <f aca="false">IF($A608="","",IFERROR(INDEX('Suivi EPP'!$B$6:$B$505,MATCH($A608,'Suivi EPP'!$A$6:$A$505,0))&amp;" "&amp;INDEX('Suivi EPP'!$C$6:$C$505,MATCH($A608,'Suivi EPP'!$A$6:$A$505,0)),"Matricule inconnu"))</f>
        <v/>
      </c>
      <c r="C608" s="40"/>
      <c r="D608" s="39"/>
      <c r="E608" s="39"/>
      <c r="F608" s="39"/>
      <c r="G608" s="39"/>
      <c r="H608" s="39"/>
    </row>
    <row r="609" customFormat="false" ht="15" hidden="false" customHeight="false" outlineLevel="0" collapsed="false">
      <c r="A609" s="39"/>
      <c r="B609" s="44" t="str">
        <f aca="false">IF($A609="","",IFERROR(INDEX('Suivi EPP'!$B$6:$B$505,MATCH($A609,'Suivi EPP'!$A$6:$A$505,0))&amp;" "&amp;INDEX('Suivi EPP'!$C$6:$C$505,MATCH($A609,'Suivi EPP'!$A$6:$A$505,0)),"Matricule inconnu"))</f>
        <v/>
      </c>
      <c r="C609" s="40"/>
      <c r="D609" s="39"/>
      <c r="E609" s="39"/>
      <c r="F609" s="39"/>
      <c r="G609" s="39"/>
      <c r="H609" s="39"/>
    </row>
    <row r="610" customFormat="false" ht="15" hidden="false" customHeight="false" outlineLevel="0" collapsed="false">
      <c r="A610" s="39"/>
      <c r="B610" s="44" t="str">
        <f aca="false">IF($A610="","",IFERROR(INDEX('Suivi EPP'!$B$6:$B$505,MATCH($A610,'Suivi EPP'!$A$6:$A$505,0))&amp;" "&amp;INDEX('Suivi EPP'!$C$6:$C$505,MATCH($A610,'Suivi EPP'!$A$6:$A$505,0)),"Matricule inconnu"))</f>
        <v/>
      </c>
      <c r="C610" s="40"/>
      <c r="D610" s="39"/>
      <c r="E610" s="39"/>
      <c r="F610" s="39"/>
      <c r="G610" s="39"/>
      <c r="H610" s="39"/>
    </row>
    <row r="611" customFormat="false" ht="15" hidden="false" customHeight="false" outlineLevel="0" collapsed="false">
      <c r="A611" s="39"/>
      <c r="B611" s="44" t="str">
        <f aca="false">IF($A611="","",IFERROR(INDEX('Suivi EPP'!$B$6:$B$505,MATCH($A611,'Suivi EPP'!$A$6:$A$505,0))&amp;" "&amp;INDEX('Suivi EPP'!$C$6:$C$505,MATCH($A611,'Suivi EPP'!$A$6:$A$505,0)),"Matricule inconnu"))</f>
        <v/>
      </c>
      <c r="C611" s="40"/>
      <c r="D611" s="39"/>
      <c r="E611" s="39"/>
      <c r="F611" s="39"/>
      <c r="G611" s="39"/>
      <c r="H611" s="39"/>
    </row>
    <row r="612" customFormat="false" ht="15" hidden="false" customHeight="false" outlineLevel="0" collapsed="false">
      <c r="A612" s="39"/>
      <c r="B612" s="44" t="str">
        <f aca="false">IF($A612="","",IFERROR(INDEX('Suivi EPP'!$B$6:$B$505,MATCH($A612,'Suivi EPP'!$A$6:$A$505,0))&amp;" "&amp;INDEX('Suivi EPP'!$C$6:$C$505,MATCH($A612,'Suivi EPP'!$A$6:$A$505,0)),"Matricule inconnu"))</f>
        <v/>
      </c>
      <c r="C612" s="40"/>
      <c r="D612" s="39"/>
      <c r="E612" s="39"/>
      <c r="F612" s="39"/>
      <c r="G612" s="39"/>
      <c r="H612" s="39"/>
    </row>
    <row r="613" customFormat="false" ht="15" hidden="false" customHeight="false" outlineLevel="0" collapsed="false">
      <c r="A613" s="39"/>
      <c r="B613" s="44" t="str">
        <f aca="false">IF($A613="","",IFERROR(INDEX('Suivi EPP'!$B$6:$B$505,MATCH($A613,'Suivi EPP'!$A$6:$A$505,0))&amp;" "&amp;INDEX('Suivi EPP'!$C$6:$C$505,MATCH($A613,'Suivi EPP'!$A$6:$A$505,0)),"Matricule inconnu"))</f>
        <v/>
      </c>
      <c r="C613" s="40"/>
      <c r="D613" s="39"/>
      <c r="E613" s="39"/>
      <c r="F613" s="39"/>
      <c r="G613" s="39"/>
      <c r="H613" s="39"/>
    </row>
    <row r="614" customFormat="false" ht="15" hidden="false" customHeight="false" outlineLevel="0" collapsed="false">
      <c r="A614" s="39"/>
      <c r="B614" s="44" t="str">
        <f aca="false">IF($A614="","",IFERROR(INDEX('Suivi EPP'!$B$6:$B$505,MATCH($A614,'Suivi EPP'!$A$6:$A$505,0))&amp;" "&amp;INDEX('Suivi EPP'!$C$6:$C$505,MATCH($A614,'Suivi EPP'!$A$6:$A$505,0)),"Matricule inconnu"))</f>
        <v/>
      </c>
      <c r="C614" s="40"/>
      <c r="D614" s="39"/>
      <c r="E614" s="39"/>
      <c r="F614" s="39"/>
      <c r="G614" s="39"/>
      <c r="H614" s="39"/>
    </row>
    <row r="615" customFormat="false" ht="15" hidden="false" customHeight="false" outlineLevel="0" collapsed="false">
      <c r="A615" s="39"/>
      <c r="B615" s="44" t="str">
        <f aca="false">IF($A615="","",IFERROR(INDEX('Suivi EPP'!$B$6:$B$505,MATCH($A615,'Suivi EPP'!$A$6:$A$505,0))&amp;" "&amp;INDEX('Suivi EPP'!$C$6:$C$505,MATCH($A615,'Suivi EPP'!$A$6:$A$505,0)),"Matricule inconnu"))</f>
        <v/>
      </c>
      <c r="C615" s="40"/>
      <c r="D615" s="39"/>
      <c r="E615" s="39"/>
      <c r="F615" s="39"/>
      <c r="G615" s="39"/>
      <c r="H615" s="39"/>
    </row>
    <row r="616" customFormat="false" ht="15" hidden="false" customHeight="false" outlineLevel="0" collapsed="false">
      <c r="A616" s="39"/>
      <c r="B616" s="44" t="str">
        <f aca="false">IF($A616="","",IFERROR(INDEX('Suivi EPP'!$B$6:$B$505,MATCH($A616,'Suivi EPP'!$A$6:$A$505,0))&amp;" "&amp;INDEX('Suivi EPP'!$C$6:$C$505,MATCH($A616,'Suivi EPP'!$A$6:$A$505,0)),"Matricule inconnu"))</f>
        <v/>
      </c>
      <c r="C616" s="40"/>
      <c r="D616" s="39"/>
      <c r="E616" s="39"/>
      <c r="F616" s="39"/>
      <c r="G616" s="39"/>
      <c r="H616" s="39"/>
    </row>
    <row r="617" customFormat="false" ht="15" hidden="false" customHeight="false" outlineLevel="0" collapsed="false">
      <c r="A617" s="39"/>
      <c r="B617" s="44" t="str">
        <f aca="false">IF($A617="","",IFERROR(INDEX('Suivi EPP'!$B$6:$B$505,MATCH($A617,'Suivi EPP'!$A$6:$A$505,0))&amp;" "&amp;INDEX('Suivi EPP'!$C$6:$C$505,MATCH($A617,'Suivi EPP'!$A$6:$A$505,0)),"Matricule inconnu"))</f>
        <v/>
      </c>
      <c r="C617" s="40"/>
      <c r="D617" s="39"/>
      <c r="E617" s="39"/>
      <c r="F617" s="39"/>
      <c r="G617" s="39"/>
      <c r="H617" s="39"/>
    </row>
    <row r="618" customFormat="false" ht="15" hidden="false" customHeight="false" outlineLevel="0" collapsed="false">
      <c r="A618" s="39"/>
      <c r="B618" s="44" t="str">
        <f aca="false">IF($A618="","",IFERROR(INDEX('Suivi EPP'!$B$6:$B$505,MATCH($A618,'Suivi EPP'!$A$6:$A$505,0))&amp;" "&amp;INDEX('Suivi EPP'!$C$6:$C$505,MATCH($A618,'Suivi EPP'!$A$6:$A$505,0)),"Matricule inconnu"))</f>
        <v/>
      </c>
      <c r="C618" s="40"/>
      <c r="D618" s="39"/>
      <c r="E618" s="39"/>
      <c r="F618" s="39"/>
      <c r="G618" s="39"/>
      <c r="H618" s="39"/>
    </row>
    <row r="619" customFormat="false" ht="15" hidden="false" customHeight="false" outlineLevel="0" collapsed="false">
      <c r="A619" s="39"/>
      <c r="B619" s="44" t="str">
        <f aca="false">IF($A619="","",IFERROR(INDEX('Suivi EPP'!$B$6:$B$505,MATCH($A619,'Suivi EPP'!$A$6:$A$505,0))&amp;" "&amp;INDEX('Suivi EPP'!$C$6:$C$505,MATCH($A619,'Suivi EPP'!$A$6:$A$505,0)),"Matricule inconnu"))</f>
        <v/>
      </c>
      <c r="C619" s="40"/>
      <c r="D619" s="39"/>
      <c r="E619" s="39"/>
      <c r="F619" s="39"/>
      <c r="G619" s="39"/>
      <c r="H619" s="39"/>
    </row>
    <row r="620" customFormat="false" ht="15" hidden="false" customHeight="false" outlineLevel="0" collapsed="false">
      <c r="A620" s="39"/>
      <c r="B620" s="44" t="str">
        <f aca="false">IF($A620="","",IFERROR(INDEX('Suivi EPP'!$B$6:$B$505,MATCH($A620,'Suivi EPP'!$A$6:$A$505,0))&amp;" "&amp;INDEX('Suivi EPP'!$C$6:$C$505,MATCH($A620,'Suivi EPP'!$A$6:$A$505,0)),"Matricule inconnu"))</f>
        <v/>
      </c>
      <c r="C620" s="40"/>
      <c r="D620" s="39"/>
      <c r="E620" s="39"/>
      <c r="F620" s="39"/>
      <c r="G620" s="39"/>
      <c r="H620" s="39"/>
    </row>
    <row r="621" customFormat="false" ht="15" hidden="false" customHeight="false" outlineLevel="0" collapsed="false">
      <c r="A621" s="39"/>
      <c r="B621" s="44" t="str">
        <f aca="false">IF($A621="","",IFERROR(INDEX('Suivi EPP'!$B$6:$B$505,MATCH($A621,'Suivi EPP'!$A$6:$A$505,0))&amp;" "&amp;INDEX('Suivi EPP'!$C$6:$C$505,MATCH($A621,'Suivi EPP'!$A$6:$A$505,0)),"Matricule inconnu"))</f>
        <v/>
      </c>
      <c r="C621" s="40"/>
      <c r="D621" s="39"/>
      <c r="E621" s="39"/>
      <c r="F621" s="39"/>
      <c r="G621" s="39"/>
      <c r="H621" s="39"/>
    </row>
    <row r="622" customFormat="false" ht="15" hidden="false" customHeight="false" outlineLevel="0" collapsed="false">
      <c r="A622" s="39"/>
      <c r="B622" s="44" t="str">
        <f aca="false">IF($A622="","",IFERROR(INDEX('Suivi EPP'!$B$6:$B$505,MATCH($A622,'Suivi EPP'!$A$6:$A$505,0))&amp;" "&amp;INDEX('Suivi EPP'!$C$6:$C$505,MATCH($A622,'Suivi EPP'!$A$6:$A$505,0)),"Matricule inconnu"))</f>
        <v/>
      </c>
      <c r="C622" s="40"/>
      <c r="D622" s="39"/>
      <c r="E622" s="39"/>
      <c r="F622" s="39"/>
      <c r="G622" s="39"/>
      <c r="H622" s="39"/>
    </row>
    <row r="623" customFormat="false" ht="15" hidden="false" customHeight="false" outlineLevel="0" collapsed="false">
      <c r="A623" s="39"/>
      <c r="B623" s="44" t="str">
        <f aca="false">IF($A623="","",IFERROR(INDEX('Suivi EPP'!$B$6:$B$505,MATCH($A623,'Suivi EPP'!$A$6:$A$505,0))&amp;" "&amp;INDEX('Suivi EPP'!$C$6:$C$505,MATCH($A623,'Suivi EPP'!$A$6:$A$505,0)),"Matricule inconnu"))</f>
        <v/>
      </c>
      <c r="C623" s="40"/>
      <c r="D623" s="39"/>
      <c r="E623" s="39"/>
      <c r="F623" s="39"/>
      <c r="G623" s="39"/>
      <c r="H623" s="39"/>
    </row>
    <row r="624" customFormat="false" ht="15" hidden="false" customHeight="false" outlineLevel="0" collapsed="false">
      <c r="A624" s="39"/>
      <c r="B624" s="44" t="str">
        <f aca="false">IF($A624="","",IFERROR(INDEX('Suivi EPP'!$B$6:$B$505,MATCH($A624,'Suivi EPP'!$A$6:$A$505,0))&amp;" "&amp;INDEX('Suivi EPP'!$C$6:$C$505,MATCH($A624,'Suivi EPP'!$A$6:$A$505,0)),"Matricule inconnu"))</f>
        <v/>
      </c>
      <c r="C624" s="40"/>
      <c r="D624" s="39"/>
      <c r="E624" s="39"/>
      <c r="F624" s="39"/>
      <c r="G624" s="39"/>
      <c r="H624" s="39"/>
    </row>
    <row r="625" customFormat="false" ht="15" hidden="false" customHeight="false" outlineLevel="0" collapsed="false">
      <c r="A625" s="39"/>
      <c r="B625" s="44" t="str">
        <f aca="false">IF($A625="","",IFERROR(INDEX('Suivi EPP'!$B$6:$B$505,MATCH($A625,'Suivi EPP'!$A$6:$A$505,0))&amp;" "&amp;INDEX('Suivi EPP'!$C$6:$C$505,MATCH($A625,'Suivi EPP'!$A$6:$A$505,0)),"Matricule inconnu"))</f>
        <v/>
      </c>
      <c r="C625" s="40"/>
      <c r="D625" s="39"/>
      <c r="E625" s="39"/>
      <c r="F625" s="39"/>
      <c r="G625" s="39"/>
      <c r="H625" s="39"/>
    </row>
    <row r="626" customFormat="false" ht="15" hidden="false" customHeight="false" outlineLevel="0" collapsed="false">
      <c r="A626" s="39"/>
      <c r="B626" s="44" t="str">
        <f aca="false">IF($A626="","",IFERROR(INDEX('Suivi EPP'!$B$6:$B$505,MATCH($A626,'Suivi EPP'!$A$6:$A$505,0))&amp;" "&amp;INDEX('Suivi EPP'!$C$6:$C$505,MATCH($A626,'Suivi EPP'!$A$6:$A$505,0)),"Matricule inconnu"))</f>
        <v/>
      </c>
      <c r="C626" s="40"/>
      <c r="D626" s="39"/>
      <c r="E626" s="39"/>
      <c r="F626" s="39"/>
      <c r="G626" s="39"/>
      <c r="H626" s="39"/>
    </row>
    <row r="627" customFormat="false" ht="15" hidden="false" customHeight="false" outlineLevel="0" collapsed="false">
      <c r="A627" s="39"/>
      <c r="B627" s="44" t="str">
        <f aca="false">IF($A627="","",IFERROR(INDEX('Suivi EPP'!$B$6:$B$505,MATCH($A627,'Suivi EPP'!$A$6:$A$505,0))&amp;" "&amp;INDEX('Suivi EPP'!$C$6:$C$505,MATCH($A627,'Suivi EPP'!$A$6:$A$505,0)),"Matricule inconnu"))</f>
        <v/>
      </c>
      <c r="C627" s="40"/>
      <c r="D627" s="39"/>
      <c r="E627" s="39"/>
      <c r="F627" s="39"/>
      <c r="G627" s="39"/>
      <c r="H627" s="39"/>
    </row>
    <row r="628" customFormat="false" ht="15" hidden="false" customHeight="false" outlineLevel="0" collapsed="false">
      <c r="A628" s="39"/>
      <c r="B628" s="44" t="str">
        <f aca="false">IF($A628="","",IFERROR(INDEX('Suivi EPP'!$B$6:$B$505,MATCH($A628,'Suivi EPP'!$A$6:$A$505,0))&amp;" "&amp;INDEX('Suivi EPP'!$C$6:$C$505,MATCH($A628,'Suivi EPP'!$A$6:$A$505,0)),"Matricule inconnu"))</f>
        <v/>
      </c>
      <c r="C628" s="40"/>
      <c r="D628" s="39"/>
      <c r="E628" s="39"/>
      <c r="F628" s="39"/>
      <c r="G628" s="39"/>
      <c r="H628" s="39"/>
    </row>
    <row r="629" customFormat="false" ht="15" hidden="false" customHeight="false" outlineLevel="0" collapsed="false">
      <c r="A629" s="39"/>
      <c r="B629" s="44" t="str">
        <f aca="false">IF($A629="","",IFERROR(INDEX('Suivi EPP'!$B$6:$B$505,MATCH($A629,'Suivi EPP'!$A$6:$A$505,0))&amp;" "&amp;INDEX('Suivi EPP'!$C$6:$C$505,MATCH($A629,'Suivi EPP'!$A$6:$A$505,0)),"Matricule inconnu"))</f>
        <v/>
      </c>
      <c r="C629" s="40"/>
      <c r="D629" s="39"/>
      <c r="E629" s="39"/>
      <c r="F629" s="39"/>
      <c r="G629" s="39"/>
      <c r="H629" s="39"/>
    </row>
    <row r="630" customFormat="false" ht="15" hidden="false" customHeight="false" outlineLevel="0" collapsed="false">
      <c r="A630" s="39"/>
      <c r="B630" s="44" t="str">
        <f aca="false">IF($A630="","",IFERROR(INDEX('Suivi EPP'!$B$6:$B$505,MATCH($A630,'Suivi EPP'!$A$6:$A$505,0))&amp;" "&amp;INDEX('Suivi EPP'!$C$6:$C$505,MATCH($A630,'Suivi EPP'!$A$6:$A$505,0)),"Matricule inconnu"))</f>
        <v/>
      </c>
      <c r="C630" s="40"/>
      <c r="D630" s="39"/>
      <c r="E630" s="39"/>
      <c r="F630" s="39"/>
      <c r="G630" s="39"/>
      <c r="H630" s="39"/>
    </row>
    <row r="631" customFormat="false" ht="15" hidden="false" customHeight="false" outlineLevel="0" collapsed="false">
      <c r="A631" s="39"/>
      <c r="B631" s="44" t="str">
        <f aca="false">IF($A631="","",IFERROR(INDEX('Suivi EPP'!$B$6:$B$505,MATCH($A631,'Suivi EPP'!$A$6:$A$505,0))&amp;" "&amp;INDEX('Suivi EPP'!$C$6:$C$505,MATCH($A631,'Suivi EPP'!$A$6:$A$505,0)),"Matricule inconnu"))</f>
        <v/>
      </c>
      <c r="C631" s="40"/>
      <c r="D631" s="39"/>
      <c r="E631" s="39"/>
      <c r="F631" s="39"/>
      <c r="G631" s="39"/>
      <c r="H631" s="39"/>
    </row>
    <row r="632" customFormat="false" ht="15" hidden="false" customHeight="false" outlineLevel="0" collapsed="false">
      <c r="A632" s="39"/>
      <c r="B632" s="44" t="str">
        <f aca="false">IF($A632="","",IFERROR(INDEX('Suivi EPP'!$B$6:$B$505,MATCH($A632,'Suivi EPP'!$A$6:$A$505,0))&amp;" "&amp;INDEX('Suivi EPP'!$C$6:$C$505,MATCH($A632,'Suivi EPP'!$A$6:$A$505,0)),"Matricule inconnu"))</f>
        <v/>
      </c>
      <c r="C632" s="40"/>
      <c r="D632" s="39"/>
      <c r="E632" s="39"/>
      <c r="F632" s="39"/>
      <c r="G632" s="39"/>
      <c r="H632" s="39"/>
    </row>
    <row r="633" customFormat="false" ht="15" hidden="false" customHeight="false" outlineLevel="0" collapsed="false">
      <c r="A633" s="39"/>
      <c r="B633" s="44" t="str">
        <f aca="false">IF($A633="","",IFERROR(INDEX('Suivi EPP'!$B$6:$B$505,MATCH($A633,'Suivi EPP'!$A$6:$A$505,0))&amp;" "&amp;INDEX('Suivi EPP'!$C$6:$C$505,MATCH($A633,'Suivi EPP'!$A$6:$A$505,0)),"Matricule inconnu"))</f>
        <v/>
      </c>
      <c r="C633" s="40"/>
      <c r="D633" s="39"/>
      <c r="E633" s="39"/>
      <c r="F633" s="39"/>
      <c r="G633" s="39"/>
      <c r="H633" s="39"/>
    </row>
    <row r="634" customFormat="false" ht="15" hidden="false" customHeight="false" outlineLevel="0" collapsed="false">
      <c r="A634" s="39"/>
      <c r="B634" s="44" t="str">
        <f aca="false">IF($A634="","",IFERROR(INDEX('Suivi EPP'!$B$6:$B$505,MATCH($A634,'Suivi EPP'!$A$6:$A$505,0))&amp;" "&amp;INDEX('Suivi EPP'!$C$6:$C$505,MATCH($A634,'Suivi EPP'!$A$6:$A$505,0)),"Matricule inconnu"))</f>
        <v/>
      </c>
      <c r="C634" s="40"/>
      <c r="D634" s="39"/>
      <c r="E634" s="39"/>
      <c r="F634" s="39"/>
      <c r="G634" s="39"/>
      <c r="H634" s="39"/>
    </row>
    <row r="635" customFormat="false" ht="15" hidden="false" customHeight="false" outlineLevel="0" collapsed="false">
      <c r="A635" s="39"/>
      <c r="B635" s="44" t="str">
        <f aca="false">IF($A635="","",IFERROR(INDEX('Suivi EPP'!$B$6:$B$505,MATCH($A635,'Suivi EPP'!$A$6:$A$505,0))&amp;" "&amp;INDEX('Suivi EPP'!$C$6:$C$505,MATCH($A635,'Suivi EPP'!$A$6:$A$505,0)),"Matricule inconnu"))</f>
        <v/>
      </c>
      <c r="C635" s="40"/>
      <c r="D635" s="39"/>
      <c r="E635" s="39"/>
      <c r="F635" s="39"/>
      <c r="G635" s="39"/>
      <c r="H635" s="39"/>
    </row>
    <row r="636" customFormat="false" ht="15" hidden="false" customHeight="false" outlineLevel="0" collapsed="false">
      <c r="A636" s="39"/>
      <c r="B636" s="44" t="str">
        <f aca="false">IF($A636="","",IFERROR(INDEX('Suivi EPP'!$B$6:$B$505,MATCH($A636,'Suivi EPP'!$A$6:$A$505,0))&amp;" "&amp;INDEX('Suivi EPP'!$C$6:$C$505,MATCH($A636,'Suivi EPP'!$A$6:$A$505,0)),"Matricule inconnu"))</f>
        <v/>
      </c>
      <c r="C636" s="40"/>
      <c r="D636" s="39"/>
      <c r="E636" s="39"/>
      <c r="F636" s="39"/>
      <c r="G636" s="39"/>
      <c r="H636" s="39"/>
    </row>
    <row r="637" customFormat="false" ht="15" hidden="false" customHeight="false" outlineLevel="0" collapsed="false">
      <c r="A637" s="39"/>
      <c r="B637" s="44" t="str">
        <f aca="false">IF($A637="","",IFERROR(INDEX('Suivi EPP'!$B$6:$B$505,MATCH($A637,'Suivi EPP'!$A$6:$A$505,0))&amp;" "&amp;INDEX('Suivi EPP'!$C$6:$C$505,MATCH($A637,'Suivi EPP'!$A$6:$A$505,0)),"Matricule inconnu"))</f>
        <v/>
      </c>
      <c r="C637" s="40"/>
      <c r="D637" s="39"/>
      <c r="E637" s="39"/>
      <c r="F637" s="39"/>
      <c r="G637" s="39"/>
      <c r="H637" s="39"/>
    </row>
    <row r="638" customFormat="false" ht="15" hidden="false" customHeight="false" outlineLevel="0" collapsed="false">
      <c r="A638" s="39"/>
      <c r="B638" s="44" t="str">
        <f aca="false">IF($A638="","",IFERROR(INDEX('Suivi EPP'!$B$6:$B$505,MATCH($A638,'Suivi EPP'!$A$6:$A$505,0))&amp;" "&amp;INDEX('Suivi EPP'!$C$6:$C$505,MATCH($A638,'Suivi EPP'!$A$6:$A$505,0)),"Matricule inconnu"))</f>
        <v/>
      </c>
      <c r="C638" s="40"/>
      <c r="D638" s="39"/>
      <c r="E638" s="39"/>
      <c r="F638" s="39"/>
      <c r="G638" s="39"/>
      <c r="H638" s="39"/>
    </row>
    <row r="639" customFormat="false" ht="15" hidden="false" customHeight="false" outlineLevel="0" collapsed="false">
      <c r="A639" s="39"/>
      <c r="B639" s="44" t="str">
        <f aca="false">IF($A639="","",IFERROR(INDEX('Suivi EPP'!$B$6:$B$505,MATCH($A639,'Suivi EPP'!$A$6:$A$505,0))&amp;" "&amp;INDEX('Suivi EPP'!$C$6:$C$505,MATCH($A639,'Suivi EPP'!$A$6:$A$505,0)),"Matricule inconnu"))</f>
        <v/>
      </c>
      <c r="C639" s="40"/>
      <c r="D639" s="39"/>
      <c r="E639" s="39"/>
      <c r="F639" s="39"/>
      <c r="G639" s="39"/>
      <c r="H639" s="39"/>
    </row>
    <row r="640" customFormat="false" ht="15" hidden="false" customHeight="false" outlineLevel="0" collapsed="false">
      <c r="A640" s="39"/>
      <c r="B640" s="44" t="str">
        <f aca="false">IF($A640="","",IFERROR(INDEX('Suivi EPP'!$B$6:$B$505,MATCH($A640,'Suivi EPP'!$A$6:$A$505,0))&amp;" "&amp;INDEX('Suivi EPP'!$C$6:$C$505,MATCH($A640,'Suivi EPP'!$A$6:$A$505,0)),"Matricule inconnu"))</f>
        <v/>
      </c>
      <c r="C640" s="40"/>
      <c r="D640" s="39"/>
      <c r="E640" s="39"/>
      <c r="F640" s="39"/>
      <c r="G640" s="39"/>
      <c r="H640" s="39"/>
    </row>
    <row r="641" customFormat="false" ht="15" hidden="false" customHeight="false" outlineLevel="0" collapsed="false">
      <c r="A641" s="39"/>
      <c r="B641" s="44" t="str">
        <f aca="false">IF($A641="","",IFERROR(INDEX('Suivi EPP'!$B$6:$B$505,MATCH($A641,'Suivi EPP'!$A$6:$A$505,0))&amp;" "&amp;INDEX('Suivi EPP'!$C$6:$C$505,MATCH($A641,'Suivi EPP'!$A$6:$A$505,0)),"Matricule inconnu"))</f>
        <v/>
      </c>
      <c r="C641" s="40"/>
      <c r="D641" s="39"/>
      <c r="E641" s="39"/>
      <c r="F641" s="39"/>
      <c r="G641" s="39"/>
      <c r="H641" s="39"/>
    </row>
    <row r="642" customFormat="false" ht="15" hidden="false" customHeight="false" outlineLevel="0" collapsed="false">
      <c r="A642" s="39"/>
      <c r="B642" s="44" t="str">
        <f aca="false">IF($A642="","",IFERROR(INDEX('Suivi EPP'!$B$6:$B$505,MATCH($A642,'Suivi EPP'!$A$6:$A$505,0))&amp;" "&amp;INDEX('Suivi EPP'!$C$6:$C$505,MATCH($A642,'Suivi EPP'!$A$6:$A$505,0)),"Matricule inconnu"))</f>
        <v/>
      </c>
      <c r="C642" s="40"/>
      <c r="D642" s="39"/>
      <c r="E642" s="39"/>
      <c r="F642" s="39"/>
      <c r="G642" s="39"/>
      <c r="H642" s="39"/>
    </row>
    <row r="643" customFormat="false" ht="15" hidden="false" customHeight="false" outlineLevel="0" collapsed="false">
      <c r="A643" s="39"/>
      <c r="B643" s="44" t="str">
        <f aca="false">IF($A643="","",IFERROR(INDEX('Suivi EPP'!$B$6:$B$505,MATCH($A643,'Suivi EPP'!$A$6:$A$505,0))&amp;" "&amp;INDEX('Suivi EPP'!$C$6:$C$505,MATCH($A643,'Suivi EPP'!$A$6:$A$505,0)),"Matricule inconnu"))</f>
        <v/>
      </c>
      <c r="C643" s="40"/>
      <c r="D643" s="39"/>
      <c r="E643" s="39"/>
      <c r="F643" s="39"/>
      <c r="G643" s="39"/>
      <c r="H643" s="39"/>
    </row>
    <row r="644" customFormat="false" ht="15" hidden="false" customHeight="false" outlineLevel="0" collapsed="false">
      <c r="A644" s="39"/>
      <c r="B644" s="44" t="str">
        <f aca="false">IF($A644="","",IFERROR(INDEX('Suivi EPP'!$B$6:$B$505,MATCH($A644,'Suivi EPP'!$A$6:$A$505,0))&amp;" "&amp;INDEX('Suivi EPP'!$C$6:$C$505,MATCH($A644,'Suivi EPP'!$A$6:$A$505,0)),"Matricule inconnu"))</f>
        <v/>
      </c>
      <c r="C644" s="40"/>
      <c r="D644" s="39"/>
      <c r="E644" s="39"/>
      <c r="F644" s="39"/>
      <c r="G644" s="39"/>
      <c r="H644" s="39"/>
    </row>
    <row r="645" customFormat="false" ht="15" hidden="false" customHeight="false" outlineLevel="0" collapsed="false">
      <c r="A645" s="39"/>
      <c r="B645" s="44" t="str">
        <f aca="false">IF($A645="","",IFERROR(INDEX('Suivi EPP'!$B$6:$B$505,MATCH($A645,'Suivi EPP'!$A$6:$A$505,0))&amp;" "&amp;INDEX('Suivi EPP'!$C$6:$C$505,MATCH($A645,'Suivi EPP'!$A$6:$A$505,0)),"Matricule inconnu"))</f>
        <v/>
      </c>
      <c r="C645" s="40"/>
      <c r="D645" s="39"/>
      <c r="E645" s="39"/>
      <c r="F645" s="39"/>
      <c r="G645" s="39"/>
      <c r="H645" s="39"/>
    </row>
    <row r="646" customFormat="false" ht="15" hidden="false" customHeight="false" outlineLevel="0" collapsed="false">
      <c r="A646" s="39"/>
      <c r="B646" s="44" t="str">
        <f aca="false">IF($A646="","",IFERROR(INDEX('Suivi EPP'!$B$6:$B$505,MATCH($A646,'Suivi EPP'!$A$6:$A$505,0))&amp;" "&amp;INDEX('Suivi EPP'!$C$6:$C$505,MATCH($A646,'Suivi EPP'!$A$6:$A$505,0)),"Matricule inconnu"))</f>
        <v/>
      </c>
      <c r="C646" s="40"/>
      <c r="D646" s="39"/>
      <c r="E646" s="39"/>
      <c r="F646" s="39"/>
      <c r="G646" s="39"/>
      <c r="H646" s="39"/>
    </row>
    <row r="647" customFormat="false" ht="15" hidden="false" customHeight="false" outlineLevel="0" collapsed="false">
      <c r="A647" s="39"/>
      <c r="B647" s="44" t="str">
        <f aca="false">IF($A647="","",IFERROR(INDEX('Suivi EPP'!$B$6:$B$505,MATCH($A647,'Suivi EPP'!$A$6:$A$505,0))&amp;" "&amp;INDEX('Suivi EPP'!$C$6:$C$505,MATCH($A647,'Suivi EPP'!$A$6:$A$505,0)),"Matricule inconnu"))</f>
        <v/>
      </c>
      <c r="C647" s="40"/>
      <c r="D647" s="39"/>
      <c r="E647" s="39"/>
      <c r="F647" s="39"/>
      <c r="G647" s="39"/>
      <c r="H647" s="39"/>
    </row>
    <row r="648" customFormat="false" ht="15" hidden="false" customHeight="false" outlineLevel="0" collapsed="false">
      <c r="A648" s="39"/>
      <c r="B648" s="44" t="str">
        <f aca="false">IF($A648="","",IFERROR(INDEX('Suivi EPP'!$B$6:$B$505,MATCH($A648,'Suivi EPP'!$A$6:$A$505,0))&amp;" "&amp;INDEX('Suivi EPP'!$C$6:$C$505,MATCH($A648,'Suivi EPP'!$A$6:$A$505,0)),"Matricule inconnu"))</f>
        <v/>
      </c>
      <c r="C648" s="40"/>
      <c r="D648" s="39"/>
      <c r="E648" s="39"/>
      <c r="F648" s="39"/>
      <c r="G648" s="39"/>
      <c r="H648" s="39"/>
    </row>
    <row r="649" customFormat="false" ht="15" hidden="false" customHeight="false" outlineLevel="0" collapsed="false">
      <c r="A649" s="39"/>
      <c r="B649" s="44" t="str">
        <f aca="false">IF($A649="","",IFERROR(INDEX('Suivi EPP'!$B$6:$B$505,MATCH($A649,'Suivi EPP'!$A$6:$A$505,0))&amp;" "&amp;INDEX('Suivi EPP'!$C$6:$C$505,MATCH($A649,'Suivi EPP'!$A$6:$A$505,0)),"Matricule inconnu"))</f>
        <v/>
      </c>
      <c r="C649" s="40"/>
      <c r="D649" s="39"/>
      <c r="E649" s="39"/>
      <c r="F649" s="39"/>
      <c r="G649" s="39"/>
      <c r="H649" s="39"/>
    </row>
    <row r="650" customFormat="false" ht="15" hidden="false" customHeight="false" outlineLevel="0" collapsed="false">
      <c r="A650" s="39"/>
      <c r="B650" s="44" t="str">
        <f aca="false">IF($A650="","",IFERROR(INDEX('Suivi EPP'!$B$6:$B$505,MATCH($A650,'Suivi EPP'!$A$6:$A$505,0))&amp;" "&amp;INDEX('Suivi EPP'!$C$6:$C$505,MATCH($A650,'Suivi EPP'!$A$6:$A$505,0)),"Matricule inconnu"))</f>
        <v/>
      </c>
      <c r="C650" s="40"/>
      <c r="D650" s="39"/>
      <c r="E650" s="39"/>
      <c r="F650" s="39"/>
      <c r="G650" s="39"/>
      <c r="H650" s="39"/>
    </row>
    <row r="651" customFormat="false" ht="15" hidden="false" customHeight="false" outlineLevel="0" collapsed="false">
      <c r="A651" s="39"/>
      <c r="B651" s="44" t="str">
        <f aca="false">IF($A651="","",IFERROR(INDEX('Suivi EPP'!$B$6:$B$505,MATCH($A651,'Suivi EPP'!$A$6:$A$505,0))&amp;" "&amp;INDEX('Suivi EPP'!$C$6:$C$505,MATCH($A651,'Suivi EPP'!$A$6:$A$505,0)),"Matricule inconnu"))</f>
        <v/>
      </c>
      <c r="C651" s="40"/>
      <c r="D651" s="39"/>
      <c r="E651" s="39"/>
      <c r="F651" s="39"/>
      <c r="G651" s="39"/>
      <c r="H651" s="39"/>
    </row>
    <row r="652" customFormat="false" ht="15" hidden="false" customHeight="false" outlineLevel="0" collapsed="false">
      <c r="A652" s="39"/>
      <c r="B652" s="44" t="str">
        <f aca="false">IF($A652="","",IFERROR(INDEX('Suivi EPP'!$B$6:$B$505,MATCH($A652,'Suivi EPP'!$A$6:$A$505,0))&amp;" "&amp;INDEX('Suivi EPP'!$C$6:$C$505,MATCH($A652,'Suivi EPP'!$A$6:$A$505,0)),"Matricule inconnu"))</f>
        <v/>
      </c>
      <c r="C652" s="40"/>
      <c r="D652" s="39"/>
      <c r="E652" s="39"/>
      <c r="F652" s="39"/>
      <c r="G652" s="39"/>
      <c r="H652" s="39"/>
    </row>
    <row r="653" customFormat="false" ht="15" hidden="false" customHeight="false" outlineLevel="0" collapsed="false">
      <c r="A653" s="39"/>
      <c r="B653" s="44" t="str">
        <f aca="false">IF($A653="","",IFERROR(INDEX('Suivi EPP'!$B$6:$B$505,MATCH($A653,'Suivi EPP'!$A$6:$A$505,0))&amp;" "&amp;INDEX('Suivi EPP'!$C$6:$C$505,MATCH($A653,'Suivi EPP'!$A$6:$A$505,0)),"Matricule inconnu"))</f>
        <v/>
      </c>
      <c r="C653" s="40"/>
      <c r="D653" s="39"/>
      <c r="E653" s="39"/>
      <c r="F653" s="39"/>
      <c r="G653" s="39"/>
      <c r="H653" s="39"/>
    </row>
    <row r="654" customFormat="false" ht="15" hidden="false" customHeight="false" outlineLevel="0" collapsed="false">
      <c r="A654" s="39"/>
      <c r="B654" s="44" t="str">
        <f aca="false">IF($A654="","",IFERROR(INDEX('Suivi EPP'!$B$6:$B$505,MATCH($A654,'Suivi EPP'!$A$6:$A$505,0))&amp;" "&amp;INDEX('Suivi EPP'!$C$6:$C$505,MATCH($A654,'Suivi EPP'!$A$6:$A$505,0)),"Matricule inconnu"))</f>
        <v/>
      </c>
      <c r="C654" s="40"/>
      <c r="D654" s="39"/>
      <c r="E654" s="39"/>
      <c r="F654" s="39"/>
      <c r="G654" s="39"/>
      <c r="H654" s="39"/>
    </row>
    <row r="655" customFormat="false" ht="15" hidden="false" customHeight="false" outlineLevel="0" collapsed="false">
      <c r="A655" s="39"/>
      <c r="B655" s="44" t="str">
        <f aca="false">IF($A655="","",IFERROR(INDEX('Suivi EPP'!$B$6:$B$505,MATCH($A655,'Suivi EPP'!$A$6:$A$505,0))&amp;" "&amp;INDEX('Suivi EPP'!$C$6:$C$505,MATCH($A655,'Suivi EPP'!$A$6:$A$505,0)),"Matricule inconnu"))</f>
        <v/>
      </c>
      <c r="C655" s="40"/>
      <c r="D655" s="39"/>
      <c r="E655" s="39"/>
      <c r="F655" s="39"/>
      <c r="G655" s="39"/>
      <c r="H655" s="39"/>
    </row>
    <row r="656" customFormat="false" ht="15" hidden="false" customHeight="false" outlineLevel="0" collapsed="false">
      <c r="A656" s="39"/>
      <c r="B656" s="44" t="str">
        <f aca="false">IF($A656="","",IFERROR(INDEX('Suivi EPP'!$B$6:$B$505,MATCH($A656,'Suivi EPP'!$A$6:$A$505,0))&amp;" "&amp;INDEX('Suivi EPP'!$C$6:$C$505,MATCH($A656,'Suivi EPP'!$A$6:$A$505,0)),"Matricule inconnu"))</f>
        <v/>
      </c>
      <c r="C656" s="40"/>
      <c r="D656" s="39"/>
      <c r="E656" s="39"/>
      <c r="F656" s="39"/>
      <c r="G656" s="39"/>
      <c r="H656" s="39"/>
    </row>
    <row r="657" customFormat="false" ht="15" hidden="false" customHeight="false" outlineLevel="0" collapsed="false">
      <c r="A657" s="39"/>
      <c r="B657" s="44" t="str">
        <f aca="false">IF($A657="","",IFERROR(INDEX('Suivi EPP'!$B$6:$B$505,MATCH($A657,'Suivi EPP'!$A$6:$A$505,0))&amp;" "&amp;INDEX('Suivi EPP'!$C$6:$C$505,MATCH($A657,'Suivi EPP'!$A$6:$A$505,0)),"Matricule inconnu"))</f>
        <v/>
      </c>
      <c r="C657" s="40"/>
      <c r="D657" s="39"/>
      <c r="E657" s="39"/>
      <c r="F657" s="39"/>
      <c r="G657" s="39"/>
      <c r="H657" s="39"/>
    </row>
    <row r="658" customFormat="false" ht="15" hidden="false" customHeight="false" outlineLevel="0" collapsed="false">
      <c r="A658" s="39"/>
      <c r="B658" s="44" t="str">
        <f aca="false">IF($A658="","",IFERROR(INDEX('Suivi EPP'!$B$6:$B$505,MATCH($A658,'Suivi EPP'!$A$6:$A$505,0))&amp;" "&amp;INDEX('Suivi EPP'!$C$6:$C$505,MATCH($A658,'Suivi EPP'!$A$6:$A$505,0)),"Matricule inconnu"))</f>
        <v/>
      </c>
      <c r="C658" s="40"/>
      <c r="D658" s="39"/>
      <c r="E658" s="39"/>
      <c r="F658" s="39"/>
      <c r="G658" s="39"/>
      <c r="H658" s="39"/>
    </row>
    <row r="659" customFormat="false" ht="15" hidden="false" customHeight="false" outlineLevel="0" collapsed="false">
      <c r="A659" s="39"/>
      <c r="B659" s="44" t="str">
        <f aca="false">IF($A659="","",IFERROR(INDEX('Suivi EPP'!$B$6:$B$505,MATCH($A659,'Suivi EPP'!$A$6:$A$505,0))&amp;" "&amp;INDEX('Suivi EPP'!$C$6:$C$505,MATCH($A659,'Suivi EPP'!$A$6:$A$505,0)),"Matricule inconnu"))</f>
        <v/>
      </c>
      <c r="C659" s="40"/>
      <c r="D659" s="39"/>
      <c r="E659" s="39"/>
      <c r="F659" s="39"/>
      <c r="G659" s="39"/>
      <c r="H659" s="39"/>
    </row>
    <row r="660" customFormat="false" ht="15" hidden="false" customHeight="false" outlineLevel="0" collapsed="false">
      <c r="A660" s="39"/>
      <c r="B660" s="44" t="str">
        <f aca="false">IF($A660="","",IFERROR(INDEX('Suivi EPP'!$B$6:$B$505,MATCH($A660,'Suivi EPP'!$A$6:$A$505,0))&amp;" "&amp;INDEX('Suivi EPP'!$C$6:$C$505,MATCH($A660,'Suivi EPP'!$A$6:$A$505,0)),"Matricule inconnu"))</f>
        <v/>
      </c>
      <c r="C660" s="40"/>
      <c r="D660" s="39"/>
      <c r="E660" s="39"/>
      <c r="F660" s="39"/>
      <c r="G660" s="39"/>
      <c r="H660" s="39"/>
    </row>
    <row r="661" customFormat="false" ht="15" hidden="false" customHeight="false" outlineLevel="0" collapsed="false">
      <c r="A661" s="39"/>
      <c r="B661" s="44" t="str">
        <f aca="false">IF($A661="","",IFERROR(INDEX('Suivi EPP'!$B$6:$B$505,MATCH($A661,'Suivi EPP'!$A$6:$A$505,0))&amp;" "&amp;INDEX('Suivi EPP'!$C$6:$C$505,MATCH($A661,'Suivi EPP'!$A$6:$A$505,0)),"Matricule inconnu"))</f>
        <v/>
      </c>
      <c r="C661" s="40"/>
      <c r="D661" s="39"/>
      <c r="E661" s="39"/>
      <c r="F661" s="39"/>
      <c r="G661" s="39"/>
      <c r="H661" s="39"/>
    </row>
    <row r="662" customFormat="false" ht="15" hidden="false" customHeight="false" outlineLevel="0" collapsed="false">
      <c r="A662" s="39"/>
      <c r="B662" s="44" t="str">
        <f aca="false">IF($A662="","",IFERROR(INDEX('Suivi EPP'!$B$6:$B$505,MATCH($A662,'Suivi EPP'!$A$6:$A$505,0))&amp;" "&amp;INDEX('Suivi EPP'!$C$6:$C$505,MATCH($A662,'Suivi EPP'!$A$6:$A$505,0)),"Matricule inconnu"))</f>
        <v/>
      </c>
      <c r="C662" s="40"/>
      <c r="D662" s="39"/>
      <c r="E662" s="39"/>
      <c r="F662" s="39"/>
      <c r="G662" s="39"/>
      <c r="H662" s="39"/>
    </row>
    <row r="663" customFormat="false" ht="15" hidden="false" customHeight="false" outlineLevel="0" collapsed="false">
      <c r="A663" s="39"/>
      <c r="B663" s="44" t="str">
        <f aca="false">IF($A663="","",IFERROR(INDEX('Suivi EPP'!$B$6:$B$505,MATCH($A663,'Suivi EPP'!$A$6:$A$505,0))&amp;" "&amp;INDEX('Suivi EPP'!$C$6:$C$505,MATCH($A663,'Suivi EPP'!$A$6:$A$505,0)),"Matricule inconnu"))</f>
        <v/>
      </c>
      <c r="C663" s="40"/>
      <c r="D663" s="39"/>
      <c r="E663" s="39"/>
      <c r="F663" s="39"/>
      <c r="G663" s="39"/>
      <c r="H663" s="39"/>
    </row>
    <row r="664" customFormat="false" ht="15" hidden="false" customHeight="false" outlineLevel="0" collapsed="false">
      <c r="A664" s="39"/>
      <c r="B664" s="44" t="str">
        <f aca="false">IF($A664="","",IFERROR(INDEX('Suivi EPP'!$B$6:$B$505,MATCH($A664,'Suivi EPP'!$A$6:$A$505,0))&amp;" "&amp;INDEX('Suivi EPP'!$C$6:$C$505,MATCH($A664,'Suivi EPP'!$A$6:$A$505,0)),"Matricule inconnu"))</f>
        <v/>
      </c>
      <c r="C664" s="40"/>
      <c r="D664" s="39"/>
      <c r="E664" s="39"/>
      <c r="F664" s="39"/>
      <c r="G664" s="39"/>
      <c r="H664" s="39"/>
    </row>
    <row r="665" customFormat="false" ht="15" hidden="false" customHeight="false" outlineLevel="0" collapsed="false">
      <c r="A665" s="39"/>
      <c r="B665" s="44" t="str">
        <f aca="false">IF($A665="","",IFERROR(INDEX('Suivi EPP'!$B$6:$B$505,MATCH($A665,'Suivi EPP'!$A$6:$A$505,0))&amp;" "&amp;INDEX('Suivi EPP'!$C$6:$C$505,MATCH($A665,'Suivi EPP'!$A$6:$A$505,0)),"Matricule inconnu"))</f>
        <v/>
      </c>
      <c r="C665" s="40"/>
      <c r="D665" s="39"/>
      <c r="E665" s="39"/>
      <c r="F665" s="39"/>
      <c r="G665" s="39"/>
      <c r="H665" s="39"/>
    </row>
    <row r="666" customFormat="false" ht="15" hidden="false" customHeight="false" outlineLevel="0" collapsed="false">
      <c r="A666" s="39"/>
      <c r="B666" s="44" t="str">
        <f aca="false">IF($A666="","",IFERROR(INDEX('Suivi EPP'!$B$6:$B$505,MATCH($A666,'Suivi EPP'!$A$6:$A$505,0))&amp;" "&amp;INDEX('Suivi EPP'!$C$6:$C$505,MATCH($A666,'Suivi EPP'!$A$6:$A$505,0)),"Matricule inconnu"))</f>
        <v/>
      </c>
      <c r="C666" s="40"/>
      <c r="D666" s="39"/>
      <c r="E666" s="39"/>
      <c r="F666" s="39"/>
      <c r="G666" s="39"/>
      <c r="H666" s="39"/>
    </row>
    <row r="667" customFormat="false" ht="15" hidden="false" customHeight="false" outlineLevel="0" collapsed="false">
      <c r="A667" s="39"/>
      <c r="B667" s="44" t="str">
        <f aca="false">IF($A667="","",IFERROR(INDEX('Suivi EPP'!$B$6:$B$505,MATCH($A667,'Suivi EPP'!$A$6:$A$505,0))&amp;" "&amp;INDEX('Suivi EPP'!$C$6:$C$505,MATCH($A667,'Suivi EPP'!$A$6:$A$505,0)),"Matricule inconnu"))</f>
        <v/>
      </c>
      <c r="C667" s="40"/>
      <c r="D667" s="39"/>
      <c r="E667" s="39"/>
      <c r="F667" s="39"/>
      <c r="G667" s="39"/>
      <c r="H667" s="39"/>
    </row>
    <row r="668" customFormat="false" ht="15" hidden="false" customHeight="false" outlineLevel="0" collapsed="false">
      <c r="A668" s="39"/>
      <c r="B668" s="44" t="str">
        <f aca="false">IF($A668="","",IFERROR(INDEX('Suivi EPP'!$B$6:$B$505,MATCH($A668,'Suivi EPP'!$A$6:$A$505,0))&amp;" "&amp;INDEX('Suivi EPP'!$C$6:$C$505,MATCH($A668,'Suivi EPP'!$A$6:$A$505,0)),"Matricule inconnu"))</f>
        <v/>
      </c>
      <c r="C668" s="40"/>
      <c r="D668" s="39"/>
      <c r="E668" s="39"/>
      <c r="F668" s="39"/>
      <c r="G668" s="39"/>
      <c r="H668" s="39"/>
    </row>
    <row r="669" customFormat="false" ht="15" hidden="false" customHeight="false" outlineLevel="0" collapsed="false">
      <c r="A669" s="39"/>
      <c r="B669" s="44" t="str">
        <f aca="false">IF($A669="","",IFERROR(INDEX('Suivi EPP'!$B$6:$B$505,MATCH($A669,'Suivi EPP'!$A$6:$A$505,0))&amp;" "&amp;INDEX('Suivi EPP'!$C$6:$C$505,MATCH($A669,'Suivi EPP'!$A$6:$A$505,0)),"Matricule inconnu"))</f>
        <v/>
      </c>
      <c r="C669" s="40"/>
      <c r="D669" s="39"/>
      <c r="E669" s="39"/>
      <c r="F669" s="39"/>
      <c r="G669" s="39"/>
      <c r="H669" s="39"/>
    </row>
    <row r="670" customFormat="false" ht="15" hidden="false" customHeight="false" outlineLevel="0" collapsed="false">
      <c r="A670" s="39"/>
      <c r="B670" s="44" t="str">
        <f aca="false">IF($A670="","",IFERROR(INDEX('Suivi EPP'!$B$6:$B$505,MATCH($A670,'Suivi EPP'!$A$6:$A$505,0))&amp;" "&amp;INDEX('Suivi EPP'!$C$6:$C$505,MATCH($A670,'Suivi EPP'!$A$6:$A$505,0)),"Matricule inconnu"))</f>
        <v/>
      </c>
      <c r="C670" s="40"/>
      <c r="D670" s="39"/>
      <c r="E670" s="39"/>
      <c r="F670" s="39"/>
      <c r="G670" s="39"/>
      <c r="H670" s="39"/>
    </row>
    <row r="671" customFormat="false" ht="15" hidden="false" customHeight="false" outlineLevel="0" collapsed="false">
      <c r="A671" s="39"/>
      <c r="B671" s="44" t="str">
        <f aca="false">IF($A671="","",IFERROR(INDEX('Suivi EPP'!$B$6:$B$505,MATCH($A671,'Suivi EPP'!$A$6:$A$505,0))&amp;" "&amp;INDEX('Suivi EPP'!$C$6:$C$505,MATCH($A671,'Suivi EPP'!$A$6:$A$505,0)),"Matricule inconnu"))</f>
        <v/>
      </c>
      <c r="C671" s="40"/>
      <c r="D671" s="39"/>
      <c r="E671" s="39"/>
      <c r="F671" s="39"/>
      <c r="G671" s="39"/>
      <c r="H671" s="39"/>
    </row>
    <row r="672" customFormat="false" ht="15" hidden="false" customHeight="false" outlineLevel="0" collapsed="false">
      <c r="A672" s="39"/>
      <c r="B672" s="44" t="str">
        <f aca="false">IF($A672="","",IFERROR(INDEX('Suivi EPP'!$B$6:$B$505,MATCH($A672,'Suivi EPP'!$A$6:$A$505,0))&amp;" "&amp;INDEX('Suivi EPP'!$C$6:$C$505,MATCH($A672,'Suivi EPP'!$A$6:$A$505,0)),"Matricule inconnu"))</f>
        <v/>
      </c>
      <c r="C672" s="40"/>
      <c r="D672" s="39"/>
      <c r="E672" s="39"/>
      <c r="F672" s="39"/>
      <c r="G672" s="39"/>
      <c r="H672" s="39"/>
    </row>
    <row r="673" customFormat="false" ht="15" hidden="false" customHeight="false" outlineLevel="0" collapsed="false">
      <c r="A673" s="39"/>
      <c r="B673" s="44" t="str">
        <f aca="false">IF($A673="","",IFERROR(INDEX('Suivi EPP'!$B$6:$B$505,MATCH($A673,'Suivi EPP'!$A$6:$A$505,0))&amp;" "&amp;INDEX('Suivi EPP'!$C$6:$C$505,MATCH($A673,'Suivi EPP'!$A$6:$A$505,0)),"Matricule inconnu"))</f>
        <v/>
      </c>
      <c r="C673" s="40"/>
      <c r="D673" s="39"/>
      <c r="E673" s="39"/>
      <c r="F673" s="39"/>
      <c r="G673" s="39"/>
      <c r="H673" s="39"/>
    </row>
    <row r="674" customFormat="false" ht="15" hidden="false" customHeight="false" outlineLevel="0" collapsed="false">
      <c r="A674" s="39"/>
      <c r="B674" s="44" t="str">
        <f aca="false">IF($A674="","",IFERROR(INDEX('Suivi EPP'!$B$6:$B$505,MATCH($A674,'Suivi EPP'!$A$6:$A$505,0))&amp;" "&amp;INDEX('Suivi EPP'!$C$6:$C$505,MATCH($A674,'Suivi EPP'!$A$6:$A$505,0)),"Matricule inconnu"))</f>
        <v/>
      </c>
      <c r="C674" s="40"/>
      <c r="D674" s="39"/>
      <c r="E674" s="39"/>
      <c r="F674" s="39"/>
      <c r="G674" s="39"/>
      <c r="H674" s="39"/>
    </row>
    <row r="675" customFormat="false" ht="15" hidden="false" customHeight="false" outlineLevel="0" collapsed="false">
      <c r="A675" s="39"/>
      <c r="B675" s="44" t="str">
        <f aca="false">IF($A675="","",IFERROR(INDEX('Suivi EPP'!$B$6:$B$505,MATCH($A675,'Suivi EPP'!$A$6:$A$505,0))&amp;" "&amp;INDEX('Suivi EPP'!$C$6:$C$505,MATCH($A675,'Suivi EPP'!$A$6:$A$505,0)),"Matricule inconnu"))</f>
        <v/>
      </c>
      <c r="C675" s="40"/>
      <c r="D675" s="39"/>
      <c r="E675" s="39"/>
      <c r="F675" s="39"/>
      <c r="G675" s="39"/>
      <c r="H675" s="39"/>
    </row>
    <row r="676" customFormat="false" ht="15" hidden="false" customHeight="false" outlineLevel="0" collapsed="false">
      <c r="A676" s="39"/>
      <c r="B676" s="44" t="str">
        <f aca="false">IF($A676="","",IFERROR(INDEX('Suivi EPP'!$B$6:$B$505,MATCH($A676,'Suivi EPP'!$A$6:$A$505,0))&amp;" "&amp;INDEX('Suivi EPP'!$C$6:$C$505,MATCH($A676,'Suivi EPP'!$A$6:$A$505,0)),"Matricule inconnu"))</f>
        <v/>
      </c>
      <c r="C676" s="40"/>
      <c r="D676" s="39"/>
      <c r="E676" s="39"/>
      <c r="F676" s="39"/>
      <c r="G676" s="39"/>
      <c r="H676" s="39"/>
    </row>
    <row r="677" customFormat="false" ht="15" hidden="false" customHeight="false" outlineLevel="0" collapsed="false">
      <c r="A677" s="39"/>
      <c r="B677" s="44" t="str">
        <f aca="false">IF($A677="","",IFERROR(INDEX('Suivi EPP'!$B$6:$B$505,MATCH($A677,'Suivi EPP'!$A$6:$A$505,0))&amp;" "&amp;INDEX('Suivi EPP'!$C$6:$C$505,MATCH($A677,'Suivi EPP'!$A$6:$A$505,0)),"Matricule inconnu"))</f>
        <v/>
      </c>
      <c r="C677" s="40"/>
      <c r="D677" s="39"/>
      <c r="E677" s="39"/>
      <c r="F677" s="39"/>
      <c r="G677" s="39"/>
      <c r="H677" s="39"/>
    </row>
    <row r="678" customFormat="false" ht="15" hidden="false" customHeight="false" outlineLevel="0" collapsed="false">
      <c r="A678" s="39"/>
      <c r="B678" s="44" t="str">
        <f aca="false">IF($A678="","",IFERROR(INDEX('Suivi EPP'!$B$6:$B$505,MATCH($A678,'Suivi EPP'!$A$6:$A$505,0))&amp;" "&amp;INDEX('Suivi EPP'!$C$6:$C$505,MATCH($A678,'Suivi EPP'!$A$6:$A$505,0)),"Matricule inconnu"))</f>
        <v/>
      </c>
      <c r="C678" s="40"/>
      <c r="D678" s="39"/>
      <c r="E678" s="39"/>
      <c r="F678" s="39"/>
      <c r="G678" s="39"/>
      <c r="H678" s="39"/>
    </row>
    <row r="679" customFormat="false" ht="15" hidden="false" customHeight="false" outlineLevel="0" collapsed="false">
      <c r="A679" s="39"/>
      <c r="B679" s="44" t="str">
        <f aca="false">IF($A679="","",IFERROR(INDEX('Suivi EPP'!$B$6:$B$505,MATCH($A679,'Suivi EPP'!$A$6:$A$505,0))&amp;" "&amp;INDEX('Suivi EPP'!$C$6:$C$505,MATCH($A679,'Suivi EPP'!$A$6:$A$505,0)),"Matricule inconnu"))</f>
        <v/>
      </c>
      <c r="C679" s="40"/>
      <c r="D679" s="39"/>
      <c r="E679" s="39"/>
      <c r="F679" s="39"/>
      <c r="G679" s="39"/>
      <c r="H679" s="39"/>
    </row>
    <row r="680" customFormat="false" ht="15" hidden="false" customHeight="false" outlineLevel="0" collapsed="false">
      <c r="A680" s="39"/>
      <c r="B680" s="44" t="str">
        <f aca="false">IF($A680="","",IFERROR(INDEX('Suivi EPP'!$B$6:$B$505,MATCH($A680,'Suivi EPP'!$A$6:$A$505,0))&amp;" "&amp;INDEX('Suivi EPP'!$C$6:$C$505,MATCH($A680,'Suivi EPP'!$A$6:$A$505,0)),"Matricule inconnu"))</f>
        <v/>
      </c>
      <c r="C680" s="40"/>
      <c r="D680" s="39"/>
      <c r="E680" s="39"/>
      <c r="F680" s="39"/>
      <c r="G680" s="39"/>
      <c r="H680" s="39"/>
    </row>
    <row r="681" customFormat="false" ht="15" hidden="false" customHeight="false" outlineLevel="0" collapsed="false">
      <c r="A681" s="39"/>
      <c r="B681" s="44" t="str">
        <f aca="false">IF($A681="","",IFERROR(INDEX('Suivi EPP'!$B$6:$B$505,MATCH($A681,'Suivi EPP'!$A$6:$A$505,0))&amp;" "&amp;INDEX('Suivi EPP'!$C$6:$C$505,MATCH($A681,'Suivi EPP'!$A$6:$A$505,0)),"Matricule inconnu"))</f>
        <v/>
      </c>
      <c r="C681" s="40"/>
      <c r="D681" s="39"/>
      <c r="E681" s="39"/>
      <c r="F681" s="39"/>
      <c r="G681" s="39"/>
      <c r="H681" s="39"/>
    </row>
    <row r="682" customFormat="false" ht="15" hidden="false" customHeight="false" outlineLevel="0" collapsed="false">
      <c r="A682" s="39"/>
      <c r="B682" s="44" t="str">
        <f aca="false">IF($A682="","",IFERROR(INDEX('Suivi EPP'!$B$6:$B$505,MATCH($A682,'Suivi EPP'!$A$6:$A$505,0))&amp;" "&amp;INDEX('Suivi EPP'!$C$6:$C$505,MATCH($A682,'Suivi EPP'!$A$6:$A$505,0)),"Matricule inconnu"))</f>
        <v/>
      </c>
      <c r="C682" s="40"/>
      <c r="D682" s="39"/>
      <c r="E682" s="39"/>
      <c r="F682" s="39"/>
      <c r="G682" s="39"/>
      <c r="H682" s="39"/>
    </row>
    <row r="683" customFormat="false" ht="15" hidden="false" customHeight="false" outlineLevel="0" collapsed="false">
      <c r="A683" s="39"/>
      <c r="B683" s="44" t="str">
        <f aca="false">IF($A683="","",IFERROR(INDEX('Suivi EPP'!$B$6:$B$505,MATCH($A683,'Suivi EPP'!$A$6:$A$505,0))&amp;" "&amp;INDEX('Suivi EPP'!$C$6:$C$505,MATCH($A683,'Suivi EPP'!$A$6:$A$505,0)),"Matricule inconnu"))</f>
        <v/>
      </c>
      <c r="C683" s="40"/>
      <c r="D683" s="39"/>
      <c r="E683" s="39"/>
      <c r="F683" s="39"/>
      <c r="G683" s="39"/>
      <c r="H683" s="39"/>
    </row>
    <row r="684" customFormat="false" ht="15" hidden="false" customHeight="false" outlineLevel="0" collapsed="false">
      <c r="A684" s="39"/>
      <c r="B684" s="44" t="str">
        <f aca="false">IF($A684="","",IFERROR(INDEX('Suivi EPP'!$B$6:$B$505,MATCH($A684,'Suivi EPP'!$A$6:$A$505,0))&amp;" "&amp;INDEX('Suivi EPP'!$C$6:$C$505,MATCH($A684,'Suivi EPP'!$A$6:$A$505,0)),"Matricule inconnu"))</f>
        <v/>
      </c>
      <c r="C684" s="40"/>
      <c r="D684" s="39"/>
      <c r="E684" s="39"/>
      <c r="F684" s="39"/>
      <c r="G684" s="39"/>
      <c r="H684" s="39"/>
    </row>
    <row r="685" customFormat="false" ht="15" hidden="false" customHeight="false" outlineLevel="0" collapsed="false">
      <c r="A685" s="39"/>
      <c r="B685" s="44" t="str">
        <f aca="false">IF($A685="","",IFERROR(INDEX('Suivi EPP'!$B$6:$B$505,MATCH($A685,'Suivi EPP'!$A$6:$A$505,0))&amp;" "&amp;INDEX('Suivi EPP'!$C$6:$C$505,MATCH($A685,'Suivi EPP'!$A$6:$A$505,0)),"Matricule inconnu"))</f>
        <v/>
      </c>
      <c r="C685" s="40"/>
      <c r="D685" s="39"/>
      <c r="E685" s="39"/>
      <c r="F685" s="39"/>
      <c r="G685" s="39"/>
      <c r="H685" s="39"/>
    </row>
    <row r="686" customFormat="false" ht="15" hidden="false" customHeight="false" outlineLevel="0" collapsed="false">
      <c r="A686" s="39"/>
      <c r="B686" s="44" t="str">
        <f aca="false">IF($A686="","",IFERROR(INDEX('Suivi EPP'!$B$6:$B$505,MATCH($A686,'Suivi EPP'!$A$6:$A$505,0))&amp;" "&amp;INDEX('Suivi EPP'!$C$6:$C$505,MATCH($A686,'Suivi EPP'!$A$6:$A$505,0)),"Matricule inconnu"))</f>
        <v/>
      </c>
      <c r="C686" s="40"/>
      <c r="D686" s="39"/>
      <c r="E686" s="39"/>
      <c r="F686" s="39"/>
      <c r="G686" s="39"/>
      <c r="H686" s="39"/>
    </row>
    <row r="687" customFormat="false" ht="15" hidden="false" customHeight="false" outlineLevel="0" collapsed="false">
      <c r="A687" s="39"/>
      <c r="B687" s="44" t="str">
        <f aca="false">IF($A687="","",IFERROR(INDEX('Suivi EPP'!$B$6:$B$505,MATCH($A687,'Suivi EPP'!$A$6:$A$505,0))&amp;" "&amp;INDEX('Suivi EPP'!$C$6:$C$505,MATCH($A687,'Suivi EPP'!$A$6:$A$505,0)),"Matricule inconnu"))</f>
        <v/>
      </c>
      <c r="C687" s="40"/>
      <c r="D687" s="39"/>
      <c r="E687" s="39"/>
      <c r="F687" s="39"/>
      <c r="G687" s="39"/>
      <c r="H687" s="39"/>
    </row>
    <row r="688" customFormat="false" ht="15" hidden="false" customHeight="false" outlineLevel="0" collapsed="false">
      <c r="A688" s="39"/>
      <c r="B688" s="44" t="str">
        <f aca="false">IF($A688="","",IFERROR(INDEX('Suivi EPP'!$B$6:$B$505,MATCH($A688,'Suivi EPP'!$A$6:$A$505,0))&amp;" "&amp;INDEX('Suivi EPP'!$C$6:$C$505,MATCH($A688,'Suivi EPP'!$A$6:$A$505,0)),"Matricule inconnu"))</f>
        <v/>
      </c>
      <c r="C688" s="40"/>
      <c r="D688" s="39"/>
      <c r="E688" s="39"/>
      <c r="F688" s="39"/>
      <c r="G688" s="39"/>
      <c r="H688" s="39"/>
    </row>
    <row r="689" customFormat="false" ht="15" hidden="false" customHeight="false" outlineLevel="0" collapsed="false">
      <c r="A689" s="39"/>
      <c r="B689" s="44" t="str">
        <f aca="false">IF($A689="","",IFERROR(INDEX('Suivi EPP'!$B$6:$B$505,MATCH($A689,'Suivi EPP'!$A$6:$A$505,0))&amp;" "&amp;INDEX('Suivi EPP'!$C$6:$C$505,MATCH($A689,'Suivi EPP'!$A$6:$A$505,0)),"Matricule inconnu"))</f>
        <v/>
      </c>
      <c r="C689" s="40"/>
      <c r="D689" s="39"/>
      <c r="E689" s="39"/>
      <c r="F689" s="39"/>
      <c r="G689" s="39"/>
      <c r="H689" s="39"/>
    </row>
    <row r="690" customFormat="false" ht="15" hidden="false" customHeight="false" outlineLevel="0" collapsed="false">
      <c r="A690" s="39"/>
      <c r="B690" s="44" t="str">
        <f aca="false">IF($A690="","",IFERROR(INDEX('Suivi EPP'!$B$6:$B$505,MATCH($A690,'Suivi EPP'!$A$6:$A$505,0))&amp;" "&amp;INDEX('Suivi EPP'!$C$6:$C$505,MATCH($A690,'Suivi EPP'!$A$6:$A$505,0)),"Matricule inconnu"))</f>
        <v/>
      </c>
      <c r="C690" s="40"/>
      <c r="D690" s="39"/>
      <c r="E690" s="39"/>
      <c r="F690" s="39"/>
      <c r="G690" s="39"/>
      <c r="H690" s="39"/>
    </row>
    <row r="691" customFormat="false" ht="15" hidden="false" customHeight="false" outlineLevel="0" collapsed="false">
      <c r="A691" s="39"/>
      <c r="B691" s="44" t="str">
        <f aca="false">IF($A691="","",IFERROR(INDEX('Suivi EPP'!$B$6:$B$505,MATCH($A691,'Suivi EPP'!$A$6:$A$505,0))&amp;" "&amp;INDEX('Suivi EPP'!$C$6:$C$505,MATCH($A691,'Suivi EPP'!$A$6:$A$505,0)),"Matricule inconnu"))</f>
        <v/>
      </c>
      <c r="C691" s="40"/>
      <c r="D691" s="39"/>
      <c r="E691" s="39"/>
      <c r="F691" s="39"/>
      <c r="G691" s="39"/>
      <c r="H691" s="39"/>
    </row>
    <row r="692" customFormat="false" ht="15" hidden="false" customHeight="false" outlineLevel="0" collapsed="false">
      <c r="A692" s="39"/>
      <c r="B692" s="44" t="str">
        <f aca="false">IF($A692="","",IFERROR(INDEX('Suivi EPP'!$B$6:$B$505,MATCH($A692,'Suivi EPP'!$A$6:$A$505,0))&amp;" "&amp;INDEX('Suivi EPP'!$C$6:$C$505,MATCH($A692,'Suivi EPP'!$A$6:$A$505,0)),"Matricule inconnu"))</f>
        <v/>
      </c>
      <c r="C692" s="40"/>
      <c r="D692" s="39"/>
      <c r="E692" s="39"/>
      <c r="F692" s="39"/>
      <c r="G692" s="39"/>
      <c r="H692" s="39"/>
    </row>
    <row r="693" customFormat="false" ht="15" hidden="false" customHeight="false" outlineLevel="0" collapsed="false">
      <c r="A693" s="39"/>
      <c r="B693" s="44" t="str">
        <f aca="false">IF($A693="","",IFERROR(INDEX('Suivi EPP'!$B$6:$B$505,MATCH($A693,'Suivi EPP'!$A$6:$A$505,0))&amp;" "&amp;INDEX('Suivi EPP'!$C$6:$C$505,MATCH($A693,'Suivi EPP'!$A$6:$A$505,0)),"Matricule inconnu"))</f>
        <v/>
      </c>
      <c r="C693" s="40"/>
      <c r="D693" s="39"/>
      <c r="E693" s="39"/>
      <c r="F693" s="39"/>
      <c r="G693" s="39"/>
      <c r="H693" s="39"/>
    </row>
    <row r="694" customFormat="false" ht="15" hidden="false" customHeight="false" outlineLevel="0" collapsed="false">
      <c r="A694" s="39"/>
      <c r="B694" s="44" t="str">
        <f aca="false">IF($A694="","",IFERROR(INDEX('Suivi EPP'!$B$6:$B$505,MATCH($A694,'Suivi EPP'!$A$6:$A$505,0))&amp;" "&amp;INDEX('Suivi EPP'!$C$6:$C$505,MATCH($A694,'Suivi EPP'!$A$6:$A$505,0)),"Matricule inconnu"))</f>
        <v/>
      </c>
      <c r="C694" s="40"/>
      <c r="D694" s="39"/>
      <c r="E694" s="39"/>
      <c r="F694" s="39"/>
      <c r="G694" s="39"/>
      <c r="H694" s="39"/>
    </row>
    <row r="695" customFormat="false" ht="15" hidden="false" customHeight="false" outlineLevel="0" collapsed="false">
      <c r="A695" s="39"/>
      <c r="B695" s="44" t="str">
        <f aca="false">IF($A695="","",IFERROR(INDEX('Suivi EPP'!$B$6:$B$505,MATCH($A695,'Suivi EPP'!$A$6:$A$505,0))&amp;" "&amp;INDEX('Suivi EPP'!$C$6:$C$505,MATCH($A695,'Suivi EPP'!$A$6:$A$505,0)),"Matricule inconnu"))</f>
        <v/>
      </c>
      <c r="C695" s="40"/>
      <c r="D695" s="39"/>
      <c r="E695" s="39"/>
      <c r="F695" s="39"/>
      <c r="G695" s="39"/>
      <c r="H695" s="39"/>
    </row>
    <row r="696" customFormat="false" ht="15" hidden="false" customHeight="false" outlineLevel="0" collapsed="false">
      <c r="A696" s="39"/>
      <c r="B696" s="44" t="str">
        <f aca="false">IF($A696="","",IFERROR(INDEX('Suivi EPP'!$B$6:$B$505,MATCH($A696,'Suivi EPP'!$A$6:$A$505,0))&amp;" "&amp;INDEX('Suivi EPP'!$C$6:$C$505,MATCH($A696,'Suivi EPP'!$A$6:$A$505,0)),"Matricule inconnu"))</f>
        <v/>
      </c>
      <c r="C696" s="40"/>
      <c r="D696" s="39"/>
      <c r="E696" s="39"/>
      <c r="F696" s="39"/>
      <c r="G696" s="39"/>
      <c r="H696" s="39"/>
    </row>
    <row r="697" customFormat="false" ht="15" hidden="false" customHeight="false" outlineLevel="0" collapsed="false">
      <c r="A697" s="39"/>
      <c r="B697" s="44" t="str">
        <f aca="false">IF($A697="","",IFERROR(INDEX('Suivi EPP'!$B$6:$B$505,MATCH($A697,'Suivi EPP'!$A$6:$A$505,0))&amp;" "&amp;INDEX('Suivi EPP'!$C$6:$C$505,MATCH($A697,'Suivi EPP'!$A$6:$A$505,0)),"Matricule inconnu"))</f>
        <v/>
      </c>
      <c r="C697" s="40"/>
      <c r="D697" s="39"/>
      <c r="E697" s="39"/>
      <c r="F697" s="39"/>
      <c r="G697" s="39"/>
      <c r="H697" s="39"/>
    </row>
    <row r="698" customFormat="false" ht="15" hidden="false" customHeight="false" outlineLevel="0" collapsed="false">
      <c r="A698" s="39"/>
      <c r="B698" s="44" t="str">
        <f aca="false">IF($A698="","",IFERROR(INDEX('Suivi EPP'!$B$6:$B$505,MATCH($A698,'Suivi EPP'!$A$6:$A$505,0))&amp;" "&amp;INDEX('Suivi EPP'!$C$6:$C$505,MATCH($A698,'Suivi EPP'!$A$6:$A$505,0)),"Matricule inconnu"))</f>
        <v/>
      </c>
      <c r="C698" s="40"/>
      <c r="D698" s="39"/>
      <c r="E698" s="39"/>
      <c r="F698" s="39"/>
      <c r="G698" s="39"/>
      <c r="H698" s="39"/>
    </row>
    <row r="699" customFormat="false" ht="15" hidden="false" customHeight="false" outlineLevel="0" collapsed="false">
      <c r="A699" s="39"/>
      <c r="B699" s="44" t="str">
        <f aca="false">IF($A699="","",IFERROR(INDEX('Suivi EPP'!$B$6:$B$505,MATCH($A699,'Suivi EPP'!$A$6:$A$505,0))&amp;" "&amp;INDEX('Suivi EPP'!$C$6:$C$505,MATCH($A699,'Suivi EPP'!$A$6:$A$505,0)),"Matricule inconnu"))</f>
        <v/>
      </c>
      <c r="C699" s="40"/>
      <c r="D699" s="39"/>
      <c r="E699" s="39"/>
      <c r="F699" s="39"/>
      <c r="G699" s="39"/>
      <c r="H699" s="39"/>
    </row>
    <row r="700" customFormat="false" ht="15" hidden="false" customHeight="false" outlineLevel="0" collapsed="false">
      <c r="A700" s="39"/>
      <c r="B700" s="44" t="str">
        <f aca="false">IF($A700="","",IFERROR(INDEX('Suivi EPP'!$B$6:$B$505,MATCH($A700,'Suivi EPP'!$A$6:$A$505,0))&amp;" "&amp;INDEX('Suivi EPP'!$C$6:$C$505,MATCH($A700,'Suivi EPP'!$A$6:$A$505,0)),"Matricule inconnu"))</f>
        <v/>
      </c>
      <c r="C700" s="40"/>
      <c r="D700" s="39"/>
      <c r="E700" s="39"/>
      <c r="F700" s="39"/>
      <c r="G700" s="39"/>
      <c r="H700" s="39"/>
    </row>
    <row r="701" customFormat="false" ht="15" hidden="false" customHeight="false" outlineLevel="0" collapsed="false">
      <c r="A701" s="39"/>
      <c r="B701" s="44" t="str">
        <f aca="false">IF($A701="","",IFERROR(INDEX('Suivi EPP'!$B$6:$B$505,MATCH($A701,'Suivi EPP'!$A$6:$A$505,0))&amp;" "&amp;INDEX('Suivi EPP'!$C$6:$C$505,MATCH($A701,'Suivi EPP'!$A$6:$A$505,0)),"Matricule inconnu"))</f>
        <v/>
      </c>
      <c r="C701" s="40"/>
      <c r="D701" s="39"/>
      <c r="E701" s="39"/>
      <c r="F701" s="39"/>
      <c r="G701" s="39"/>
      <c r="H701" s="39"/>
    </row>
    <row r="702" customFormat="false" ht="15" hidden="false" customHeight="false" outlineLevel="0" collapsed="false">
      <c r="A702" s="39"/>
      <c r="B702" s="44" t="str">
        <f aca="false">IF($A702="","",IFERROR(INDEX('Suivi EPP'!$B$6:$B$505,MATCH($A702,'Suivi EPP'!$A$6:$A$505,0))&amp;" "&amp;INDEX('Suivi EPP'!$C$6:$C$505,MATCH($A702,'Suivi EPP'!$A$6:$A$505,0)),"Matricule inconnu"))</f>
        <v/>
      </c>
      <c r="C702" s="40"/>
      <c r="D702" s="39"/>
      <c r="E702" s="39"/>
      <c r="F702" s="39"/>
      <c r="G702" s="39"/>
      <c r="H702" s="39"/>
    </row>
    <row r="703" customFormat="false" ht="15" hidden="false" customHeight="false" outlineLevel="0" collapsed="false">
      <c r="A703" s="39"/>
      <c r="B703" s="44" t="str">
        <f aca="false">IF($A703="","",IFERROR(INDEX('Suivi EPP'!$B$6:$B$505,MATCH($A703,'Suivi EPP'!$A$6:$A$505,0))&amp;" "&amp;INDEX('Suivi EPP'!$C$6:$C$505,MATCH($A703,'Suivi EPP'!$A$6:$A$505,0)),"Matricule inconnu"))</f>
        <v/>
      </c>
      <c r="C703" s="40"/>
      <c r="D703" s="39"/>
      <c r="E703" s="39"/>
      <c r="F703" s="39"/>
      <c r="G703" s="39"/>
      <c r="H703" s="39"/>
    </row>
    <row r="704" customFormat="false" ht="15" hidden="false" customHeight="false" outlineLevel="0" collapsed="false">
      <c r="A704" s="39"/>
      <c r="B704" s="44" t="str">
        <f aca="false">IF($A704="","",IFERROR(INDEX('Suivi EPP'!$B$6:$B$505,MATCH($A704,'Suivi EPP'!$A$6:$A$505,0))&amp;" "&amp;INDEX('Suivi EPP'!$C$6:$C$505,MATCH($A704,'Suivi EPP'!$A$6:$A$505,0)),"Matricule inconnu"))</f>
        <v/>
      </c>
      <c r="C704" s="40"/>
      <c r="D704" s="39"/>
      <c r="E704" s="39"/>
      <c r="F704" s="39"/>
      <c r="G704" s="39"/>
      <c r="H704" s="39"/>
    </row>
    <row r="705" customFormat="false" ht="15" hidden="false" customHeight="false" outlineLevel="0" collapsed="false">
      <c r="A705" s="39"/>
      <c r="B705" s="44" t="str">
        <f aca="false">IF($A705="","",IFERROR(INDEX('Suivi EPP'!$B$6:$B$505,MATCH($A705,'Suivi EPP'!$A$6:$A$505,0))&amp;" "&amp;INDEX('Suivi EPP'!$C$6:$C$505,MATCH($A705,'Suivi EPP'!$A$6:$A$505,0)),"Matricule inconnu"))</f>
        <v/>
      </c>
      <c r="C705" s="40"/>
      <c r="D705" s="39"/>
      <c r="E705" s="39"/>
      <c r="F705" s="39"/>
      <c r="G705" s="39"/>
      <c r="H705" s="39"/>
    </row>
    <row r="706" customFormat="false" ht="15" hidden="false" customHeight="false" outlineLevel="0" collapsed="false">
      <c r="A706" s="39"/>
      <c r="B706" s="44" t="str">
        <f aca="false">IF($A706="","",IFERROR(INDEX('Suivi EPP'!$B$6:$B$505,MATCH($A706,'Suivi EPP'!$A$6:$A$505,0))&amp;" "&amp;INDEX('Suivi EPP'!$C$6:$C$505,MATCH($A706,'Suivi EPP'!$A$6:$A$505,0)),"Matricule inconnu"))</f>
        <v/>
      </c>
      <c r="C706" s="40"/>
      <c r="D706" s="39"/>
      <c r="E706" s="39"/>
      <c r="F706" s="39"/>
      <c r="G706" s="39"/>
      <c r="H706" s="39"/>
    </row>
    <row r="707" customFormat="false" ht="15" hidden="false" customHeight="false" outlineLevel="0" collapsed="false">
      <c r="A707" s="39"/>
      <c r="B707" s="44" t="str">
        <f aca="false">IF($A707="","",IFERROR(INDEX('Suivi EPP'!$B$6:$B$505,MATCH($A707,'Suivi EPP'!$A$6:$A$505,0))&amp;" "&amp;INDEX('Suivi EPP'!$C$6:$C$505,MATCH($A707,'Suivi EPP'!$A$6:$A$505,0)),"Matricule inconnu"))</f>
        <v/>
      </c>
      <c r="C707" s="40"/>
      <c r="D707" s="39"/>
      <c r="E707" s="39"/>
      <c r="F707" s="39"/>
      <c r="G707" s="39"/>
      <c r="H707" s="39"/>
    </row>
    <row r="708" customFormat="false" ht="15" hidden="false" customHeight="false" outlineLevel="0" collapsed="false">
      <c r="A708" s="39"/>
      <c r="B708" s="44" t="str">
        <f aca="false">IF($A708="","",IFERROR(INDEX('Suivi EPP'!$B$6:$B$505,MATCH($A708,'Suivi EPP'!$A$6:$A$505,0))&amp;" "&amp;INDEX('Suivi EPP'!$C$6:$C$505,MATCH($A708,'Suivi EPP'!$A$6:$A$505,0)),"Matricule inconnu"))</f>
        <v/>
      </c>
      <c r="C708" s="40"/>
      <c r="D708" s="39"/>
      <c r="E708" s="39"/>
      <c r="F708" s="39"/>
      <c r="G708" s="39"/>
      <c r="H708" s="39"/>
    </row>
    <row r="709" customFormat="false" ht="15" hidden="false" customHeight="false" outlineLevel="0" collapsed="false">
      <c r="A709" s="39"/>
      <c r="B709" s="44" t="str">
        <f aca="false">IF($A709="","",IFERROR(INDEX('Suivi EPP'!$B$6:$B$505,MATCH($A709,'Suivi EPP'!$A$6:$A$505,0))&amp;" "&amp;INDEX('Suivi EPP'!$C$6:$C$505,MATCH($A709,'Suivi EPP'!$A$6:$A$505,0)),"Matricule inconnu"))</f>
        <v/>
      </c>
      <c r="C709" s="40"/>
      <c r="D709" s="39"/>
      <c r="E709" s="39"/>
      <c r="F709" s="39"/>
      <c r="G709" s="39"/>
      <c r="H709" s="39"/>
    </row>
    <row r="710" customFormat="false" ht="15" hidden="false" customHeight="false" outlineLevel="0" collapsed="false">
      <c r="A710" s="39"/>
      <c r="B710" s="44" t="str">
        <f aca="false">IF($A710="","",IFERROR(INDEX('Suivi EPP'!$B$6:$B$505,MATCH($A710,'Suivi EPP'!$A$6:$A$505,0))&amp;" "&amp;INDEX('Suivi EPP'!$C$6:$C$505,MATCH($A710,'Suivi EPP'!$A$6:$A$505,0)),"Matricule inconnu"))</f>
        <v/>
      </c>
      <c r="C710" s="40"/>
      <c r="D710" s="39"/>
      <c r="E710" s="39"/>
      <c r="F710" s="39"/>
      <c r="G710" s="39"/>
      <c r="H710" s="39"/>
    </row>
    <row r="711" customFormat="false" ht="15" hidden="false" customHeight="false" outlineLevel="0" collapsed="false">
      <c r="A711" s="39"/>
      <c r="B711" s="44" t="str">
        <f aca="false">IF($A711="","",IFERROR(INDEX('Suivi EPP'!$B$6:$B$505,MATCH($A711,'Suivi EPP'!$A$6:$A$505,0))&amp;" "&amp;INDEX('Suivi EPP'!$C$6:$C$505,MATCH($A711,'Suivi EPP'!$A$6:$A$505,0)),"Matricule inconnu"))</f>
        <v/>
      </c>
      <c r="C711" s="40"/>
      <c r="D711" s="39"/>
      <c r="E711" s="39"/>
      <c r="F711" s="39"/>
      <c r="G711" s="39"/>
      <c r="H711" s="39"/>
    </row>
    <row r="712" customFormat="false" ht="15" hidden="false" customHeight="false" outlineLevel="0" collapsed="false">
      <c r="A712" s="39"/>
      <c r="B712" s="44" t="str">
        <f aca="false">IF($A712="","",IFERROR(INDEX('Suivi EPP'!$B$6:$B$505,MATCH($A712,'Suivi EPP'!$A$6:$A$505,0))&amp;" "&amp;INDEX('Suivi EPP'!$C$6:$C$505,MATCH($A712,'Suivi EPP'!$A$6:$A$505,0)),"Matricule inconnu"))</f>
        <v/>
      </c>
      <c r="C712" s="40"/>
      <c r="D712" s="39"/>
      <c r="E712" s="39"/>
      <c r="F712" s="39"/>
      <c r="G712" s="39"/>
      <c r="H712" s="39"/>
    </row>
    <row r="713" customFormat="false" ht="15" hidden="false" customHeight="false" outlineLevel="0" collapsed="false">
      <c r="A713" s="39"/>
      <c r="B713" s="44" t="str">
        <f aca="false">IF($A713="","",IFERROR(INDEX('Suivi EPP'!$B$6:$B$505,MATCH($A713,'Suivi EPP'!$A$6:$A$505,0))&amp;" "&amp;INDEX('Suivi EPP'!$C$6:$C$505,MATCH($A713,'Suivi EPP'!$A$6:$A$505,0)),"Matricule inconnu"))</f>
        <v/>
      </c>
      <c r="C713" s="40"/>
      <c r="D713" s="39"/>
      <c r="E713" s="39"/>
      <c r="F713" s="39"/>
      <c r="G713" s="39"/>
      <c r="H713" s="39"/>
    </row>
    <row r="714" customFormat="false" ht="15" hidden="false" customHeight="false" outlineLevel="0" collapsed="false">
      <c r="A714" s="39"/>
      <c r="B714" s="44" t="str">
        <f aca="false">IF($A714="","",IFERROR(INDEX('Suivi EPP'!$B$6:$B$505,MATCH($A714,'Suivi EPP'!$A$6:$A$505,0))&amp;" "&amp;INDEX('Suivi EPP'!$C$6:$C$505,MATCH($A714,'Suivi EPP'!$A$6:$A$505,0)),"Matricule inconnu"))</f>
        <v/>
      </c>
      <c r="C714" s="40"/>
      <c r="D714" s="39"/>
      <c r="E714" s="39"/>
      <c r="F714" s="39"/>
      <c r="G714" s="39"/>
      <c r="H714" s="39"/>
    </row>
    <row r="715" customFormat="false" ht="15" hidden="false" customHeight="false" outlineLevel="0" collapsed="false">
      <c r="A715" s="39"/>
      <c r="B715" s="44" t="str">
        <f aca="false">IF($A715="","",IFERROR(INDEX('Suivi EPP'!$B$6:$B$505,MATCH($A715,'Suivi EPP'!$A$6:$A$505,0))&amp;" "&amp;INDEX('Suivi EPP'!$C$6:$C$505,MATCH($A715,'Suivi EPP'!$A$6:$A$505,0)),"Matricule inconnu"))</f>
        <v/>
      </c>
      <c r="C715" s="40"/>
      <c r="D715" s="39"/>
      <c r="E715" s="39"/>
      <c r="F715" s="39"/>
      <c r="G715" s="39"/>
      <c r="H715" s="39"/>
    </row>
    <row r="716" customFormat="false" ht="15" hidden="false" customHeight="false" outlineLevel="0" collapsed="false">
      <c r="A716" s="39"/>
      <c r="B716" s="44" t="str">
        <f aca="false">IF($A716="","",IFERROR(INDEX('Suivi EPP'!$B$6:$B$505,MATCH($A716,'Suivi EPP'!$A$6:$A$505,0))&amp;" "&amp;INDEX('Suivi EPP'!$C$6:$C$505,MATCH($A716,'Suivi EPP'!$A$6:$A$505,0)),"Matricule inconnu"))</f>
        <v/>
      </c>
      <c r="C716" s="40"/>
      <c r="D716" s="39"/>
      <c r="E716" s="39"/>
      <c r="F716" s="39"/>
      <c r="G716" s="39"/>
      <c r="H716" s="39"/>
    </row>
    <row r="717" customFormat="false" ht="15" hidden="false" customHeight="false" outlineLevel="0" collapsed="false">
      <c r="A717" s="39"/>
      <c r="B717" s="44" t="str">
        <f aca="false">IF($A717="","",IFERROR(INDEX('Suivi EPP'!$B$6:$B$505,MATCH($A717,'Suivi EPP'!$A$6:$A$505,0))&amp;" "&amp;INDEX('Suivi EPP'!$C$6:$C$505,MATCH($A717,'Suivi EPP'!$A$6:$A$505,0)),"Matricule inconnu"))</f>
        <v/>
      </c>
      <c r="C717" s="40"/>
      <c r="D717" s="39"/>
      <c r="E717" s="39"/>
      <c r="F717" s="39"/>
      <c r="G717" s="39"/>
      <c r="H717" s="39"/>
    </row>
    <row r="718" customFormat="false" ht="15" hidden="false" customHeight="false" outlineLevel="0" collapsed="false">
      <c r="A718" s="39"/>
      <c r="B718" s="44" t="str">
        <f aca="false">IF($A718="","",IFERROR(INDEX('Suivi EPP'!$B$6:$B$505,MATCH($A718,'Suivi EPP'!$A$6:$A$505,0))&amp;" "&amp;INDEX('Suivi EPP'!$C$6:$C$505,MATCH($A718,'Suivi EPP'!$A$6:$A$505,0)),"Matricule inconnu"))</f>
        <v/>
      </c>
      <c r="C718" s="40"/>
      <c r="D718" s="39"/>
      <c r="E718" s="39"/>
      <c r="F718" s="39"/>
      <c r="G718" s="39"/>
      <c r="H718" s="39"/>
    </row>
    <row r="719" customFormat="false" ht="15" hidden="false" customHeight="false" outlineLevel="0" collapsed="false">
      <c r="A719" s="39"/>
      <c r="B719" s="44" t="str">
        <f aca="false">IF($A719="","",IFERROR(INDEX('Suivi EPP'!$B$6:$B$505,MATCH($A719,'Suivi EPP'!$A$6:$A$505,0))&amp;" "&amp;INDEX('Suivi EPP'!$C$6:$C$505,MATCH($A719,'Suivi EPP'!$A$6:$A$505,0)),"Matricule inconnu"))</f>
        <v/>
      </c>
      <c r="C719" s="40"/>
      <c r="D719" s="39"/>
      <c r="E719" s="39"/>
      <c r="F719" s="39"/>
      <c r="G719" s="39"/>
      <c r="H719" s="39"/>
    </row>
    <row r="720" customFormat="false" ht="15" hidden="false" customHeight="false" outlineLevel="0" collapsed="false">
      <c r="A720" s="39"/>
      <c r="B720" s="44" t="str">
        <f aca="false">IF($A720="","",IFERROR(INDEX('Suivi EPP'!$B$6:$B$505,MATCH($A720,'Suivi EPP'!$A$6:$A$505,0))&amp;" "&amp;INDEX('Suivi EPP'!$C$6:$C$505,MATCH($A720,'Suivi EPP'!$A$6:$A$505,0)),"Matricule inconnu"))</f>
        <v/>
      </c>
      <c r="C720" s="40"/>
      <c r="D720" s="39"/>
      <c r="E720" s="39"/>
      <c r="F720" s="39"/>
      <c r="G720" s="39"/>
      <c r="H720" s="39"/>
    </row>
    <row r="721" customFormat="false" ht="15" hidden="false" customHeight="false" outlineLevel="0" collapsed="false">
      <c r="A721" s="39"/>
      <c r="B721" s="44" t="str">
        <f aca="false">IF($A721="","",IFERROR(INDEX('Suivi EPP'!$B$6:$B$505,MATCH($A721,'Suivi EPP'!$A$6:$A$505,0))&amp;" "&amp;INDEX('Suivi EPP'!$C$6:$C$505,MATCH($A721,'Suivi EPP'!$A$6:$A$505,0)),"Matricule inconnu"))</f>
        <v/>
      </c>
      <c r="C721" s="40"/>
      <c r="D721" s="39"/>
      <c r="E721" s="39"/>
      <c r="F721" s="39"/>
      <c r="G721" s="39"/>
      <c r="H721" s="39"/>
    </row>
    <row r="722" customFormat="false" ht="15" hidden="false" customHeight="false" outlineLevel="0" collapsed="false">
      <c r="A722" s="39"/>
      <c r="B722" s="44" t="str">
        <f aca="false">IF($A722="","",IFERROR(INDEX('Suivi EPP'!$B$6:$B$505,MATCH($A722,'Suivi EPP'!$A$6:$A$505,0))&amp;" "&amp;INDEX('Suivi EPP'!$C$6:$C$505,MATCH($A722,'Suivi EPP'!$A$6:$A$505,0)),"Matricule inconnu"))</f>
        <v/>
      </c>
      <c r="C722" s="40"/>
      <c r="D722" s="39"/>
      <c r="E722" s="39"/>
      <c r="F722" s="39"/>
      <c r="G722" s="39"/>
      <c r="H722" s="39"/>
    </row>
    <row r="723" customFormat="false" ht="15" hidden="false" customHeight="false" outlineLevel="0" collapsed="false">
      <c r="A723" s="39"/>
      <c r="B723" s="44" t="str">
        <f aca="false">IF($A723="","",IFERROR(INDEX('Suivi EPP'!$B$6:$B$505,MATCH($A723,'Suivi EPP'!$A$6:$A$505,0))&amp;" "&amp;INDEX('Suivi EPP'!$C$6:$C$505,MATCH($A723,'Suivi EPP'!$A$6:$A$505,0)),"Matricule inconnu"))</f>
        <v/>
      </c>
      <c r="C723" s="40"/>
      <c r="D723" s="39"/>
      <c r="E723" s="39"/>
      <c r="F723" s="39"/>
      <c r="G723" s="39"/>
      <c r="H723" s="39"/>
    </row>
    <row r="724" customFormat="false" ht="15" hidden="false" customHeight="false" outlineLevel="0" collapsed="false">
      <c r="A724" s="39"/>
      <c r="B724" s="44" t="str">
        <f aca="false">IF($A724="","",IFERROR(INDEX('Suivi EPP'!$B$6:$B$505,MATCH($A724,'Suivi EPP'!$A$6:$A$505,0))&amp;" "&amp;INDEX('Suivi EPP'!$C$6:$C$505,MATCH($A724,'Suivi EPP'!$A$6:$A$505,0)),"Matricule inconnu"))</f>
        <v/>
      </c>
      <c r="C724" s="40"/>
      <c r="D724" s="39"/>
      <c r="E724" s="39"/>
      <c r="F724" s="39"/>
      <c r="G724" s="39"/>
      <c r="H724" s="39"/>
    </row>
    <row r="725" customFormat="false" ht="15" hidden="false" customHeight="false" outlineLevel="0" collapsed="false">
      <c r="A725" s="39"/>
      <c r="B725" s="44" t="str">
        <f aca="false">IF($A725="","",IFERROR(INDEX('Suivi EPP'!$B$6:$B$505,MATCH($A725,'Suivi EPP'!$A$6:$A$505,0))&amp;" "&amp;INDEX('Suivi EPP'!$C$6:$C$505,MATCH($A725,'Suivi EPP'!$A$6:$A$505,0)),"Matricule inconnu"))</f>
        <v/>
      </c>
      <c r="C725" s="40"/>
      <c r="D725" s="39"/>
      <c r="E725" s="39"/>
      <c r="F725" s="39"/>
      <c r="G725" s="39"/>
      <c r="H725" s="39"/>
    </row>
    <row r="726" customFormat="false" ht="15" hidden="false" customHeight="false" outlineLevel="0" collapsed="false">
      <c r="A726" s="39"/>
      <c r="B726" s="44" t="str">
        <f aca="false">IF($A726="","",IFERROR(INDEX('Suivi EPP'!$B$6:$B$505,MATCH($A726,'Suivi EPP'!$A$6:$A$505,0))&amp;" "&amp;INDEX('Suivi EPP'!$C$6:$C$505,MATCH($A726,'Suivi EPP'!$A$6:$A$505,0)),"Matricule inconnu"))</f>
        <v/>
      </c>
      <c r="C726" s="40"/>
      <c r="D726" s="39"/>
      <c r="E726" s="39"/>
      <c r="F726" s="39"/>
      <c r="G726" s="39"/>
      <c r="H726" s="39"/>
    </row>
    <row r="727" customFormat="false" ht="15" hidden="false" customHeight="false" outlineLevel="0" collapsed="false">
      <c r="A727" s="39"/>
      <c r="B727" s="44" t="str">
        <f aca="false">IF($A727="","",IFERROR(INDEX('Suivi EPP'!$B$6:$B$505,MATCH($A727,'Suivi EPP'!$A$6:$A$505,0))&amp;" "&amp;INDEX('Suivi EPP'!$C$6:$C$505,MATCH($A727,'Suivi EPP'!$A$6:$A$505,0)),"Matricule inconnu"))</f>
        <v/>
      </c>
      <c r="C727" s="40"/>
      <c r="D727" s="39"/>
      <c r="E727" s="39"/>
      <c r="F727" s="39"/>
      <c r="G727" s="39"/>
      <c r="H727" s="39"/>
    </row>
    <row r="728" customFormat="false" ht="15" hidden="false" customHeight="false" outlineLevel="0" collapsed="false">
      <c r="A728" s="39"/>
      <c r="B728" s="44" t="str">
        <f aca="false">IF($A728="","",IFERROR(INDEX('Suivi EPP'!$B$6:$B$505,MATCH($A728,'Suivi EPP'!$A$6:$A$505,0))&amp;" "&amp;INDEX('Suivi EPP'!$C$6:$C$505,MATCH($A728,'Suivi EPP'!$A$6:$A$505,0)),"Matricule inconnu"))</f>
        <v/>
      </c>
      <c r="C728" s="40"/>
      <c r="D728" s="39"/>
      <c r="E728" s="39"/>
      <c r="F728" s="39"/>
      <c r="G728" s="39"/>
      <c r="H728" s="39"/>
    </row>
    <row r="729" customFormat="false" ht="15" hidden="false" customHeight="false" outlineLevel="0" collapsed="false">
      <c r="A729" s="39"/>
      <c r="B729" s="44" t="str">
        <f aca="false">IF($A729="","",IFERROR(INDEX('Suivi EPP'!$B$6:$B$505,MATCH($A729,'Suivi EPP'!$A$6:$A$505,0))&amp;" "&amp;INDEX('Suivi EPP'!$C$6:$C$505,MATCH($A729,'Suivi EPP'!$A$6:$A$505,0)),"Matricule inconnu"))</f>
        <v/>
      </c>
      <c r="C729" s="40"/>
      <c r="D729" s="39"/>
      <c r="E729" s="39"/>
      <c r="F729" s="39"/>
      <c r="G729" s="39"/>
      <c r="H729" s="39"/>
    </row>
    <row r="730" customFormat="false" ht="15" hidden="false" customHeight="false" outlineLevel="0" collapsed="false">
      <c r="A730" s="39"/>
      <c r="B730" s="44" t="str">
        <f aca="false">IF($A730="","",IFERROR(INDEX('Suivi EPP'!$B$6:$B$505,MATCH($A730,'Suivi EPP'!$A$6:$A$505,0))&amp;" "&amp;INDEX('Suivi EPP'!$C$6:$C$505,MATCH($A730,'Suivi EPP'!$A$6:$A$505,0)),"Matricule inconnu"))</f>
        <v/>
      </c>
      <c r="C730" s="40"/>
      <c r="D730" s="39"/>
      <c r="E730" s="39"/>
      <c r="F730" s="39"/>
      <c r="G730" s="39"/>
      <c r="H730" s="39"/>
    </row>
    <row r="731" customFormat="false" ht="15" hidden="false" customHeight="false" outlineLevel="0" collapsed="false">
      <c r="A731" s="39"/>
      <c r="B731" s="44" t="str">
        <f aca="false">IF($A731="","",IFERROR(INDEX('Suivi EPP'!$B$6:$B$505,MATCH($A731,'Suivi EPP'!$A$6:$A$505,0))&amp;" "&amp;INDEX('Suivi EPP'!$C$6:$C$505,MATCH($A731,'Suivi EPP'!$A$6:$A$505,0)),"Matricule inconnu"))</f>
        <v/>
      </c>
      <c r="C731" s="40"/>
      <c r="D731" s="39"/>
      <c r="E731" s="39"/>
      <c r="F731" s="39"/>
      <c r="G731" s="39"/>
      <c r="H731" s="39"/>
    </row>
    <row r="732" customFormat="false" ht="15" hidden="false" customHeight="false" outlineLevel="0" collapsed="false">
      <c r="A732" s="39"/>
      <c r="B732" s="44" t="str">
        <f aca="false">IF($A732="","",IFERROR(INDEX('Suivi EPP'!$B$6:$B$505,MATCH($A732,'Suivi EPP'!$A$6:$A$505,0))&amp;" "&amp;INDEX('Suivi EPP'!$C$6:$C$505,MATCH($A732,'Suivi EPP'!$A$6:$A$505,0)),"Matricule inconnu"))</f>
        <v/>
      </c>
      <c r="C732" s="40"/>
      <c r="D732" s="39"/>
      <c r="E732" s="39"/>
      <c r="F732" s="39"/>
      <c r="G732" s="39"/>
      <c r="H732" s="39"/>
    </row>
    <row r="733" customFormat="false" ht="15" hidden="false" customHeight="false" outlineLevel="0" collapsed="false">
      <c r="A733" s="39"/>
      <c r="B733" s="44" t="str">
        <f aca="false">IF($A733="","",IFERROR(INDEX('Suivi EPP'!$B$6:$B$505,MATCH($A733,'Suivi EPP'!$A$6:$A$505,0))&amp;" "&amp;INDEX('Suivi EPP'!$C$6:$C$505,MATCH($A733,'Suivi EPP'!$A$6:$A$505,0)),"Matricule inconnu"))</f>
        <v/>
      </c>
      <c r="C733" s="40"/>
      <c r="D733" s="39"/>
      <c r="E733" s="39"/>
      <c r="F733" s="39"/>
      <c r="G733" s="39"/>
      <c r="H733" s="39"/>
    </row>
    <row r="734" customFormat="false" ht="15" hidden="false" customHeight="false" outlineLevel="0" collapsed="false">
      <c r="A734" s="39"/>
      <c r="B734" s="44" t="str">
        <f aca="false">IF($A734="","",IFERROR(INDEX('Suivi EPP'!$B$6:$B$505,MATCH($A734,'Suivi EPP'!$A$6:$A$505,0))&amp;" "&amp;INDEX('Suivi EPP'!$C$6:$C$505,MATCH($A734,'Suivi EPP'!$A$6:$A$505,0)),"Matricule inconnu"))</f>
        <v/>
      </c>
      <c r="C734" s="40"/>
      <c r="D734" s="39"/>
      <c r="E734" s="39"/>
      <c r="F734" s="39"/>
      <c r="G734" s="39"/>
      <c r="H734" s="39"/>
    </row>
    <row r="735" customFormat="false" ht="15" hidden="false" customHeight="false" outlineLevel="0" collapsed="false">
      <c r="A735" s="39"/>
      <c r="B735" s="44" t="str">
        <f aca="false">IF($A735="","",IFERROR(INDEX('Suivi EPP'!$B$6:$B$505,MATCH($A735,'Suivi EPP'!$A$6:$A$505,0))&amp;" "&amp;INDEX('Suivi EPP'!$C$6:$C$505,MATCH($A735,'Suivi EPP'!$A$6:$A$505,0)),"Matricule inconnu"))</f>
        <v/>
      </c>
      <c r="C735" s="40"/>
      <c r="D735" s="39"/>
      <c r="E735" s="39"/>
      <c r="F735" s="39"/>
      <c r="G735" s="39"/>
      <c r="H735" s="39"/>
    </row>
    <row r="736" customFormat="false" ht="15" hidden="false" customHeight="false" outlineLevel="0" collapsed="false">
      <c r="A736" s="39"/>
      <c r="B736" s="44" t="str">
        <f aca="false">IF($A736="","",IFERROR(INDEX('Suivi EPP'!$B$6:$B$505,MATCH($A736,'Suivi EPP'!$A$6:$A$505,0))&amp;" "&amp;INDEX('Suivi EPP'!$C$6:$C$505,MATCH($A736,'Suivi EPP'!$A$6:$A$505,0)),"Matricule inconnu"))</f>
        <v/>
      </c>
      <c r="C736" s="40"/>
      <c r="D736" s="39"/>
      <c r="E736" s="39"/>
      <c r="F736" s="39"/>
      <c r="G736" s="39"/>
      <c r="H736" s="39"/>
    </row>
    <row r="737" customFormat="false" ht="15" hidden="false" customHeight="false" outlineLevel="0" collapsed="false">
      <c r="A737" s="39"/>
      <c r="B737" s="44" t="str">
        <f aca="false">IF($A737="","",IFERROR(INDEX('Suivi EPP'!$B$6:$B$505,MATCH($A737,'Suivi EPP'!$A$6:$A$505,0))&amp;" "&amp;INDEX('Suivi EPP'!$C$6:$C$505,MATCH($A737,'Suivi EPP'!$A$6:$A$505,0)),"Matricule inconnu"))</f>
        <v/>
      </c>
      <c r="C737" s="40"/>
      <c r="D737" s="39"/>
      <c r="E737" s="39"/>
      <c r="F737" s="39"/>
      <c r="G737" s="39"/>
      <c r="H737" s="39"/>
    </row>
    <row r="738" customFormat="false" ht="15" hidden="false" customHeight="false" outlineLevel="0" collapsed="false">
      <c r="A738" s="39"/>
      <c r="B738" s="44" t="str">
        <f aca="false">IF($A738="","",IFERROR(INDEX('Suivi EPP'!$B$6:$B$505,MATCH($A738,'Suivi EPP'!$A$6:$A$505,0))&amp;" "&amp;INDEX('Suivi EPP'!$C$6:$C$505,MATCH($A738,'Suivi EPP'!$A$6:$A$505,0)),"Matricule inconnu"))</f>
        <v/>
      </c>
      <c r="C738" s="40"/>
      <c r="D738" s="39"/>
      <c r="E738" s="39"/>
      <c r="F738" s="39"/>
      <c r="G738" s="39"/>
      <c r="H738" s="39"/>
    </row>
    <row r="739" customFormat="false" ht="15" hidden="false" customHeight="false" outlineLevel="0" collapsed="false">
      <c r="A739" s="39"/>
      <c r="B739" s="44" t="str">
        <f aca="false">IF($A739="","",IFERROR(INDEX('Suivi EPP'!$B$6:$B$505,MATCH($A739,'Suivi EPP'!$A$6:$A$505,0))&amp;" "&amp;INDEX('Suivi EPP'!$C$6:$C$505,MATCH($A739,'Suivi EPP'!$A$6:$A$505,0)),"Matricule inconnu"))</f>
        <v/>
      </c>
      <c r="C739" s="40"/>
      <c r="D739" s="39"/>
      <c r="E739" s="39"/>
      <c r="F739" s="39"/>
      <c r="G739" s="39"/>
      <c r="H739" s="39"/>
    </row>
    <row r="740" customFormat="false" ht="15" hidden="false" customHeight="false" outlineLevel="0" collapsed="false">
      <c r="A740" s="39"/>
      <c r="B740" s="44" t="str">
        <f aca="false">IF($A740="","",IFERROR(INDEX('Suivi EPP'!$B$6:$B$505,MATCH($A740,'Suivi EPP'!$A$6:$A$505,0))&amp;" "&amp;INDEX('Suivi EPP'!$C$6:$C$505,MATCH($A740,'Suivi EPP'!$A$6:$A$505,0)),"Matricule inconnu"))</f>
        <v/>
      </c>
      <c r="C740" s="40"/>
      <c r="D740" s="39"/>
      <c r="E740" s="39"/>
      <c r="F740" s="39"/>
      <c r="G740" s="39"/>
      <c r="H740" s="39"/>
    </row>
    <row r="741" customFormat="false" ht="15" hidden="false" customHeight="false" outlineLevel="0" collapsed="false">
      <c r="A741" s="39"/>
      <c r="B741" s="44" t="str">
        <f aca="false">IF($A741="","",IFERROR(INDEX('Suivi EPP'!$B$6:$B$505,MATCH($A741,'Suivi EPP'!$A$6:$A$505,0))&amp;" "&amp;INDEX('Suivi EPP'!$C$6:$C$505,MATCH($A741,'Suivi EPP'!$A$6:$A$505,0)),"Matricule inconnu"))</f>
        <v/>
      </c>
      <c r="C741" s="40"/>
      <c r="D741" s="39"/>
      <c r="E741" s="39"/>
      <c r="F741" s="39"/>
      <c r="G741" s="39"/>
      <c r="H741" s="39"/>
    </row>
    <row r="742" customFormat="false" ht="15" hidden="false" customHeight="false" outlineLevel="0" collapsed="false">
      <c r="A742" s="39"/>
      <c r="B742" s="44" t="str">
        <f aca="false">IF($A742="","",IFERROR(INDEX('Suivi EPP'!$B$6:$B$505,MATCH($A742,'Suivi EPP'!$A$6:$A$505,0))&amp;" "&amp;INDEX('Suivi EPP'!$C$6:$C$505,MATCH($A742,'Suivi EPP'!$A$6:$A$505,0)),"Matricule inconnu"))</f>
        <v/>
      </c>
      <c r="C742" s="40"/>
      <c r="D742" s="39"/>
      <c r="E742" s="39"/>
      <c r="F742" s="39"/>
      <c r="G742" s="39"/>
      <c r="H742" s="39"/>
    </row>
    <row r="743" customFormat="false" ht="15" hidden="false" customHeight="false" outlineLevel="0" collapsed="false">
      <c r="A743" s="39"/>
      <c r="B743" s="44" t="str">
        <f aca="false">IF($A743="","",IFERROR(INDEX('Suivi EPP'!$B$6:$B$505,MATCH($A743,'Suivi EPP'!$A$6:$A$505,0))&amp;" "&amp;INDEX('Suivi EPP'!$C$6:$C$505,MATCH($A743,'Suivi EPP'!$A$6:$A$505,0)),"Matricule inconnu"))</f>
        <v/>
      </c>
      <c r="C743" s="40"/>
      <c r="D743" s="39"/>
      <c r="E743" s="39"/>
      <c r="F743" s="39"/>
      <c r="G743" s="39"/>
      <c r="H743" s="39"/>
    </row>
    <row r="744" customFormat="false" ht="15" hidden="false" customHeight="false" outlineLevel="0" collapsed="false">
      <c r="A744" s="39"/>
      <c r="B744" s="44" t="str">
        <f aca="false">IF($A744="","",IFERROR(INDEX('Suivi EPP'!$B$6:$B$505,MATCH($A744,'Suivi EPP'!$A$6:$A$505,0))&amp;" "&amp;INDEX('Suivi EPP'!$C$6:$C$505,MATCH($A744,'Suivi EPP'!$A$6:$A$505,0)),"Matricule inconnu"))</f>
        <v/>
      </c>
      <c r="C744" s="40"/>
      <c r="D744" s="39"/>
      <c r="E744" s="39"/>
      <c r="F744" s="39"/>
      <c r="G744" s="39"/>
      <c r="H744" s="39"/>
    </row>
    <row r="745" customFormat="false" ht="15" hidden="false" customHeight="false" outlineLevel="0" collapsed="false">
      <c r="A745" s="39"/>
      <c r="B745" s="44" t="str">
        <f aca="false">IF($A745="","",IFERROR(INDEX('Suivi EPP'!$B$6:$B$505,MATCH($A745,'Suivi EPP'!$A$6:$A$505,0))&amp;" "&amp;INDEX('Suivi EPP'!$C$6:$C$505,MATCH($A745,'Suivi EPP'!$A$6:$A$505,0)),"Matricule inconnu"))</f>
        <v/>
      </c>
      <c r="C745" s="40"/>
      <c r="D745" s="39"/>
      <c r="E745" s="39"/>
      <c r="F745" s="39"/>
      <c r="G745" s="39"/>
      <c r="H745" s="39"/>
    </row>
    <row r="746" customFormat="false" ht="15" hidden="false" customHeight="false" outlineLevel="0" collapsed="false">
      <c r="A746" s="39"/>
      <c r="B746" s="44" t="str">
        <f aca="false">IF($A746="","",IFERROR(INDEX('Suivi EPP'!$B$6:$B$505,MATCH($A746,'Suivi EPP'!$A$6:$A$505,0))&amp;" "&amp;INDEX('Suivi EPP'!$C$6:$C$505,MATCH($A746,'Suivi EPP'!$A$6:$A$505,0)),"Matricule inconnu"))</f>
        <v/>
      </c>
      <c r="C746" s="40"/>
      <c r="D746" s="39"/>
      <c r="E746" s="39"/>
      <c r="F746" s="39"/>
      <c r="G746" s="39"/>
      <c r="H746" s="39"/>
    </row>
    <row r="747" customFormat="false" ht="15" hidden="false" customHeight="false" outlineLevel="0" collapsed="false">
      <c r="A747" s="39"/>
      <c r="B747" s="44" t="str">
        <f aca="false">IF($A747="","",IFERROR(INDEX('Suivi EPP'!$B$6:$B$505,MATCH($A747,'Suivi EPP'!$A$6:$A$505,0))&amp;" "&amp;INDEX('Suivi EPP'!$C$6:$C$505,MATCH($A747,'Suivi EPP'!$A$6:$A$505,0)),"Matricule inconnu"))</f>
        <v/>
      </c>
      <c r="C747" s="40"/>
      <c r="D747" s="39"/>
      <c r="E747" s="39"/>
      <c r="F747" s="39"/>
      <c r="G747" s="39"/>
      <c r="H747" s="39"/>
    </row>
    <row r="748" customFormat="false" ht="15" hidden="false" customHeight="false" outlineLevel="0" collapsed="false">
      <c r="A748" s="39"/>
      <c r="B748" s="44" t="str">
        <f aca="false">IF($A748="","",IFERROR(INDEX('Suivi EPP'!$B$6:$B$505,MATCH($A748,'Suivi EPP'!$A$6:$A$505,0))&amp;" "&amp;INDEX('Suivi EPP'!$C$6:$C$505,MATCH($A748,'Suivi EPP'!$A$6:$A$505,0)),"Matricule inconnu"))</f>
        <v/>
      </c>
      <c r="C748" s="40"/>
      <c r="D748" s="39"/>
      <c r="E748" s="39"/>
      <c r="F748" s="39"/>
      <c r="G748" s="39"/>
      <c r="H748" s="39"/>
    </row>
    <row r="749" customFormat="false" ht="15" hidden="false" customHeight="false" outlineLevel="0" collapsed="false">
      <c r="A749" s="39"/>
      <c r="B749" s="44" t="str">
        <f aca="false">IF($A749="","",IFERROR(INDEX('Suivi EPP'!$B$6:$B$505,MATCH($A749,'Suivi EPP'!$A$6:$A$505,0))&amp;" "&amp;INDEX('Suivi EPP'!$C$6:$C$505,MATCH($A749,'Suivi EPP'!$A$6:$A$505,0)),"Matricule inconnu"))</f>
        <v/>
      </c>
      <c r="C749" s="40"/>
      <c r="D749" s="39"/>
      <c r="E749" s="39"/>
      <c r="F749" s="39"/>
      <c r="G749" s="39"/>
      <c r="H749" s="39"/>
    </row>
    <row r="750" customFormat="false" ht="15" hidden="false" customHeight="false" outlineLevel="0" collapsed="false">
      <c r="A750" s="39"/>
      <c r="B750" s="44" t="str">
        <f aca="false">IF($A750="","",IFERROR(INDEX('Suivi EPP'!$B$6:$B$505,MATCH($A750,'Suivi EPP'!$A$6:$A$505,0))&amp;" "&amp;INDEX('Suivi EPP'!$C$6:$C$505,MATCH($A750,'Suivi EPP'!$A$6:$A$505,0)),"Matricule inconnu"))</f>
        <v/>
      </c>
      <c r="C750" s="40"/>
      <c r="D750" s="39"/>
      <c r="E750" s="39"/>
      <c r="F750" s="39"/>
      <c r="G750" s="39"/>
      <c r="H750" s="39"/>
    </row>
    <row r="751" customFormat="false" ht="15" hidden="false" customHeight="false" outlineLevel="0" collapsed="false">
      <c r="A751" s="39"/>
      <c r="B751" s="44" t="str">
        <f aca="false">IF($A751="","",IFERROR(INDEX('Suivi EPP'!$B$6:$B$505,MATCH($A751,'Suivi EPP'!$A$6:$A$505,0))&amp;" "&amp;INDEX('Suivi EPP'!$C$6:$C$505,MATCH($A751,'Suivi EPP'!$A$6:$A$505,0)),"Matricule inconnu"))</f>
        <v/>
      </c>
      <c r="C751" s="40"/>
      <c r="D751" s="39"/>
      <c r="E751" s="39"/>
      <c r="F751" s="39"/>
      <c r="G751" s="39"/>
      <c r="H751" s="39"/>
    </row>
    <row r="752" customFormat="false" ht="15" hidden="false" customHeight="false" outlineLevel="0" collapsed="false">
      <c r="A752" s="39"/>
      <c r="B752" s="44" t="str">
        <f aca="false">IF($A752="","",IFERROR(INDEX('Suivi EPP'!$B$6:$B$505,MATCH($A752,'Suivi EPP'!$A$6:$A$505,0))&amp;" "&amp;INDEX('Suivi EPP'!$C$6:$C$505,MATCH($A752,'Suivi EPP'!$A$6:$A$505,0)),"Matricule inconnu"))</f>
        <v/>
      </c>
      <c r="C752" s="40"/>
      <c r="D752" s="39"/>
      <c r="E752" s="39"/>
      <c r="F752" s="39"/>
      <c r="G752" s="39"/>
      <c r="H752" s="39"/>
    </row>
    <row r="753" customFormat="false" ht="15" hidden="false" customHeight="false" outlineLevel="0" collapsed="false">
      <c r="A753" s="39"/>
      <c r="B753" s="44" t="str">
        <f aca="false">IF($A753="","",IFERROR(INDEX('Suivi EPP'!$B$6:$B$505,MATCH($A753,'Suivi EPP'!$A$6:$A$505,0))&amp;" "&amp;INDEX('Suivi EPP'!$C$6:$C$505,MATCH($A753,'Suivi EPP'!$A$6:$A$505,0)),"Matricule inconnu"))</f>
        <v/>
      </c>
      <c r="C753" s="40"/>
      <c r="D753" s="39"/>
      <c r="E753" s="39"/>
      <c r="F753" s="39"/>
      <c r="G753" s="39"/>
      <c r="H753" s="39"/>
    </row>
    <row r="754" customFormat="false" ht="15" hidden="false" customHeight="false" outlineLevel="0" collapsed="false">
      <c r="A754" s="39"/>
      <c r="B754" s="44" t="str">
        <f aca="false">IF($A754="","",IFERROR(INDEX('Suivi EPP'!$B$6:$B$505,MATCH($A754,'Suivi EPP'!$A$6:$A$505,0))&amp;" "&amp;INDEX('Suivi EPP'!$C$6:$C$505,MATCH($A754,'Suivi EPP'!$A$6:$A$505,0)),"Matricule inconnu"))</f>
        <v/>
      </c>
      <c r="C754" s="40"/>
      <c r="D754" s="39"/>
      <c r="E754" s="39"/>
      <c r="F754" s="39"/>
      <c r="G754" s="39"/>
      <c r="H754" s="39"/>
    </row>
    <row r="755" customFormat="false" ht="15" hidden="false" customHeight="false" outlineLevel="0" collapsed="false">
      <c r="A755" s="39"/>
      <c r="B755" s="44" t="str">
        <f aca="false">IF($A755="","",IFERROR(INDEX('Suivi EPP'!$B$6:$B$505,MATCH($A755,'Suivi EPP'!$A$6:$A$505,0))&amp;" "&amp;INDEX('Suivi EPP'!$C$6:$C$505,MATCH($A755,'Suivi EPP'!$A$6:$A$505,0)),"Matricule inconnu"))</f>
        <v/>
      </c>
      <c r="C755" s="40"/>
      <c r="D755" s="39"/>
      <c r="E755" s="39"/>
      <c r="F755" s="39"/>
      <c r="G755" s="39"/>
      <c r="H755" s="39"/>
    </row>
    <row r="756" customFormat="false" ht="15" hidden="false" customHeight="false" outlineLevel="0" collapsed="false">
      <c r="A756" s="39"/>
      <c r="B756" s="44" t="str">
        <f aca="false">IF($A756="","",IFERROR(INDEX('Suivi EPP'!$B$6:$B$505,MATCH($A756,'Suivi EPP'!$A$6:$A$505,0))&amp;" "&amp;INDEX('Suivi EPP'!$C$6:$C$505,MATCH($A756,'Suivi EPP'!$A$6:$A$505,0)),"Matricule inconnu"))</f>
        <v/>
      </c>
      <c r="C756" s="40"/>
      <c r="D756" s="39"/>
      <c r="E756" s="39"/>
      <c r="F756" s="39"/>
      <c r="G756" s="39"/>
      <c r="H756" s="39"/>
    </row>
    <row r="757" customFormat="false" ht="15" hidden="false" customHeight="false" outlineLevel="0" collapsed="false">
      <c r="A757" s="39"/>
      <c r="B757" s="44" t="str">
        <f aca="false">IF($A757="","",IFERROR(INDEX('Suivi EPP'!$B$6:$B$505,MATCH($A757,'Suivi EPP'!$A$6:$A$505,0))&amp;" "&amp;INDEX('Suivi EPP'!$C$6:$C$505,MATCH($A757,'Suivi EPP'!$A$6:$A$505,0)),"Matricule inconnu"))</f>
        <v/>
      </c>
      <c r="C757" s="40"/>
      <c r="D757" s="39"/>
      <c r="E757" s="39"/>
      <c r="F757" s="39"/>
      <c r="G757" s="39"/>
      <c r="H757" s="39"/>
    </row>
    <row r="758" customFormat="false" ht="15" hidden="false" customHeight="false" outlineLevel="0" collapsed="false">
      <c r="A758" s="39"/>
      <c r="B758" s="44" t="str">
        <f aca="false">IF($A758="","",IFERROR(INDEX('Suivi EPP'!$B$6:$B$505,MATCH($A758,'Suivi EPP'!$A$6:$A$505,0))&amp;" "&amp;INDEX('Suivi EPP'!$C$6:$C$505,MATCH($A758,'Suivi EPP'!$A$6:$A$505,0)),"Matricule inconnu"))</f>
        <v/>
      </c>
      <c r="C758" s="40"/>
      <c r="D758" s="39"/>
      <c r="E758" s="39"/>
      <c r="F758" s="39"/>
      <c r="G758" s="39"/>
      <c r="H758" s="39"/>
    </row>
    <row r="759" customFormat="false" ht="15" hidden="false" customHeight="false" outlineLevel="0" collapsed="false">
      <c r="A759" s="39"/>
      <c r="B759" s="44" t="str">
        <f aca="false">IF($A759="","",IFERROR(INDEX('Suivi EPP'!$B$6:$B$505,MATCH($A759,'Suivi EPP'!$A$6:$A$505,0))&amp;" "&amp;INDEX('Suivi EPP'!$C$6:$C$505,MATCH($A759,'Suivi EPP'!$A$6:$A$505,0)),"Matricule inconnu"))</f>
        <v/>
      </c>
      <c r="C759" s="40"/>
      <c r="D759" s="39"/>
      <c r="E759" s="39"/>
      <c r="F759" s="39"/>
      <c r="G759" s="39"/>
      <c r="H759" s="39"/>
    </row>
    <row r="760" customFormat="false" ht="15" hidden="false" customHeight="false" outlineLevel="0" collapsed="false">
      <c r="A760" s="39"/>
      <c r="B760" s="44" t="str">
        <f aca="false">IF($A760="","",IFERROR(INDEX('Suivi EPP'!$B$6:$B$505,MATCH($A760,'Suivi EPP'!$A$6:$A$505,0))&amp;" "&amp;INDEX('Suivi EPP'!$C$6:$C$505,MATCH($A760,'Suivi EPP'!$A$6:$A$505,0)),"Matricule inconnu"))</f>
        <v/>
      </c>
      <c r="C760" s="40"/>
      <c r="D760" s="39"/>
      <c r="E760" s="39"/>
      <c r="F760" s="39"/>
      <c r="G760" s="39"/>
      <c r="H760" s="39"/>
    </row>
    <row r="761" customFormat="false" ht="15" hidden="false" customHeight="false" outlineLevel="0" collapsed="false">
      <c r="A761" s="39"/>
      <c r="B761" s="44" t="str">
        <f aca="false">IF($A761="","",IFERROR(INDEX('Suivi EPP'!$B$6:$B$505,MATCH($A761,'Suivi EPP'!$A$6:$A$505,0))&amp;" "&amp;INDEX('Suivi EPP'!$C$6:$C$505,MATCH($A761,'Suivi EPP'!$A$6:$A$505,0)),"Matricule inconnu"))</f>
        <v/>
      </c>
      <c r="C761" s="40"/>
      <c r="D761" s="39"/>
      <c r="E761" s="39"/>
      <c r="F761" s="39"/>
      <c r="G761" s="39"/>
      <c r="H761" s="39"/>
    </row>
    <row r="762" customFormat="false" ht="15" hidden="false" customHeight="false" outlineLevel="0" collapsed="false">
      <c r="A762" s="39"/>
      <c r="B762" s="44" t="str">
        <f aca="false">IF($A762="","",IFERROR(INDEX('Suivi EPP'!$B$6:$B$505,MATCH($A762,'Suivi EPP'!$A$6:$A$505,0))&amp;" "&amp;INDEX('Suivi EPP'!$C$6:$C$505,MATCH($A762,'Suivi EPP'!$A$6:$A$505,0)),"Matricule inconnu"))</f>
        <v/>
      </c>
      <c r="C762" s="40"/>
      <c r="D762" s="39"/>
      <c r="E762" s="39"/>
      <c r="F762" s="39"/>
      <c r="G762" s="39"/>
      <c r="H762" s="39"/>
    </row>
    <row r="763" customFormat="false" ht="15" hidden="false" customHeight="false" outlineLevel="0" collapsed="false">
      <c r="A763" s="39"/>
      <c r="B763" s="44" t="str">
        <f aca="false">IF($A763="","",IFERROR(INDEX('Suivi EPP'!$B$6:$B$505,MATCH($A763,'Suivi EPP'!$A$6:$A$505,0))&amp;" "&amp;INDEX('Suivi EPP'!$C$6:$C$505,MATCH($A763,'Suivi EPP'!$A$6:$A$505,0)),"Matricule inconnu"))</f>
        <v/>
      </c>
      <c r="C763" s="40"/>
      <c r="D763" s="39"/>
      <c r="E763" s="39"/>
      <c r="F763" s="39"/>
      <c r="G763" s="39"/>
      <c r="H763" s="39"/>
    </row>
    <row r="764" customFormat="false" ht="15" hidden="false" customHeight="false" outlineLevel="0" collapsed="false">
      <c r="A764" s="39"/>
      <c r="B764" s="44" t="str">
        <f aca="false">IF($A764="","",IFERROR(INDEX('Suivi EPP'!$B$6:$B$505,MATCH($A764,'Suivi EPP'!$A$6:$A$505,0))&amp;" "&amp;INDEX('Suivi EPP'!$C$6:$C$505,MATCH($A764,'Suivi EPP'!$A$6:$A$505,0)),"Matricule inconnu"))</f>
        <v/>
      </c>
      <c r="C764" s="40"/>
      <c r="D764" s="39"/>
      <c r="E764" s="39"/>
      <c r="F764" s="39"/>
      <c r="G764" s="39"/>
      <c r="H764" s="39"/>
    </row>
    <row r="765" customFormat="false" ht="15" hidden="false" customHeight="false" outlineLevel="0" collapsed="false">
      <c r="A765" s="39"/>
      <c r="B765" s="44" t="str">
        <f aca="false">IF($A765="","",IFERROR(INDEX('Suivi EPP'!$B$6:$B$505,MATCH($A765,'Suivi EPP'!$A$6:$A$505,0))&amp;" "&amp;INDEX('Suivi EPP'!$C$6:$C$505,MATCH($A765,'Suivi EPP'!$A$6:$A$505,0)),"Matricule inconnu"))</f>
        <v/>
      </c>
      <c r="C765" s="40"/>
      <c r="D765" s="39"/>
      <c r="E765" s="39"/>
      <c r="F765" s="39"/>
      <c r="G765" s="39"/>
      <c r="H765" s="39"/>
    </row>
    <row r="766" customFormat="false" ht="15" hidden="false" customHeight="false" outlineLevel="0" collapsed="false">
      <c r="A766" s="39"/>
      <c r="B766" s="44" t="str">
        <f aca="false">IF($A766="","",IFERROR(INDEX('Suivi EPP'!$B$6:$B$505,MATCH($A766,'Suivi EPP'!$A$6:$A$505,0))&amp;" "&amp;INDEX('Suivi EPP'!$C$6:$C$505,MATCH($A766,'Suivi EPP'!$A$6:$A$505,0)),"Matricule inconnu"))</f>
        <v/>
      </c>
      <c r="C766" s="40"/>
      <c r="D766" s="39"/>
      <c r="E766" s="39"/>
      <c r="F766" s="39"/>
      <c r="G766" s="39"/>
      <c r="H766" s="39"/>
    </row>
    <row r="767" customFormat="false" ht="15" hidden="false" customHeight="false" outlineLevel="0" collapsed="false">
      <c r="A767" s="39"/>
      <c r="B767" s="44" t="str">
        <f aca="false">IF($A767="","",IFERROR(INDEX('Suivi EPP'!$B$6:$B$505,MATCH($A767,'Suivi EPP'!$A$6:$A$505,0))&amp;" "&amp;INDEX('Suivi EPP'!$C$6:$C$505,MATCH($A767,'Suivi EPP'!$A$6:$A$505,0)),"Matricule inconnu"))</f>
        <v/>
      </c>
      <c r="C767" s="40"/>
      <c r="D767" s="39"/>
      <c r="E767" s="39"/>
      <c r="F767" s="39"/>
      <c r="G767" s="39"/>
      <c r="H767" s="39"/>
    </row>
    <row r="768" customFormat="false" ht="15" hidden="false" customHeight="false" outlineLevel="0" collapsed="false">
      <c r="A768" s="39"/>
      <c r="B768" s="44" t="str">
        <f aca="false">IF($A768="","",IFERROR(INDEX('Suivi EPP'!$B$6:$B$505,MATCH($A768,'Suivi EPP'!$A$6:$A$505,0))&amp;" "&amp;INDEX('Suivi EPP'!$C$6:$C$505,MATCH($A768,'Suivi EPP'!$A$6:$A$505,0)),"Matricule inconnu"))</f>
        <v/>
      </c>
      <c r="C768" s="40"/>
      <c r="D768" s="39"/>
      <c r="E768" s="39"/>
      <c r="F768" s="39"/>
      <c r="G768" s="39"/>
      <c r="H768" s="39"/>
    </row>
    <row r="769" customFormat="false" ht="15" hidden="false" customHeight="false" outlineLevel="0" collapsed="false">
      <c r="A769" s="39"/>
      <c r="B769" s="44" t="str">
        <f aca="false">IF($A769="","",IFERROR(INDEX('Suivi EPP'!$B$6:$B$505,MATCH($A769,'Suivi EPP'!$A$6:$A$505,0))&amp;" "&amp;INDEX('Suivi EPP'!$C$6:$C$505,MATCH($A769,'Suivi EPP'!$A$6:$A$505,0)),"Matricule inconnu"))</f>
        <v/>
      </c>
      <c r="C769" s="40"/>
      <c r="D769" s="39"/>
      <c r="E769" s="39"/>
      <c r="F769" s="39"/>
      <c r="G769" s="39"/>
      <c r="H769" s="39"/>
    </row>
    <row r="770" customFormat="false" ht="15" hidden="false" customHeight="false" outlineLevel="0" collapsed="false">
      <c r="A770" s="39"/>
      <c r="B770" s="44" t="str">
        <f aca="false">IF($A770="","",IFERROR(INDEX('Suivi EPP'!$B$6:$B$505,MATCH($A770,'Suivi EPP'!$A$6:$A$505,0))&amp;" "&amp;INDEX('Suivi EPP'!$C$6:$C$505,MATCH($A770,'Suivi EPP'!$A$6:$A$505,0)),"Matricule inconnu"))</f>
        <v/>
      </c>
      <c r="C770" s="40"/>
      <c r="D770" s="39"/>
      <c r="E770" s="39"/>
      <c r="F770" s="39"/>
      <c r="G770" s="39"/>
      <c r="H770" s="39"/>
    </row>
    <row r="771" customFormat="false" ht="15" hidden="false" customHeight="false" outlineLevel="0" collapsed="false">
      <c r="A771" s="39"/>
      <c r="B771" s="44" t="str">
        <f aca="false">IF($A771="","",IFERROR(INDEX('Suivi EPP'!$B$6:$B$505,MATCH($A771,'Suivi EPP'!$A$6:$A$505,0))&amp;" "&amp;INDEX('Suivi EPP'!$C$6:$C$505,MATCH($A771,'Suivi EPP'!$A$6:$A$505,0)),"Matricule inconnu"))</f>
        <v/>
      </c>
      <c r="C771" s="40"/>
      <c r="D771" s="39"/>
      <c r="E771" s="39"/>
      <c r="F771" s="39"/>
      <c r="G771" s="39"/>
      <c r="H771" s="39"/>
    </row>
    <row r="772" customFormat="false" ht="15" hidden="false" customHeight="false" outlineLevel="0" collapsed="false">
      <c r="A772" s="39"/>
      <c r="B772" s="44" t="str">
        <f aca="false">IF($A772="","",IFERROR(INDEX('Suivi EPP'!$B$6:$B$505,MATCH($A772,'Suivi EPP'!$A$6:$A$505,0))&amp;" "&amp;INDEX('Suivi EPP'!$C$6:$C$505,MATCH($A772,'Suivi EPP'!$A$6:$A$505,0)),"Matricule inconnu"))</f>
        <v/>
      </c>
      <c r="C772" s="40"/>
      <c r="D772" s="39"/>
      <c r="E772" s="39"/>
      <c r="F772" s="39"/>
      <c r="G772" s="39"/>
      <c r="H772" s="39"/>
    </row>
    <row r="773" customFormat="false" ht="15" hidden="false" customHeight="false" outlineLevel="0" collapsed="false">
      <c r="A773" s="39"/>
      <c r="B773" s="44" t="str">
        <f aca="false">IF($A773="","",IFERROR(INDEX('Suivi EPP'!$B$6:$B$505,MATCH($A773,'Suivi EPP'!$A$6:$A$505,0))&amp;" "&amp;INDEX('Suivi EPP'!$C$6:$C$505,MATCH($A773,'Suivi EPP'!$A$6:$A$505,0)),"Matricule inconnu"))</f>
        <v/>
      </c>
      <c r="C773" s="40"/>
      <c r="D773" s="39"/>
      <c r="E773" s="39"/>
      <c r="F773" s="39"/>
      <c r="G773" s="39"/>
      <c r="H773" s="39"/>
    </row>
    <row r="774" customFormat="false" ht="15" hidden="false" customHeight="false" outlineLevel="0" collapsed="false">
      <c r="A774" s="39"/>
      <c r="B774" s="44" t="str">
        <f aca="false">IF($A774="","",IFERROR(INDEX('Suivi EPP'!$B$6:$B$505,MATCH($A774,'Suivi EPP'!$A$6:$A$505,0))&amp;" "&amp;INDEX('Suivi EPP'!$C$6:$C$505,MATCH($A774,'Suivi EPP'!$A$6:$A$505,0)),"Matricule inconnu"))</f>
        <v/>
      </c>
      <c r="C774" s="40"/>
      <c r="D774" s="39"/>
      <c r="E774" s="39"/>
      <c r="F774" s="39"/>
      <c r="G774" s="39"/>
      <c r="H774" s="39"/>
    </row>
    <row r="775" customFormat="false" ht="15" hidden="false" customHeight="false" outlineLevel="0" collapsed="false">
      <c r="A775" s="39"/>
      <c r="B775" s="44" t="str">
        <f aca="false">IF($A775="","",IFERROR(INDEX('Suivi EPP'!$B$6:$B$505,MATCH($A775,'Suivi EPP'!$A$6:$A$505,0))&amp;" "&amp;INDEX('Suivi EPP'!$C$6:$C$505,MATCH($A775,'Suivi EPP'!$A$6:$A$505,0)),"Matricule inconnu"))</f>
        <v/>
      </c>
      <c r="C775" s="40"/>
      <c r="D775" s="39"/>
      <c r="E775" s="39"/>
      <c r="F775" s="39"/>
      <c r="G775" s="39"/>
      <c r="H775" s="39"/>
    </row>
    <row r="776" customFormat="false" ht="15" hidden="false" customHeight="false" outlineLevel="0" collapsed="false">
      <c r="A776" s="39"/>
      <c r="B776" s="44" t="str">
        <f aca="false">IF($A776="","",IFERROR(INDEX('Suivi EPP'!$B$6:$B$505,MATCH($A776,'Suivi EPP'!$A$6:$A$505,0))&amp;" "&amp;INDEX('Suivi EPP'!$C$6:$C$505,MATCH($A776,'Suivi EPP'!$A$6:$A$505,0)),"Matricule inconnu"))</f>
        <v/>
      </c>
      <c r="C776" s="40"/>
      <c r="D776" s="39"/>
      <c r="E776" s="39"/>
      <c r="F776" s="39"/>
      <c r="G776" s="39"/>
      <c r="H776" s="39"/>
    </row>
    <row r="777" customFormat="false" ht="15" hidden="false" customHeight="false" outlineLevel="0" collapsed="false">
      <c r="A777" s="39"/>
      <c r="B777" s="44" t="str">
        <f aca="false">IF($A777="","",IFERROR(INDEX('Suivi EPP'!$B$6:$B$505,MATCH($A777,'Suivi EPP'!$A$6:$A$505,0))&amp;" "&amp;INDEX('Suivi EPP'!$C$6:$C$505,MATCH($A777,'Suivi EPP'!$A$6:$A$505,0)),"Matricule inconnu"))</f>
        <v/>
      </c>
      <c r="C777" s="40"/>
      <c r="D777" s="39"/>
      <c r="E777" s="39"/>
      <c r="F777" s="39"/>
      <c r="G777" s="39"/>
      <c r="H777" s="39"/>
    </row>
    <row r="778" customFormat="false" ht="15" hidden="false" customHeight="false" outlineLevel="0" collapsed="false">
      <c r="A778" s="39"/>
      <c r="B778" s="44" t="str">
        <f aca="false">IF($A778="","",IFERROR(INDEX('Suivi EPP'!$B$6:$B$505,MATCH($A778,'Suivi EPP'!$A$6:$A$505,0))&amp;" "&amp;INDEX('Suivi EPP'!$C$6:$C$505,MATCH($A778,'Suivi EPP'!$A$6:$A$505,0)),"Matricule inconnu"))</f>
        <v/>
      </c>
      <c r="C778" s="40"/>
      <c r="D778" s="39"/>
      <c r="E778" s="39"/>
      <c r="F778" s="39"/>
      <c r="G778" s="39"/>
      <c r="H778" s="39"/>
    </row>
    <row r="779" customFormat="false" ht="15" hidden="false" customHeight="false" outlineLevel="0" collapsed="false">
      <c r="A779" s="39"/>
      <c r="B779" s="44" t="str">
        <f aca="false">IF($A779="","",IFERROR(INDEX('Suivi EPP'!$B$6:$B$505,MATCH($A779,'Suivi EPP'!$A$6:$A$505,0))&amp;" "&amp;INDEX('Suivi EPP'!$C$6:$C$505,MATCH($A779,'Suivi EPP'!$A$6:$A$505,0)),"Matricule inconnu"))</f>
        <v/>
      </c>
      <c r="C779" s="40"/>
      <c r="D779" s="39"/>
      <c r="E779" s="39"/>
      <c r="F779" s="39"/>
      <c r="G779" s="39"/>
      <c r="H779" s="39"/>
    </row>
    <row r="780" customFormat="false" ht="15" hidden="false" customHeight="false" outlineLevel="0" collapsed="false">
      <c r="A780" s="39"/>
      <c r="B780" s="44" t="str">
        <f aca="false">IF($A780="","",IFERROR(INDEX('Suivi EPP'!$B$6:$B$505,MATCH($A780,'Suivi EPP'!$A$6:$A$505,0))&amp;" "&amp;INDEX('Suivi EPP'!$C$6:$C$505,MATCH($A780,'Suivi EPP'!$A$6:$A$505,0)),"Matricule inconnu"))</f>
        <v/>
      </c>
      <c r="C780" s="40"/>
      <c r="D780" s="39"/>
      <c r="E780" s="39"/>
      <c r="F780" s="39"/>
      <c r="G780" s="39"/>
      <c r="H780" s="39"/>
    </row>
    <row r="781" customFormat="false" ht="15" hidden="false" customHeight="false" outlineLevel="0" collapsed="false">
      <c r="A781" s="39"/>
      <c r="B781" s="44" t="str">
        <f aca="false">IF($A781="","",IFERROR(INDEX('Suivi EPP'!$B$6:$B$505,MATCH($A781,'Suivi EPP'!$A$6:$A$505,0))&amp;" "&amp;INDEX('Suivi EPP'!$C$6:$C$505,MATCH($A781,'Suivi EPP'!$A$6:$A$505,0)),"Matricule inconnu"))</f>
        <v/>
      </c>
      <c r="C781" s="40"/>
      <c r="D781" s="39"/>
      <c r="E781" s="39"/>
      <c r="F781" s="39"/>
      <c r="G781" s="39"/>
      <c r="H781" s="39"/>
    </row>
    <row r="782" customFormat="false" ht="15" hidden="false" customHeight="false" outlineLevel="0" collapsed="false">
      <c r="A782" s="39"/>
      <c r="B782" s="44" t="str">
        <f aca="false">IF($A782="","",IFERROR(INDEX('Suivi EPP'!$B$6:$B$505,MATCH($A782,'Suivi EPP'!$A$6:$A$505,0))&amp;" "&amp;INDEX('Suivi EPP'!$C$6:$C$505,MATCH($A782,'Suivi EPP'!$A$6:$A$505,0)),"Matricule inconnu"))</f>
        <v/>
      </c>
      <c r="C782" s="40"/>
      <c r="D782" s="39"/>
      <c r="E782" s="39"/>
      <c r="F782" s="39"/>
      <c r="G782" s="39"/>
      <c r="H782" s="39"/>
    </row>
    <row r="783" customFormat="false" ht="15" hidden="false" customHeight="false" outlineLevel="0" collapsed="false">
      <c r="A783" s="39"/>
      <c r="B783" s="44" t="str">
        <f aca="false">IF($A783="","",IFERROR(INDEX('Suivi EPP'!$B$6:$B$505,MATCH($A783,'Suivi EPP'!$A$6:$A$505,0))&amp;" "&amp;INDEX('Suivi EPP'!$C$6:$C$505,MATCH($A783,'Suivi EPP'!$A$6:$A$505,0)),"Matricule inconnu"))</f>
        <v/>
      </c>
      <c r="C783" s="40"/>
      <c r="D783" s="39"/>
      <c r="E783" s="39"/>
      <c r="F783" s="39"/>
      <c r="G783" s="39"/>
      <c r="H783" s="39"/>
    </row>
    <row r="784" customFormat="false" ht="15" hidden="false" customHeight="false" outlineLevel="0" collapsed="false">
      <c r="A784" s="39"/>
      <c r="B784" s="44" t="str">
        <f aca="false">IF($A784="","",IFERROR(INDEX('Suivi EPP'!$B$6:$B$505,MATCH($A784,'Suivi EPP'!$A$6:$A$505,0))&amp;" "&amp;INDEX('Suivi EPP'!$C$6:$C$505,MATCH($A784,'Suivi EPP'!$A$6:$A$505,0)),"Matricule inconnu"))</f>
        <v/>
      </c>
      <c r="C784" s="40"/>
      <c r="D784" s="39"/>
      <c r="E784" s="39"/>
      <c r="F784" s="39"/>
      <c r="G784" s="39"/>
      <c r="H784" s="39"/>
    </row>
    <row r="785" customFormat="false" ht="15" hidden="false" customHeight="false" outlineLevel="0" collapsed="false">
      <c r="A785" s="39"/>
      <c r="B785" s="44" t="str">
        <f aca="false">IF($A785="","",IFERROR(INDEX('Suivi EPP'!$B$6:$B$505,MATCH($A785,'Suivi EPP'!$A$6:$A$505,0))&amp;" "&amp;INDEX('Suivi EPP'!$C$6:$C$505,MATCH($A785,'Suivi EPP'!$A$6:$A$505,0)),"Matricule inconnu"))</f>
        <v/>
      </c>
      <c r="C785" s="40"/>
      <c r="D785" s="39"/>
      <c r="E785" s="39"/>
      <c r="F785" s="39"/>
      <c r="G785" s="39"/>
      <c r="H785" s="39"/>
    </row>
    <row r="786" customFormat="false" ht="15" hidden="false" customHeight="false" outlineLevel="0" collapsed="false">
      <c r="A786" s="39"/>
      <c r="B786" s="44" t="str">
        <f aca="false">IF($A786="","",IFERROR(INDEX('Suivi EPP'!$B$6:$B$505,MATCH($A786,'Suivi EPP'!$A$6:$A$505,0))&amp;" "&amp;INDEX('Suivi EPP'!$C$6:$C$505,MATCH($A786,'Suivi EPP'!$A$6:$A$505,0)),"Matricule inconnu"))</f>
        <v/>
      </c>
      <c r="C786" s="40"/>
      <c r="D786" s="39"/>
      <c r="E786" s="39"/>
      <c r="F786" s="39"/>
      <c r="G786" s="39"/>
      <c r="H786" s="39"/>
    </row>
    <row r="787" customFormat="false" ht="15" hidden="false" customHeight="false" outlineLevel="0" collapsed="false">
      <c r="A787" s="39"/>
      <c r="B787" s="44" t="str">
        <f aca="false">IF($A787="","",IFERROR(INDEX('Suivi EPP'!$B$6:$B$505,MATCH($A787,'Suivi EPP'!$A$6:$A$505,0))&amp;" "&amp;INDEX('Suivi EPP'!$C$6:$C$505,MATCH($A787,'Suivi EPP'!$A$6:$A$505,0)),"Matricule inconnu"))</f>
        <v/>
      </c>
      <c r="C787" s="40"/>
      <c r="D787" s="39"/>
      <c r="E787" s="39"/>
      <c r="F787" s="39"/>
      <c r="G787" s="39"/>
      <c r="H787" s="39"/>
    </row>
    <row r="788" customFormat="false" ht="15" hidden="false" customHeight="false" outlineLevel="0" collapsed="false">
      <c r="A788" s="39"/>
      <c r="B788" s="44" t="str">
        <f aca="false">IF($A788="","",IFERROR(INDEX('Suivi EPP'!$B$6:$B$505,MATCH($A788,'Suivi EPP'!$A$6:$A$505,0))&amp;" "&amp;INDEX('Suivi EPP'!$C$6:$C$505,MATCH($A788,'Suivi EPP'!$A$6:$A$505,0)),"Matricule inconnu"))</f>
        <v/>
      </c>
      <c r="C788" s="40"/>
      <c r="D788" s="39"/>
      <c r="E788" s="39"/>
      <c r="F788" s="39"/>
      <c r="G788" s="39"/>
      <c r="H788" s="39"/>
    </row>
    <row r="789" customFormat="false" ht="15" hidden="false" customHeight="false" outlineLevel="0" collapsed="false">
      <c r="A789" s="39"/>
      <c r="B789" s="44" t="str">
        <f aca="false">IF($A789="","",IFERROR(INDEX('Suivi EPP'!$B$6:$B$505,MATCH($A789,'Suivi EPP'!$A$6:$A$505,0))&amp;" "&amp;INDEX('Suivi EPP'!$C$6:$C$505,MATCH($A789,'Suivi EPP'!$A$6:$A$505,0)),"Matricule inconnu"))</f>
        <v/>
      </c>
      <c r="C789" s="40"/>
      <c r="D789" s="39"/>
      <c r="E789" s="39"/>
      <c r="F789" s="39"/>
      <c r="G789" s="39"/>
      <c r="H789" s="39"/>
    </row>
    <row r="790" customFormat="false" ht="15" hidden="false" customHeight="false" outlineLevel="0" collapsed="false">
      <c r="A790" s="39"/>
      <c r="B790" s="44" t="str">
        <f aca="false">IF($A790="","",IFERROR(INDEX('Suivi EPP'!$B$6:$B$505,MATCH($A790,'Suivi EPP'!$A$6:$A$505,0))&amp;" "&amp;INDEX('Suivi EPP'!$C$6:$C$505,MATCH($A790,'Suivi EPP'!$A$6:$A$505,0)),"Matricule inconnu"))</f>
        <v/>
      </c>
      <c r="C790" s="40"/>
      <c r="D790" s="39"/>
      <c r="E790" s="39"/>
      <c r="F790" s="39"/>
      <c r="G790" s="39"/>
      <c r="H790" s="39"/>
    </row>
    <row r="791" customFormat="false" ht="15" hidden="false" customHeight="false" outlineLevel="0" collapsed="false">
      <c r="A791" s="39"/>
      <c r="B791" s="44" t="str">
        <f aca="false">IF($A791="","",IFERROR(INDEX('Suivi EPP'!$B$6:$B$505,MATCH($A791,'Suivi EPP'!$A$6:$A$505,0))&amp;" "&amp;INDEX('Suivi EPP'!$C$6:$C$505,MATCH($A791,'Suivi EPP'!$A$6:$A$505,0)),"Matricule inconnu"))</f>
        <v/>
      </c>
      <c r="C791" s="40"/>
      <c r="D791" s="39"/>
      <c r="E791" s="39"/>
      <c r="F791" s="39"/>
      <c r="G791" s="39"/>
      <c r="H791" s="39"/>
    </row>
    <row r="792" customFormat="false" ht="15" hidden="false" customHeight="false" outlineLevel="0" collapsed="false">
      <c r="A792" s="39"/>
      <c r="B792" s="44" t="str">
        <f aca="false">IF($A792="","",IFERROR(INDEX('Suivi EPP'!$B$6:$B$505,MATCH($A792,'Suivi EPP'!$A$6:$A$505,0))&amp;" "&amp;INDEX('Suivi EPP'!$C$6:$C$505,MATCH($A792,'Suivi EPP'!$A$6:$A$505,0)),"Matricule inconnu"))</f>
        <v/>
      </c>
      <c r="C792" s="40"/>
      <c r="D792" s="39"/>
      <c r="E792" s="39"/>
      <c r="F792" s="39"/>
      <c r="G792" s="39"/>
      <c r="H792" s="39"/>
    </row>
    <row r="793" customFormat="false" ht="15" hidden="false" customHeight="false" outlineLevel="0" collapsed="false">
      <c r="A793" s="39"/>
      <c r="B793" s="44" t="str">
        <f aca="false">IF($A793="","",IFERROR(INDEX('Suivi EPP'!$B$6:$B$505,MATCH($A793,'Suivi EPP'!$A$6:$A$505,0))&amp;" "&amp;INDEX('Suivi EPP'!$C$6:$C$505,MATCH($A793,'Suivi EPP'!$A$6:$A$505,0)),"Matricule inconnu"))</f>
        <v/>
      </c>
      <c r="C793" s="40"/>
      <c r="D793" s="39"/>
      <c r="E793" s="39"/>
      <c r="F793" s="39"/>
      <c r="G793" s="39"/>
      <c r="H793" s="39"/>
    </row>
    <row r="794" customFormat="false" ht="15" hidden="false" customHeight="false" outlineLevel="0" collapsed="false">
      <c r="A794" s="39"/>
      <c r="B794" s="44" t="str">
        <f aca="false">IF($A794="","",IFERROR(INDEX('Suivi EPP'!$B$6:$B$505,MATCH($A794,'Suivi EPP'!$A$6:$A$505,0))&amp;" "&amp;INDEX('Suivi EPP'!$C$6:$C$505,MATCH($A794,'Suivi EPP'!$A$6:$A$505,0)),"Matricule inconnu"))</f>
        <v/>
      </c>
      <c r="C794" s="40"/>
      <c r="D794" s="39"/>
      <c r="E794" s="39"/>
      <c r="F794" s="39"/>
      <c r="G794" s="39"/>
      <c r="H794" s="39"/>
    </row>
    <row r="795" customFormat="false" ht="15" hidden="false" customHeight="false" outlineLevel="0" collapsed="false">
      <c r="A795" s="39"/>
      <c r="B795" s="44" t="str">
        <f aca="false">IF($A795="","",IFERROR(INDEX('Suivi EPP'!$B$6:$B$505,MATCH($A795,'Suivi EPP'!$A$6:$A$505,0))&amp;" "&amp;INDEX('Suivi EPP'!$C$6:$C$505,MATCH($A795,'Suivi EPP'!$A$6:$A$505,0)),"Matricule inconnu"))</f>
        <v/>
      </c>
      <c r="C795" s="40"/>
      <c r="D795" s="39"/>
      <c r="E795" s="39"/>
      <c r="F795" s="39"/>
      <c r="G795" s="39"/>
      <c r="H795" s="39"/>
    </row>
    <row r="796" customFormat="false" ht="15" hidden="false" customHeight="false" outlineLevel="0" collapsed="false">
      <c r="A796" s="39"/>
      <c r="B796" s="44" t="str">
        <f aca="false">IF($A796="","",IFERROR(INDEX('Suivi EPP'!$B$6:$B$505,MATCH($A796,'Suivi EPP'!$A$6:$A$505,0))&amp;" "&amp;INDEX('Suivi EPP'!$C$6:$C$505,MATCH($A796,'Suivi EPP'!$A$6:$A$505,0)),"Matricule inconnu"))</f>
        <v/>
      </c>
      <c r="C796" s="40"/>
      <c r="D796" s="39"/>
      <c r="E796" s="39"/>
      <c r="F796" s="39"/>
      <c r="G796" s="39"/>
      <c r="H796" s="39"/>
    </row>
    <row r="797" customFormat="false" ht="15" hidden="false" customHeight="false" outlineLevel="0" collapsed="false">
      <c r="A797" s="39"/>
      <c r="B797" s="44" t="str">
        <f aca="false">IF($A797="","",IFERROR(INDEX('Suivi EPP'!$B$6:$B$505,MATCH($A797,'Suivi EPP'!$A$6:$A$505,0))&amp;" "&amp;INDEX('Suivi EPP'!$C$6:$C$505,MATCH($A797,'Suivi EPP'!$A$6:$A$505,0)),"Matricule inconnu"))</f>
        <v/>
      </c>
      <c r="C797" s="40"/>
      <c r="D797" s="39"/>
      <c r="E797" s="39"/>
      <c r="F797" s="39"/>
      <c r="G797" s="39"/>
      <c r="H797" s="39"/>
    </row>
    <row r="798" customFormat="false" ht="15" hidden="false" customHeight="false" outlineLevel="0" collapsed="false">
      <c r="A798" s="39"/>
      <c r="B798" s="44" t="str">
        <f aca="false">IF($A798="","",IFERROR(INDEX('Suivi EPP'!$B$6:$B$505,MATCH($A798,'Suivi EPP'!$A$6:$A$505,0))&amp;" "&amp;INDEX('Suivi EPP'!$C$6:$C$505,MATCH($A798,'Suivi EPP'!$A$6:$A$505,0)),"Matricule inconnu"))</f>
        <v/>
      </c>
      <c r="C798" s="40"/>
      <c r="D798" s="39"/>
      <c r="E798" s="39"/>
      <c r="F798" s="39"/>
      <c r="G798" s="39"/>
      <c r="H798" s="39"/>
    </row>
    <row r="799" customFormat="false" ht="15" hidden="false" customHeight="false" outlineLevel="0" collapsed="false">
      <c r="A799" s="39"/>
      <c r="B799" s="44" t="str">
        <f aca="false">IF($A799="","",IFERROR(INDEX('Suivi EPP'!$B$6:$B$505,MATCH($A799,'Suivi EPP'!$A$6:$A$505,0))&amp;" "&amp;INDEX('Suivi EPP'!$C$6:$C$505,MATCH($A799,'Suivi EPP'!$A$6:$A$505,0)),"Matricule inconnu"))</f>
        <v/>
      </c>
      <c r="C799" s="40"/>
      <c r="D799" s="39"/>
      <c r="E799" s="39"/>
      <c r="F799" s="39"/>
      <c r="G799" s="39"/>
      <c r="H799" s="39"/>
    </row>
    <row r="800" customFormat="false" ht="15" hidden="false" customHeight="false" outlineLevel="0" collapsed="false">
      <c r="A800" s="39"/>
      <c r="B800" s="44" t="str">
        <f aca="false">IF($A800="","",IFERROR(INDEX('Suivi EPP'!$B$6:$B$505,MATCH($A800,'Suivi EPP'!$A$6:$A$505,0))&amp;" "&amp;INDEX('Suivi EPP'!$C$6:$C$505,MATCH($A800,'Suivi EPP'!$A$6:$A$505,0)),"Matricule inconnu"))</f>
        <v/>
      </c>
      <c r="C800" s="40"/>
      <c r="D800" s="39"/>
      <c r="E800" s="39"/>
      <c r="F800" s="39"/>
      <c r="G800" s="39"/>
      <c r="H800" s="39"/>
    </row>
    <row r="801" customFormat="false" ht="15" hidden="false" customHeight="false" outlineLevel="0" collapsed="false">
      <c r="A801" s="39"/>
      <c r="B801" s="44" t="str">
        <f aca="false">IF($A801="","",IFERROR(INDEX('Suivi EPP'!$B$6:$B$505,MATCH($A801,'Suivi EPP'!$A$6:$A$505,0))&amp;" "&amp;INDEX('Suivi EPP'!$C$6:$C$505,MATCH($A801,'Suivi EPP'!$A$6:$A$505,0)),"Matricule inconnu"))</f>
        <v/>
      </c>
      <c r="C801" s="40"/>
      <c r="D801" s="39"/>
      <c r="E801" s="39"/>
      <c r="F801" s="39"/>
      <c r="G801" s="39"/>
      <c r="H801" s="39"/>
    </row>
    <row r="802" customFormat="false" ht="15" hidden="false" customHeight="false" outlineLevel="0" collapsed="false">
      <c r="A802" s="39"/>
      <c r="B802" s="44" t="str">
        <f aca="false">IF($A802="","",IFERROR(INDEX('Suivi EPP'!$B$6:$B$505,MATCH($A802,'Suivi EPP'!$A$6:$A$505,0))&amp;" "&amp;INDEX('Suivi EPP'!$C$6:$C$505,MATCH($A802,'Suivi EPP'!$A$6:$A$505,0)),"Matricule inconnu"))</f>
        <v/>
      </c>
      <c r="C802" s="40"/>
      <c r="D802" s="39"/>
      <c r="E802" s="39"/>
      <c r="F802" s="39"/>
      <c r="G802" s="39"/>
      <c r="H802" s="39"/>
    </row>
    <row r="803" customFormat="false" ht="15" hidden="false" customHeight="false" outlineLevel="0" collapsed="false">
      <c r="A803" s="39"/>
      <c r="B803" s="44" t="str">
        <f aca="false">IF($A803="","",IFERROR(INDEX('Suivi EPP'!$B$6:$B$505,MATCH($A803,'Suivi EPP'!$A$6:$A$505,0))&amp;" "&amp;INDEX('Suivi EPP'!$C$6:$C$505,MATCH($A803,'Suivi EPP'!$A$6:$A$505,0)),"Matricule inconnu"))</f>
        <v/>
      </c>
      <c r="C803" s="40"/>
      <c r="D803" s="39"/>
      <c r="E803" s="39"/>
      <c r="F803" s="39"/>
      <c r="G803" s="39"/>
      <c r="H803" s="39"/>
    </row>
    <row r="804" customFormat="false" ht="15" hidden="false" customHeight="false" outlineLevel="0" collapsed="false">
      <c r="A804" s="39"/>
      <c r="B804" s="44" t="str">
        <f aca="false">IF($A804="","",IFERROR(INDEX('Suivi EPP'!$B$6:$B$505,MATCH($A804,'Suivi EPP'!$A$6:$A$505,0))&amp;" "&amp;INDEX('Suivi EPP'!$C$6:$C$505,MATCH($A804,'Suivi EPP'!$A$6:$A$505,0)),"Matricule inconnu"))</f>
        <v/>
      </c>
      <c r="C804" s="40"/>
      <c r="D804" s="39"/>
      <c r="E804" s="39"/>
      <c r="F804" s="39"/>
      <c r="G804" s="39"/>
      <c r="H804" s="39"/>
    </row>
    <row r="805" customFormat="false" ht="15" hidden="false" customHeight="false" outlineLevel="0" collapsed="false">
      <c r="A805" s="39"/>
      <c r="B805" s="44" t="str">
        <f aca="false">IF($A805="","",IFERROR(INDEX('Suivi EPP'!$B$6:$B$505,MATCH($A805,'Suivi EPP'!$A$6:$A$505,0))&amp;" "&amp;INDEX('Suivi EPP'!$C$6:$C$505,MATCH($A805,'Suivi EPP'!$A$6:$A$505,0)),"Matricule inconnu"))</f>
        <v/>
      </c>
      <c r="C805" s="40"/>
      <c r="D805" s="39"/>
      <c r="E805" s="39"/>
      <c r="F805" s="39"/>
      <c r="G805" s="39"/>
      <c r="H805" s="39"/>
    </row>
    <row r="806" customFormat="false" ht="15" hidden="false" customHeight="false" outlineLevel="0" collapsed="false">
      <c r="A806" s="39"/>
      <c r="B806" s="44" t="str">
        <f aca="false">IF($A806="","",IFERROR(INDEX('Suivi EPP'!$B$6:$B$505,MATCH($A806,'Suivi EPP'!$A$6:$A$505,0))&amp;" "&amp;INDEX('Suivi EPP'!$C$6:$C$505,MATCH($A806,'Suivi EPP'!$A$6:$A$505,0)),"Matricule inconnu"))</f>
        <v/>
      </c>
      <c r="C806" s="40"/>
      <c r="D806" s="39"/>
      <c r="E806" s="39"/>
      <c r="F806" s="39"/>
      <c r="G806" s="39"/>
      <c r="H806" s="39"/>
    </row>
    <row r="807" customFormat="false" ht="15" hidden="false" customHeight="false" outlineLevel="0" collapsed="false">
      <c r="A807" s="39"/>
      <c r="B807" s="44" t="str">
        <f aca="false">IF($A807="","",IFERROR(INDEX('Suivi EPP'!$B$6:$B$505,MATCH($A807,'Suivi EPP'!$A$6:$A$505,0))&amp;" "&amp;INDEX('Suivi EPP'!$C$6:$C$505,MATCH($A807,'Suivi EPP'!$A$6:$A$505,0)),"Matricule inconnu"))</f>
        <v/>
      </c>
      <c r="C807" s="40"/>
      <c r="D807" s="39"/>
      <c r="E807" s="39"/>
      <c r="F807" s="39"/>
      <c r="G807" s="39"/>
      <c r="H807" s="39"/>
    </row>
    <row r="808" customFormat="false" ht="15" hidden="false" customHeight="false" outlineLevel="0" collapsed="false">
      <c r="A808" s="39"/>
      <c r="B808" s="44" t="str">
        <f aca="false">IF($A808="","",IFERROR(INDEX('Suivi EPP'!$B$6:$B$505,MATCH($A808,'Suivi EPP'!$A$6:$A$505,0))&amp;" "&amp;INDEX('Suivi EPP'!$C$6:$C$505,MATCH($A808,'Suivi EPP'!$A$6:$A$505,0)),"Matricule inconnu"))</f>
        <v/>
      </c>
      <c r="C808" s="40"/>
      <c r="D808" s="39"/>
      <c r="E808" s="39"/>
      <c r="F808" s="39"/>
      <c r="G808" s="39"/>
      <c r="H808" s="39"/>
    </row>
    <row r="809" customFormat="false" ht="15" hidden="false" customHeight="false" outlineLevel="0" collapsed="false">
      <c r="A809" s="39"/>
      <c r="B809" s="44" t="str">
        <f aca="false">IF($A809="","",IFERROR(INDEX('Suivi EPP'!$B$6:$B$505,MATCH($A809,'Suivi EPP'!$A$6:$A$505,0))&amp;" "&amp;INDEX('Suivi EPP'!$C$6:$C$505,MATCH($A809,'Suivi EPP'!$A$6:$A$505,0)),"Matricule inconnu"))</f>
        <v/>
      </c>
      <c r="C809" s="40"/>
      <c r="D809" s="39"/>
      <c r="E809" s="39"/>
      <c r="F809" s="39"/>
      <c r="G809" s="39"/>
      <c r="H809" s="39"/>
    </row>
    <row r="810" customFormat="false" ht="15" hidden="false" customHeight="false" outlineLevel="0" collapsed="false">
      <c r="A810" s="39"/>
      <c r="B810" s="44" t="str">
        <f aca="false">IF($A810="","",IFERROR(INDEX('Suivi EPP'!$B$6:$B$505,MATCH($A810,'Suivi EPP'!$A$6:$A$505,0))&amp;" "&amp;INDEX('Suivi EPP'!$C$6:$C$505,MATCH($A810,'Suivi EPP'!$A$6:$A$505,0)),"Matricule inconnu"))</f>
        <v/>
      </c>
      <c r="C810" s="40"/>
      <c r="D810" s="39"/>
      <c r="E810" s="39"/>
      <c r="F810" s="39"/>
      <c r="G810" s="39"/>
      <c r="H810" s="39"/>
    </row>
    <row r="811" customFormat="false" ht="15" hidden="false" customHeight="false" outlineLevel="0" collapsed="false">
      <c r="A811" s="39"/>
      <c r="B811" s="44" t="str">
        <f aca="false">IF($A811="","",IFERROR(INDEX('Suivi EPP'!$B$6:$B$505,MATCH($A811,'Suivi EPP'!$A$6:$A$505,0))&amp;" "&amp;INDEX('Suivi EPP'!$C$6:$C$505,MATCH($A811,'Suivi EPP'!$A$6:$A$505,0)),"Matricule inconnu"))</f>
        <v/>
      </c>
      <c r="C811" s="40"/>
      <c r="D811" s="39"/>
      <c r="E811" s="39"/>
      <c r="F811" s="39"/>
      <c r="G811" s="39"/>
      <c r="H811" s="39"/>
    </row>
    <row r="812" customFormat="false" ht="15" hidden="false" customHeight="false" outlineLevel="0" collapsed="false">
      <c r="A812" s="39"/>
      <c r="B812" s="44" t="str">
        <f aca="false">IF($A812="","",IFERROR(INDEX('Suivi EPP'!$B$6:$B$505,MATCH($A812,'Suivi EPP'!$A$6:$A$505,0))&amp;" "&amp;INDEX('Suivi EPP'!$C$6:$C$505,MATCH($A812,'Suivi EPP'!$A$6:$A$505,0)),"Matricule inconnu"))</f>
        <v/>
      </c>
      <c r="C812" s="40"/>
      <c r="D812" s="39"/>
      <c r="E812" s="39"/>
      <c r="F812" s="39"/>
      <c r="G812" s="39"/>
      <c r="H812" s="39"/>
    </row>
    <row r="813" customFormat="false" ht="15" hidden="false" customHeight="false" outlineLevel="0" collapsed="false">
      <c r="A813" s="39"/>
      <c r="B813" s="44" t="str">
        <f aca="false">IF($A813="","",IFERROR(INDEX('Suivi EPP'!$B$6:$B$505,MATCH($A813,'Suivi EPP'!$A$6:$A$505,0))&amp;" "&amp;INDEX('Suivi EPP'!$C$6:$C$505,MATCH($A813,'Suivi EPP'!$A$6:$A$505,0)),"Matricule inconnu"))</f>
        <v/>
      </c>
      <c r="C813" s="40"/>
      <c r="D813" s="39"/>
      <c r="E813" s="39"/>
      <c r="F813" s="39"/>
      <c r="G813" s="39"/>
      <c r="H813" s="39"/>
    </row>
    <row r="814" customFormat="false" ht="15" hidden="false" customHeight="false" outlineLevel="0" collapsed="false">
      <c r="A814" s="39"/>
      <c r="B814" s="44" t="str">
        <f aca="false">IF($A814="","",IFERROR(INDEX('Suivi EPP'!$B$6:$B$505,MATCH($A814,'Suivi EPP'!$A$6:$A$505,0))&amp;" "&amp;INDEX('Suivi EPP'!$C$6:$C$505,MATCH($A814,'Suivi EPP'!$A$6:$A$505,0)),"Matricule inconnu"))</f>
        <v/>
      </c>
      <c r="C814" s="40"/>
      <c r="D814" s="39"/>
      <c r="E814" s="39"/>
      <c r="F814" s="39"/>
      <c r="G814" s="39"/>
      <c r="H814" s="39"/>
    </row>
    <row r="815" customFormat="false" ht="15" hidden="false" customHeight="false" outlineLevel="0" collapsed="false">
      <c r="A815" s="39"/>
      <c r="B815" s="44" t="str">
        <f aca="false">IF($A815="","",IFERROR(INDEX('Suivi EPP'!$B$6:$B$505,MATCH($A815,'Suivi EPP'!$A$6:$A$505,0))&amp;" "&amp;INDEX('Suivi EPP'!$C$6:$C$505,MATCH($A815,'Suivi EPP'!$A$6:$A$505,0)),"Matricule inconnu"))</f>
        <v/>
      </c>
      <c r="C815" s="40"/>
      <c r="D815" s="39"/>
      <c r="E815" s="39"/>
      <c r="F815" s="39"/>
      <c r="G815" s="39"/>
      <c r="H815" s="39"/>
    </row>
    <row r="816" customFormat="false" ht="15" hidden="false" customHeight="false" outlineLevel="0" collapsed="false">
      <c r="A816" s="39"/>
      <c r="B816" s="44" t="str">
        <f aca="false">IF($A816="","",IFERROR(INDEX('Suivi EPP'!$B$6:$B$505,MATCH($A816,'Suivi EPP'!$A$6:$A$505,0))&amp;" "&amp;INDEX('Suivi EPP'!$C$6:$C$505,MATCH($A816,'Suivi EPP'!$A$6:$A$505,0)),"Matricule inconnu"))</f>
        <v/>
      </c>
      <c r="C816" s="40"/>
      <c r="D816" s="39"/>
      <c r="E816" s="39"/>
      <c r="F816" s="39"/>
      <c r="G816" s="39"/>
      <c r="H816" s="39"/>
    </row>
    <row r="817" customFormat="false" ht="15" hidden="false" customHeight="false" outlineLevel="0" collapsed="false">
      <c r="A817" s="39"/>
      <c r="B817" s="44" t="str">
        <f aca="false">IF($A817="","",IFERROR(INDEX('Suivi EPP'!$B$6:$B$505,MATCH($A817,'Suivi EPP'!$A$6:$A$505,0))&amp;" "&amp;INDEX('Suivi EPP'!$C$6:$C$505,MATCH($A817,'Suivi EPP'!$A$6:$A$505,0)),"Matricule inconnu"))</f>
        <v/>
      </c>
      <c r="C817" s="40"/>
      <c r="D817" s="39"/>
      <c r="E817" s="39"/>
      <c r="F817" s="39"/>
      <c r="G817" s="39"/>
      <c r="H817" s="39"/>
    </row>
    <row r="818" customFormat="false" ht="15" hidden="false" customHeight="false" outlineLevel="0" collapsed="false">
      <c r="A818" s="39"/>
      <c r="B818" s="44" t="str">
        <f aca="false">IF($A818="","",IFERROR(INDEX('Suivi EPP'!$B$6:$B$505,MATCH($A818,'Suivi EPP'!$A$6:$A$505,0))&amp;" "&amp;INDEX('Suivi EPP'!$C$6:$C$505,MATCH($A818,'Suivi EPP'!$A$6:$A$505,0)),"Matricule inconnu"))</f>
        <v/>
      </c>
      <c r="C818" s="40"/>
      <c r="D818" s="39"/>
      <c r="E818" s="39"/>
      <c r="F818" s="39"/>
      <c r="G818" s="39"/>
      <c r="H818" s="39"/>
    </row>
    <row r="819" customFormat="false" ht="15" hidden="false" customHeight="false" outlineLevel="0" collapsed="false">
      <c r="A819" s="39"/>
      <c r="B819" s="44" t="str">
        <f aca="false">IF($A819="","",IFERROR(INDEX('Suivi EPP'!$B$6:$B$505,MATCH($A819,'Suivi EPP'!$A$6:$A$505,0))&amp;" "&amp;INDEX('Suivi EPP'!$C$6:$C$505,MATCH($A819,'Suivi EPP'!$A$6:$A$505,0)),"Matricule inconnu"))</f>
        <v/>
      </c>
      <c r="C819" s="40"/>
      <c r="D819" s="39"/>
      <c r="E819" s="39"/>
      <c r="F819" s="39"/>
      <c r="G819" s="39"/>
      <c r="H819" s="39"/>
    </row>
    <row r="820" customFormat="false" ht="15" hidden="false" customHeight="false" outlineLevel="0" collapsed="false">
      <c r="A820" s="39"/>
      <c r="B820" s="44" t="str">
        <f aca="false">IF($A820="","",IFERROR(INDEX('Suivi EPP'!$B$6:$B$505,MATCH($A820,'Suivi EPP'!$A$6:$A$505,0))&amp;" "&amp;INDEX('Suivi EPP'!$C$6:$C$505,MATCH($A820,'Suivi EPP'!$A$6:$A$505,0)),"Matricule inconnu"))</f>
        <v/>
      </c>
      <c r="C820" s="40"/>
      <c r="D820" s="39"/>
      <c r="E820" s="39"/>
      <c r="F820" s="39"/>
      <c r="G820" s="39"/>
      <c r="H820" s="39"/>
    </row>
    <row r="821" customFormat="false" ht="15" hidden="false" customHeight="false" outlineLevel="0" collapsed="false">
      <c r="A821" s="39"/>
      <c r="B821" s="44" t="str">
        <f aca="false">IF($A821="","",IFERROR(INDEX('Suivi EPP'!$B$6:$B$505,MATCH($A821,'Suivi EPP'!$A$6:$A$505,0))&amp;" "&amp;INDEX('Suivi EPP'!$C$6:$C$505,MATCH($A821,'Suivi EPP'!$A$6:$A$505,0)),"Matricule inconnu"))</f>
        <v/>
      </c>
      <c r="C821" s="40"/>
      <c r="D821" s="39"/>
      <c r="E821" s="39"/>
      <c r="F821" s="39"/>
      <c r="G821" s="39"/>
      <c r="H821" s="39"/>
    </row>
    <row r="822" customFormat="false" ht="15" hidden="false" customHeight="false" outlineLevel="0" collapsed="false">
      <c r="A822" s="39"/>
      <c r="B822" s="44" t="str">
        <f aca="false">IF($A822="","",IFERROR(INDEX('Suivi EPP'!$B$6:$B$505,MATCH($A822,'Suivi EPP'!$A$6:$A$505,0))&amp;" "&amp;INDEX('Suivi EPP'!$C$6:$C$505,MATCH($A822,'Suivi EPP'!$A$6:$A$505,0)),"Matricule inconnu"))</f>
        <v/>
      </c>
      <c r="C822" s="40"/>
      <c r="D822" s="39"/>
      <c r="E822" s="39"/>
      <c r="F822" s="39"/>
      <c r="G822" s="39"/>
      <c r="H822" s="39"/>
    </row>
    <row r="823" customFormat="false" ht="15" hidden="false" customHeight="false" outlineLevel="0" collapsed="false">
      <c r="A823" s="39"/>
      <c r="B823" s="44" t="str">
        <f aca="false">IF($A823="","",IFERROR(INDEX('Suivi EPP'!$B$6:$B$505,MATCH($A823,'Suivi EPP'!$A$6:$A$505,0))&amp;" "&amp;INDEX('Suivi EPP'!$C$6:$C$505,MATCH($A823,'Suivi EPP'!$A$6:$A$505,0)),"Matricule inconnu"))</f>
        <v/>
      </c>
      <c r="C823" s="40"/>
      <c r="D823" s="39"/>
      <c r="E823" s="39"/>
      <c r="F823" s="39"/>
      <c r="G823" s="39"/>
      <c r="H823" s="39"/>
    </row>
    <row r="824" customFormat="false" ht="15" hidden="false" customHeight="false" outlineLevel="0" collapsed="false">
      <c r="A824" s="39"/>
      <c r="B824" s="44" t="str">
        <f aca="false">IF($A824="","",IFERROR(INDEX('Suivi EPP'!$B$6:$B$505,MATCH($A824,'Suivi EPP'!$A$6:$A$505,0))&amp;" "&amp;INDEX('Suivi EPP'!$C$6:$C$505,MATCH($A824,'Suivi EPP'!$A$6:$A$505,0)),"Matricule inconnu"))</f>
        <v/>
      </c>
      <c r="C824" s="40"/>
      <c r="D824" s="39"/>
      <c r="E824" s="39"/>
      <c r="F824" s="39"/>
      <c r="G824" s="39"/>
      <c r="H824" s="39"/>
    </row>
    <row r="825" customFormat="false" ht="15" hidden="false" customHeight="false" outlineLevel="0" collapsed="false">
      <c r="A825" s="39"/>
      <c r="B825" s="44" t="str">
        <f aca="false">IF($A825="","",IFERROR(INDEX('Suivi EPP'!$B$6:$B$505,MATCH($A825,'Suivi EPP'!$A$6:$A$505,0))&amp;" "&amp;INDEX('Suivi EPP'!$C$6:$C$505,MATCH($A825,'Suivi EPP'!$A$6:$A$505,0)),"Matricule inconnu"))</f>
        <v/>
      </c>
      <c r="C825" s="40"/>
      <c r="D825" s="39"/>
      <c r="E825" s="39"/>
      <c r="F825" s="39"/>
      <c r="G825" s="39"/>
      <c r="H825" s="39"/>
    </row>
    <row r="826" customFormat="false" ht="15" hidden="false" customHeight="false" outlineLevel="0" collapsed="false">
      <c r="A826" s="39"/>
      <c r="B826" s="44" t="str">
        <f aca="false">IF($A826="","",IFERROR(INDEX('Suivi EPP'!$B$6:$B$505,MATCH($A826,'Suivi EPP'!$A$6:$A$505,0))&amp;" "&amp;INDEX('Suivi EPP'!$C$6:$C$505,MATCH($A826,'Suivi EPP'!$A$6:$A$505,0)),"Matricule inconnu"))</f>
        <v/>
      </c>
      <c r="C826" s="40"/>
      <c r="D826" s="39"/>
      <c r="E826" s="39"/>
      <c r="F826" s="39"/>
      <c r="G826" s="39"/>
      <c r="H826" s="39"/>
    </row>
    <row r="827" customFormat="false" ht="15" hidden="false" customHeight="false" outlineLevel="0" collapsed="false">
      <c r="A827" s="39"/>
      <c r="B827" s="44" t="str">
        <f aca="false">IF($A827="","",IFERROR(INDEX('Suivi EPP'!$B$6:$B$505,MATCH($A827,'Suivi EPP'!$A$6:$A$505,0))&amp;" "&amp;INDEX('Suivi EPP'!$C$6:$C$505,MATCH($A827,'Suivi EPP'!$A$6:$A$505,0)),"Matricule inconnu"))</f>
        <v/>
      </c>
      <c r="C827" s="40"/>
      <c r="D827" s="39"/>
      <c r="E827" s="39"/>
      <c r="F827" s="39"/>
      <c r="G827" s="39"/>
      <c r="H827" s="39"/>
    </row>
    <row r="828" customFormat="false" ht="15" hidden="false" customHeight="false" outlineLevel="0" collapsed="false">
      <c r="A828" s="39"/>
      <c r="B828" s="44" t="str">
        <f aca="false">IF($A828="","",IFERROR(INDEX('Suivi EPP'!$B$6:$B$505,MATCH($A828,'Suivi EPP'!$A$6:$A$505,0))&amp;" "&amp;INDEX('Suivi EPP'!$C$6:$C$505,MATCH($A828,'Suivi EPP'!$A$6:$A$505,0)),"Matricule inconnu"))</f>
        <v/>
      </c>
      <c r="C828" s="40"/>
      <c r="D828" s="39"/>
      <c r="E828" s="39"/>
      <c r="F828" s="39"/>
      <c r="G828" s="39"/>
      <c r="H828" s="39"/>
    </row>
    <row r="829" customFormat="false" ht="15" hidden="false" customHeight="false" outlineLevel="0" collapsed="false">
      <c r="A829" s="39"/>
      <c r="B829" s="44" t="str">
        <f aca="false">IF($A829="","",IFERROR(INDEX('Suivi EPP'!$B$6:$B$505,MATCH($A829,'Suivi EPP'!$A$6:$A$505,0))&amp;" "&amp;INDEX('Suivi EPP'!$C$6:$C$505,MATCH($A829,'Suivi EPP'!$A$6:$A$505,0)),"Matricule inconnu"))</f>
        <v/>
      </c>
      <c r="C829" s="40"/>
      <c r="D829" s="39"/>
      <c r="E829" s="39"/>
      <c r="F829" s="39"/>
      <c r="G829" s="39"/>
      <c r="H829" s="39"/>
    </row>
    <row r="830" customFormat="false" ht="15" hidden="false" customHeight="false" outlineLevel="0" collapsed="false">
      <c r="A830" s="39"/>
      <c r="B830" s="44" t="str">
        <f aca="false">IF($A830="","",IFERROR(INDEX('Suivi EPP'!$B$6:$B$505,MATCH($A830,'Suivi EPP'!$A$6:$A$505,0))&amp;" "&amp;INDEX('Suivi EPP'!$C$6:$C$505,MATCH($A830,'Suivi EPP'!$A$6:$A$505,0)),"Matricule inconnu"))</f>
        <v/>
      </c>
      <c r="C830" s="40"/>
      <c r="D830" s="39"/>
      <c r="E830" s="39"/>
      <c r="F830" s="39"/>
      <c r="G830" s="39"/>
      <c r="H830" s="39"/>
    </row>
    <row r="831" customFormat="false" ht="15" hidden="false" customHeight="false" outlineLevel="0" collapsed="false">
      <c r="A831" s="39"/>
      <c r="B831" s="44" t="str">
        <f aca="false">IF($A831="","",IFERROR(INDEX('Suivi EPP'!$B$6:$B$505,MATCH($A831,'Suivi EPP'!$A$6:$A$505,0))&amp;" "&amp;INDEX('Suivi EPP'!$C$6:$C$505,MATCH($A831,'Suivi EPP'!$A$6:$A$505,0)),"Matricule inconnu"))</f>
        <v/>
      </c>
      <c r="C831" s="40"/>
      <c r="D831" s="39"/>
      <c r="E831" s="39"/>
      <c r="F831" s="39"/>
      <c r="G831" s="39"/>
      <c r="H831" s="39"/>
    </row>
    <row r="832" customFormat="false" ht="15" hidden="false" customHeight="false" outlineLevel="0" collapsed="false">
      <c r="A832" s="39"/>
      <c r="B832" s="44" t="str">
        <f aca="false">IF($A832="","",IFERROR(INDEX('Suivi EPP'!$B$6:$B$505,MATCH($A832,'Suivi EPP'!$A$6:$A$505,0))&amp;" "&amp;INDEX('Suivi EPP'!$C$6:$C$505,MATCH($A832,'Suivi EPP'!$A$6:$A$505,0)),"Matricule inconnu"))</f>
        <v/>
      </c>
      <c r="C832" s="40"/>
      <c r="D832" s="39"/>
      <c r="E832" s="39"/>
      <c r="F832" s="39"/>
      <c r="G832" s="39"/>
      <c r="H832" s="39"/>
    </row>
    <row r="833" customFormat="false" ht="15" hidden="false" customHeight="false" outlineLevel="0" collapsed="false">
      <c r="A833" s="39"/>
      <c r="B833" s="44" t="str">
        <f aca="false">IF($A833="","",IFERROR(INDEX('Suivi EPP'!$B$6:$B$505,MATCH($A833,'Suivi EPP'!$A$6:$A$505,0))&amp;" "&amp;INDEX('Suivi EPP'!$C$6:$C$505,MATCH($A833,'Suivi EPP'!$A$6:$A$505,0)),"Matricule inconnu"))</f>
        <v/>
      </c>
      <c r="C833" s="40"/>
      <c r="D833" s="39"/>
      <c r="E833" s="39"/>
      <c r="F833" s="39"/>
      <c r="G833" s="39"/>
      <c r="H833" s="39"/>
    </row>
    <row r="834" customFormat="false" ht="15" hidden="false" customHeight="false" outlineLevel="0" collapsed="false">
      <c r="A834" s="39"/>
      <c r="B834" s="44" t="str">
        <f aca="false">IF($A834="","",IFERROR(INDEX('Suivi EPP'!$B$6:$B$505,MATCH($A834,'Suivi EPP'!$A$6:$A$505,0))&amp;" "&amp;INDEX('Suivi EPP'!$C$6:$C$505,MATCH($A834,'Suivi EPP'!$A$6:$A$505,0)),"Matricule inconnu"))</f>
        <v/>
      </c>
      <c r="C834" s="40"/>
      <c r="D834" s="39"/>
      <c r="E834" s="39"/>
      <c r="F834" s="39"/>
      <c r="G834" s="39"/>
      <c r="H834" s="39"/>
    </row>
    <row r="835" customFormat="false" ht="15" hidden="false" customHeight="false" outlineLevel="0" collapsed="false">
      <c r="A835" s="39"/>
      <c r="B835" s="44" t="str">
        <f aca="false">IF($A835="","",IFERROR(INDEX('Suivi EPP'!$B$6:$B$505,MATCH($A835,'Suivi EPP'!$A$6:$A$505,0))&amp;" "&amp;INDEX('Suivi EPP'!$C$6:$C$505,MATCH($A835,'Suivi EPP'!$A$6:$A$505,0)),"Matricule inconnu"))</f>
        <v/>
      </c>
      <c r="C835" s="40"/>
      <c r="D835" s="39"/>
      <c r="E835" s="39"/>
      <c r="F835" s="39"/>
      <c r="G835" s="39"/>
      <c r="H835" s="39"/>
    </row>
    <row r="836" customFormat="false" ht="15" hidden="false" customHeight="false" outlineLevel="0" collapsed="false">
      <c r="A836" s="39"/>
      <c r="B836" s="44" t="str">
        <f aca="false">IF($A836="","",IFERROR(INDEX('Suivi EPP'!$B$6:$B$505,MATCH($A836,'Suivi EPP'!$A$6:$A$505,0))&amp;" "&amp;INDEX('Suivi EPP'!$C$6:$C$505,MATCH($A836,'Suivi EPP'!$A$6:$A$505,0)),"Matricule inconnu"))</f>
        <v/>
      </c>
      <c r="C836" s="40"/>
      <c r="D836" s="39"/>
      <c r="E836" s="39"/>
      <c r="F836" s="39"/>
      <c r="G836" s="39"/>
      <c r="H836" s="39"/>
    </row>
    <row r="837" customFormat="false" ht="15" hidden="false" customHeight="false" outlineLevel="0" collapsed="false">
      <c r="A837" s="39"/>
      <c r="B837" s="44" t="str">
        <f aca="false">IF($A837="","",IFERROR(INDEX('Suivi EPP'!$B$6:$B$505,MATCH($A837,'Suivi EPP'!$A$6:$A$505,0))&amp;" "&amp;INDEX('Suivi EPP'!$C$6:$C$505,MATCH($A837,'Suivi EPP'!$A$6:$A$505,0)),"Matricule inconnu"))</f>
        <v/>
      </c>
      <c r="C837" s="40"/>
      <c r="D837" s="39"/>
      <c r="E837" s="39"/>
      <c r="F837" s="39"/>
      <c r="G837" s="39"/>
      <c r="H837" s="39"/>
    </row>
    <row r="838" customFormat="false" ht="15" hidden="false" customHeight="false" outlineLevel="0" collapsed="false">
      <c r="A838" s="39"/>
      <c r="B838" s="44" t="str">
        <f aca="false">IF($A838="","",IFERROR(INDEX('Suivi EPP'!$B$6:$B$505,MATCH($A838,'Suivi EPP'!$A$6:$A$505,0))&amp;" "&amp;INDEX('Suivi EPP'!$C$6:$C$505,MATCH($A838,'Suivi EPP'!$A$6:$A$505,0)),"Matricule inconnu"))</f>
        <v/>
      </c>
      <c r="C838" s="40"/>
      <c r="D838" s="39"/>
      <c r="E838" s="39"/>
      <c r="F838" s="39"/>
      <c r="G838" s="39"/>
      <c r="H838" s="39"/>
    </row>
    <row r="839" customFormat="false" ht="15" hidden="false" customHeight="false" outlineLevel="0" collapsed="false">
      <c r="A839" s="39"/>
      <c r="B839" s="44" t="str">
        <f aca="false">IF($A839="","",IFERROR(INDEX('Suivi EPP'!$B$6:$B$505,MATCH($A839,'Suivi EPP'!$A$6:$A$505,0))&amp;" "&amp;INDEX('Suivi EPP'!$C$6:$C$505,MATCH($A839,'Suivi EPP'!$A$6:$A$505,0)),"Matricule inconnu"))</f>
        <v/>
      </c>
      <c r="C839" s="40"/>
      <c r="D839" s="39"/>
      <c r="E839" s="39"/>
      <c r="F839" s="39"/>
      <c r="G839" s="39"/>
      <c r="H839" s="39"/>
    </row>
    <row r="840" customFormat="false" ht="15" hidden="false" customHeight="false" outlineLevel="0" collapsed="false">
      <c r="A840" s="39"/>
      <c r="B840" s="44" t="str">
        <f aca="false">IF($A840="","",IFERROR(INDEX('Suivi EPP'!$B$6:$B$505,MATCH($A840,'Suivi EPP'!$A$6:$A$505,0))&amp;" "&amp;INDEX('Suivi EPP'!$C$6:$C$505,MATCH($A840,'Suivi EPP'!$A$6:$A$505,0)),"Matricule inconnu"))</f>
        <v/>
      </c>
      <c r="C840" s="40"/>
      <c r="D840" s="39"/>
      <c r="E840" s="39"/>
      <c r="F840" s="39"/>
      <c r="G840" s="39"/>
      <c r="H840" s="39"/>
    </row>
    <row r="841" customFormat="false" ht="15" hidden="false" customHeight="false" outlineLevel="0" collapsed="false">
      <c r="A841" s="39"/>
      <c r="B841" s="44" t="str">
        <f aca="false">IF($A841="","",IFERROR(INDEX('Suivi EPP'!$B$6:$B$505,MATCH($A841,'Suivi EPP'!$A$6:$A$505,0))&amp;" "&amp;INDEX('Suivi EPP'!$C$6:$C$505,MATCH($A841,'Suivi EPP'!$A$6:$A$505,0)),"Matricule inconnu"))</f>
        <v/>
      </c>
      <c r="C841" s="40"/>
      <c r="D841" s="39"/>
      <c r="E841" s="39"/>
      <c r="F841" s="39"/>
      <c r="G841" s="39"/>
      <c r="H841" s="39"/>
    </row>
    <row r="842" customFormat="false" ht="15" hidden="false" customHeight="false" outlineLevel="0" collapsed="false">
      <c r="A842" s="39"/>
      <c r="B842" s="44" t="str">
        <f aca="false">IF($A842="","",IFERROR(INDEX('Suivi EPP'!$B$6:$B$505,MATCH($A842,'Suivi EPP'!$A$6:$A$505,0))&amp;" "&amp;INDEX('Suivi EPP'!$C$6:$C$505,MATCH($A842,'Suivi EPP'!$A$6:$A$505,0)),"Matricule inconnu"))</f>
        <v/>
      </c>
      <c r="C842" s="40"/>
      <c r="D842" s="39"/>
      <c r="E842" s="39"/>
      <c r="F842" s="39"/>
      <c r="G842" s="39"/>
      <c r="H842" s="39"/>
    </row>
    <row r="843" customFormat="false" ht="15" hidden="false" customHeight="false" outlineLevel="0" collapsed="false">
      <c r="A843" s="39"/>
      <c r="B843" s="44" t="str">
        <f aca="false">IF($A843="","",IFERROR(INDEX('Suivi EPP'!$B$6:$B$505,MATCH($A843,'Suivi EPP'!$A$6:$A$505,0))&amp;" "&amp;INDEX('Suivi EPP'!$C$6:$C$505,MATCH($A843,'Suivi EPP'!$A$6:$A$505,0)),"Matricule inconnu"))</f>
        <v/>
      </c>
      <c r="C843" s="40"/>
      <c r="D843" s="39"/>
      <c r="E843" s="39"/>
      <c r="F843" s="39"/>
      <c r="G843" s="39"/>
      <c r="H843" s="39"/>
    </row>
    <row r="844" customFormat="false" ht="15" hidden="false" customHeight="false" outlineLevel="0" collapsed="false">
      <c r="A844" s="39"/>
      <c r="B844" s="44" t="str">
        <f aca="false">IF($A844="","",IFERROR(INDEX('Suivi EPP'!$B$6:$B$505,MATCH($A844,'Suivi EPP'!$A$6:$A$505,0))&amp;" "&amp;INDEX('Suivi EPP'!$C$6:$C$505,MATCH($A844,'Suivi EPP'!$A$6:$A$505,0)),"Matricule inconnu"))</f>
        <v/>
      </c>
      <c r="C844" s="40"/>
      <c r="D844" s="39"/>
      <c r="E844" s="39"/>
      <c r="F844" s="39"/>
      <c r="G844" s="39"/>
      <c r="H844" s="39"/>
    </row>
    <row r="845" customFormat="false" ht="15" hidden="false" customHeight="false" outlineLevel="0" collapsed="false">
      <c r="A845" s="39"/>
      <c r="B845" s="44" t="str">
        <f aca="false">IF($A845="","",IFERROR(INDEX('Suivi EPP'!$B$6:$B$505,MATCH($A845,'Suivi EPP'!$A$6:$A$505,0))&amp;" "&amp;INDEX('Suivi EPP'!$C$6:$C$505,MATCH($A845,'Suivi EPP'!$A$6:$A$505,0)),"Matricule inconnu"))</f>
        <v/>
      </c>
      <c r="C845" s="40"/>
      <c r="D845" s="39"/>
      <c r="E845" s="39"/>
      <c r="F845" s="39"/>
      <c r="G845" s="39"/>
      <c r="H845" s="39"/>
    </row>
    <row r="846" customFormat="false" ht="15" hidden="false" customHeight="false" outlineLevel="0" collapsed="false">
      <c r="A846" s="39"/>
      <c r="B846" s="44" t="str">
        <f aca="false">IF($A846="","",IFERROR(INDEX('Suivi EPP'!$B$6:$B$505,MATCH($A846,'Suivi EPP'!$A$6:$A$505,0))&amp;" "&amp;INDEX('Suivi EPP'!$C$6:$C$505,MATCH($A846,'Suivi EPP'!$A$6:$A$505,0)),"Matricule inconnu"))</f>
        <v/>
      </c>
      <c r="C846" s="40"/>
      <c r="D846" s="39"/>
      <c r="E846" s="39"/>
      <c r="F846" s="39"/>
      <c r="G846" s="39"/>
      <c r="H846" s="39"/>
    </row>
    <row r="847" customFormat="false" ht="15" hidden="false" customHeight="false" outlineLevel="0" collapsed="false">
      <c r="A847" s="39"/>
      <c r="B847" s="44" t="str">
        <f aca="false">IF($A847="","",IFERROR(INDEX('Suivi EPP'!$B$6:$B$505,MATCH($A847,'Suivi EPP'!$A$6:$A$505,0))&amp;" "&amp;INDEX('Suivi EPP'!$C$6:$C$505,MATCH($A847,'Suivi EPP'!$A$6:$A$505,0)),"Matricule inconnu"))</f>
        <v/>
      </c>
      <c r="C847" s="40"/>
      <c r="D847" s="39"/>
      <c r="E847" s="39"/>
      <c r="F847" s="39"/>
      <c r="G847" s="39"/>
      <c r="H847" s="39"/>
    </row>
    <row r="848" customFormat="false" ht="15" hidden="false" customHeight="false" outlineLevel="0" collapsed="false">
      <c r="A848" s="39"/>
      <c r="B848" s="44" t="str">
        <f aca="false">IF($A848="","",IFERROR(INDEX('Suivi EPP'!$B$6:$B$505,MATCH($A848,'Suivi EPP'!$A$6:$A$505,0))&amp;" "&amp;INDEX('Suivi EPP'!$C$6:$C$505,MATCH($A848,'Suivi EPP'!$A$6:$A$505,0)),"Matricule inconnu"))</f>
        <v/>
      </c>
      <c r="C848" s="40"/>
      <c r="D848" s="39"/>
      <c r="E848" s="39"/>
      <c r="F848" s="39"/>
      <c r="G848" s="39"/>
      <c r="H848" s="39"/>
    </row>
    <row r="849" customFormat="false" ht="15" hidden="false" customHeight="false" outlineLevel="0" collapsed="false">
      <c r="A849" s="39"/>
      <c r="B849" s="44" t="str">
        <f aca="false">IF($A849="","",IFERROR(INDEX('Suivi EPP'!$B$6:$B$505,MATCH($A849,'Suivi EPP'!$A$6:$A$505,0))&amp;" "&amp;INDEX('Suivi EPP'!$C$6:$C$505,MATCH($A849,'Suivi EPP'!$A$6:$A$505,0)),"Matricule inconnu"))</f>
        <v/>
      </c>
      <c r="C849" s="40"/>
      <c r="D849" s="39"/>
      <c r="E849" s="39"/>
      <c r="F849" s="39"/>
      <c r="G849" s="39"/>
      <c r="H849" s="39"/>
    </row>
    <row r="850" customFormat="false" ht="15" hidden="false" customHeight="false" outlineLevel="0" collapsed="false">
      <c r="A850" s="39"/>
      <c r="B850" s="44" t="str">
        <f aca="false">IF($A850="","",IFERROR(INDEX('Suivi EPP'!$B$6:$B$505,MATCH($A850,'Suivi EPP'!$A$6:$A$505,0))&amp;" "&amp;INDEX('Suivi EPP'!$C$6:$C$505,MATCH($A850,'Suivi EPP'!$A$6:$A$505,0)),"Matricule inconnu"))</f>
        <v/>
      </c>
      <c r="C850" s="40"/>
      <c r="D850" s="39"/>
      <c r="E850" s="39"/>
      <c r="F850" s="39"/>
      <c r="G850" s="39"/>
      <c r="H850" s="39"/>
    </row>
    <row r="851" customFormat="false" ht="15" hidden="false" customHeight="false" outlineLevel="0" collapsed="false">
      <c r="A851" s="39"/>
      <c r="B851" s="44" t="str">
        <f aca="false">IF($A851="","",IFERROR(INDEX('Suivi EPP'!$B$6:$B$505,MATCH($A851,'Suivi EPP'!$A$6:$A$505,0))&amp;" "&amp;INDEX('Suivi EPP'!$C$6:$C$505,MATCH($A851,'Suivi EPP'!$A$6:$A$505,0)),"Matricule inconnu"))</f>
        <v/>
      </c>
      <c r="C851" s="40"/>
      <c r="D851" s="39"/>
      <c r="E851" s="39"/>
      <c r="F851" s="39"/>
      <c r="G851" s="39"/>
      <c r="H851" s="39"/>
    </row>
    <row r="852" customFormat="false" ht="15" hidden="false" customHeight="false" outlineLevel="0" collapsed="false">
      <c r="A852" s="39"/>
      <c r="B852" s="44" t="str">
        <f aca="false">IF($A852="","",IFERROR(INDEX('Suivi EPP'!$B$6:$B$505,MATCH($A852,'Suivi EPP'!$A$6:$A$505,0))&amp;" "&amp;INDEX('Suivi EPP'!$C$6:$C$505,MATCH($A852,'Suivi EPP'!$A$6:$A$505,0)),"Matricule inconnu"))</f>
        <v/>
      </c>
      <c r="C852" s="40"/>
      <c r="D852" s="39"/>
      <c r="E852" s="39"/>
      <c r="F852" s="39"/>
      <c r="G852" s="39"/>
      <c r="H852" s="39"/>
    </row>
    <row r="853" customFormat="false" ht="15" hidden="false" customHeight="false" outlineLevel="0" collapsed="false">
      <c r="A853" s="39"/>
      <c r="B853" s="44" t="str">
        <f aca="false">IF($A853="","",IFERROR(INDEX('Suivi EPP'!$B$6:$B$505,MATCH($A853,'Suivi EPP'!$A$6:$A$505,0))&amp;" "&amp;INDEX('Suivi EPP'!$C$6:$C$505,MATCH($A853,'Suivi EPP'!$A$6:$A$505,0)),"Matricule inconnu"))</f>
        <v/>
      </c>
      <c r="C853" s="40"/>
      <c r="D853" s="39"/>
      <c r="E853" s="39"/>
      <c r="F853" s="39"/>
      <c r="G853" s="39"/>
      <c r="H853" s="39"/>
    </row>
    <row r="854" customFormat="false" ht="15" hidden="false" customHeight="false" outlineLevel="0" collapsed="false">
      <c r="A854" s="39"/>
      <c r="B854" s="44" t="str">
        <f aca="false">IF($A854="","",IFERROR(INDEX('Suivi EPP'!$B$6:$B$505,MATCH($A854,'Suivi EPP'!$A$6:$A$505,0))&amp;" "&amp;INDEX('Suivi EPP'!$C$6:$C$505,MATCH($A854,'Suivi EPP'!$A$6:$A$505,0)),"Matricule inconnu"))</f>
        <v/>
      </c>
      <c r="C854" s="40"/>
      <c r="D854" s="39"/>
      <c r="E854" s="39"/>
      <c r="F854" s="39"/>
      <c r="G854" s="39"/>
      <c r="H854" s="39"/>
    </row>
    <row r="855" customFormat="false" ht="15" hidden="false" customHeight="false" outlineLevel="0" collapsed="false">
      <c r="A855" s="39"/>
      <c r="B855" s="44" t="str">
        <f aca="false">IF($A855="","",IFERROR(INDEX('Suivi EPP'!$B$6:$B$505,MATCH($A855,'Suivi EPP'!$A$6:$A$505,0))&amp;" "&amp;INDEX('Suivi EPP'!$C$6:$C$505,MATCH($A855,'Suivi EPP'!$A$6:$A$505,0)),"Matricule inconnu"))</f>
        <v/>
      </c>
      <c r="C855" s="40"/>
      <c r="D855" s="39"/>
      <c r="E855" s="39"/>
      <c r="F855" s="39"/>
      <c r="G855" s="39"/>
      <c r="H855" s="39"/>
    </row>
    <row r="856" customFormat="false" ht="15" hidden="false" customHeight="false" outlineLevel="0" collapsed="false">
      <c r="A856" s="39"/>
      <c r="B856" s="44" t="str">
        <f aca="false">IF($A856="","",IFERROR(INDEX('Suivi EPP'!$B$6:$B$505,MATCH($A856,'Suivi EPP'!$A$6:$A$505,0))&amp;" "&amp;INDEX('Suivi EPP'!$C$6:$C$505,MATCH($A856,'Suivi EPP'!$A$6:$A$505,0)),"Matricule inconnu"))</f>
        <v/>
      </c>
      <c r="C856" s="40"/>
      <c r="D856" s="39"/>
      <c r="E856" s="39"/>
      <c r="F856" s="39"/>
      <c r="G856" s="39"/>
      <c r="H856" s="39"/>
    </row>
    <row r="857" customFormat="false" ht="15" hidden="false" customHeight="false" outlineLevel="0" collapsed="false">
      <c r="A857" s="39"/>
      <c r="B857" s="44" t="str">
        <f aca="false">IF($A857="","",IFERROR(INDEX('Suivi EPP'!$B$6:$B$505,MATCH($A857,'Suivi EPP'!$A$6:$A$505,0))&amp;" "&amp;INDEX('Suivi EPP'!$C$6:$C$505,MATCH($A857,'Suivi EPP'!$A$6:$A$505,0)),"Matricule inconnu"))</f>
        <v/>
      </c>
      <c r="C857" s="40"/>
      <c r="D857" s="39"/>
      <c r="E857" s="39"/>
      <c r="F857" s="39"/>
      <c r="G857" s="39"/>
      <c r="H857" s="39"/>
    </row>
    <row r="858" customFormat="false" ht="15" hidden="false" customHeight="false" outlineLevel="0" collapsed="false">
      <c r="A858" s="39"/>
      <c r="B858" s="44" t="str">
        <f aca="false">IF($A858="","",IFERROR(INDEX('Suivi EPP'!$B$6:$B$505,MATCH($A858,'Suivi EPP'!$A$6:$A$505,0))&amp;" "&amp;INDEX('Suivi EPP'!$C$6:$C$505,MATCH($A858,'Suivi EPP'!$A$6:$A$505,0)),"Matricule inconnu"))</f>
        <v/>
      </c>
      <c r="C858" s="40"/>
      <c r="D858" s="39"/>
      <c r="E858" s="39"/>
      <c r="F858" s="39"/>
      <c r="G858" s="39"/>
      <c r="H858" s="39"/>
    </row>
    <row r="859" customFormat="false" ht="15" hidden="false" customHeight="false" outlineLevel="0" collapsed="false">
      <c r="A859" s="39"/>
      <c r="B859" s="44" t="str">
        <f aca="false">IF($A859="","",IFERROR(INDEX('Suivi EPP'!$B$6:$B$505,MATCH($A859,'Suivi EPP'!$A$6:$A$505,0))&amp;" "&amp;INDEX('Suivi EPP'!$C$6:$C$505,MATCH($A859,'Suivi EPP'!$A$6:$A$505,0)),"Matricule inconnu"))</f>
        <v/>
      </c>
      <c r="C859" s="40"/>
      <c r="D859" s="39"/>
      <c r="E859" s="39"/>
      <c r="F859" s="39"/>
      <c r="G859" s="39"/>
      <c r="H859" s="39"/>
    </row>
    <row r="860" customFormat="false" ht="15" hidden="false" customHeight="false" outlineLevel="0" collapsed="false">
      <c r="A860" s="39"/>
      <c r="B860" s="44" t="str">
        <f aca="false">IF($A860="","",IFERROR(INDEX('Suivi EPP'!$B$6:$B$505,MATCH($A860,'Suivi EPP'!$A$6:$A$505,0))&amp;" "&amp;INDEX('Suivi EPP'!$C$6:$C$505,MATCH($A860,'Suivi EPP'!$A$6:$A$505,0)),"Matricule inconnu"))</f>
        <v/>
      </c>
      <c r="C860" s="40"/>
      <c r="D860" s="39"/>
      <c r="E860" s="39"/>
      <c r="F860" s="39"/>
      <c r="G860" s="39"/>
      <c r="H860" s="39"/>
    </row>
    <row r="861" customFormat="false" ht="15" hidden="false" customHeight="false" outlineLevel="0" collapsed="false">
      <c r="A861" s="39"/>
      <c r="B861" s="44" t="str">
        <f aca="false">IF($A861="","",IFERROR(INDEX('Suivi EPP'!$B$6:$B$505,MATCH($A861,'Suivi EPP'!$A$6:$A$505,0))&amp;" "&amp;INDEX('Suivi EPP'!$C$6:$C$505,MATCH($A861,'Suivi EPP'!$A$6:$A$505,0)),"Matricule inconnu"))</f>
        <v/>
      </c>
      <c r="C861" s="40"/>
      <c r="D861" s="39"/>
      <c r="E861" s="39"/>
      <c r="F861" s="39"/>
      <c r="G861" s="39"/>
      <c r="H861" s="39"/>
    </row>
    <row r="862" customFormat="false" ht="15" hidden="false" customHeight="false" outlineLevel="0" collapsed="false">
      <c r="A862" s="39"/>
      <c r="B862" s="44" t="str">
        <f aca="false">IF($A862="","",IFERROR(INDEX('Suivi EPP'!$B$6:$B$505,MATCH($A862,'Suivi EPP'!$A$6:$A$505,0))&amp;" "&amp;INDEX('Suivi EPP'!$C$6:$C$505,MATCH($A862,'Suivi EPP'!$A$6:$A$505,0)),"Matricule inconnu"))</f>
        <v/>
      </c>
      <c r="C862" s="40"/>
      <c r="D862" s="39"/>
      <c r="E862" s="39"/>
      <c r="F862" s="39"/>
      <c r="G862" s="39"/>
      <c r="H862" s="39"/>
    </row>
    <row r="863" customFormat="false" ht="15" hidden="false" customHeight="false" outlineLevel="0" collapsed="false">
      <c r="A863" s="39"/>
      <c r="B863" s="44" t="str">
        <f aca="false">IF($A863="","",IFERROR(INDEX('Suivi EPP'!$B$6:$B$505,MATCH($A863,'Suivi EPP'!$A$6:$A$505,0))&amp;" "&amp;INDEX('Suivi EPP'!$C$6:$C$505,MATCH($A863,'Suivi EPP'!$A$6:$A$505,0)),"Matricule inconnu"))</f>
        <v/>
      </c>
      <c r="C863" s="40"/>
      <c r="D863" s="39"/>
      <c r="E863" s="39"/>
      <c r="F863" s="39"/>
      <c r="G863" s="39"/>
      <c r="H863" s="39"/>
    </row>
    <row r="864" customFormat="false" ht="15" hidden="false" customHeight="false" outlineLevel="0" collapsed="false">
      <c r="A864" s="39"/>
      <c r="B864" s="44" t="str">
        <f aca="false">IF($A864="","",IFERROR(INDEX('Suivi EPP'!$B$6:$B$505,MATCH($A864,'Suivi EPP'!$A$6:$A$505,0))&amp;" "&amp;INDEX('Suivi EPP'!$C$6:$C$505,MATCH($A864,'Suivi EPP'!$A$6:$A$505,0)),"Matricule inconnu"))</f>
        <v/>
      </c>
      <c r="C864" s="40"/>
      <c r="D864" s="39"/>
      <c r="E864" s="39"/>
      <c r="F864" s="39"/>
      <c r="G864" s="39"/>
      <c r="H864" s="39"/>
    </row>
    <row r="865" customFormat="false" ht="15" hidden="false" customHeight="false" outlineLevel="0" collapsed="false">
      <c r="A865" s="39"/>
      <c r="B865" s="44" t="str">
        <f aca="false">IF($A865="","",IFERROR(INDEX('Suivi EPP'!$B$6:$B$505,MATCH($A865,'Suivi EPP'!$A$6:$A$505,0))&amp;" "&amp;INDEX('Suivi EPP'!$C$6:$C$505,MATCH($A865,'Suivi EPP'!$A$6:$A$505,0)),"Matricule inconnu"))</f>
        <v/>
      </c>
      <c r="C865" s="40"/>
      <c r="D865" s="39"/>
      <c r="E865" s="39"/>
      <c r="F865" s="39"/>
      <c r="G865" s="39"/>
      <c r="H865" s="39"/>
    </row>
    <row r="866" customFormat="false" ht="15" hidden="false" customHeight="false" outlineLevel="0" collapsed="false">
      <c r="A866" s="39"/>
      <c r="B866" s="44" t="str">
        <f aca="false">IF($A866="","",IFERROR(INDEX('Suivi EPP'!$B$6:$B$505,MATCH($A866,'Suivi EPP'!$A$6:$A$505,0))&amp;" "&amp;INDEX('Suivi EPP'!$C$6:$C$505,MATCH($A866,'Suivi EPP'!$A$6:$A$505,0)),"Matricule inconnu"))</f>
        <v/>
      </c>
      <c r="C866" s="40"/>
      <c r="D866" s="39"/>
      <c r="E866" s="39"/>
      <c r="F866" s="39"/>
      <c r="G866" s="39"/>
      <c r="H866" s="39"/>
    </row>
    <row r="867" customFormat="false" ht="15" hidden="false" customHeight="false" outlineLevel="0" collapsed="false">
      <c r="A867" s="39"/>
      <c r="B867" s="44" t="str">
        <f aca="false">IF($A867="","",IFERROR(INDEX('Suivi EPP'!$B$6:$B$505,MATCH($A867,'Suivi EPP'!$A$6:$A$505,0))&amp;" "&amp;INDEX('Suivi EPP'!$C$6:$C$505,MATCH($A867,'Suivi EPP'!$A$6:$A$505,0)),"Matricule inconnu"))</f>
        <v/>
      </c>
      <c r="C867" s="40"/>
      <c r="D867" s="39"/>
      <c r="E867" s="39"/>
      <c r="F867" s="39"/>
      <c r="G867" s="39"/>
      <c r="H867" s="39"/>
    </row>
    <row r="868" customFormat="false" ht="15" hidden="false" customHeight="false" outlineLevel="0" collapsed="false">
      <c r="A868" s="39"/>
      <c r="B868" s="44" t="str">
        <f aca="false">IF($A868="","",IFERROR(INDEX('Suivi EPP'!$B$6:$B$505,MATCH($A868,'Suivi EPP'!$A$6:$A$505,0))&amp;" "&amp;INDEX('Suivi EPP'!$C$6:$C$505,MATCH($A868,'Suivi EPP'!$A$6:$A$505,0)),"Matricule inconnu"))</f>
        <v/>
      </c>
      <c r="C868" s="40"/>
      <c r="D868" s="39"/>
      <c r="E868" s="39"/>
      <c r="F868" s="39"/>
      <c r="G868" s="39"/>
      <c r="H868" s="39"/>
    </row>
    <row r="869" customFormat="false" ht="15" hidden="false" customHeight="false" outlineLevel="0" collapsed="false">
      <c r="A869" s="39"/>
      <c r="B869" s="44" t="str">
        <f aca="false">IF($A869="","",IFERROR(INDEX('Suivi EPP'!$B$6:$B$505,MATCH($A869,'Suivi EPP'!$A$6:$A$505,0))&amp;" "&amp;INDEX('Suivi EPP'!$C$6:$C$505,MATCH($A869,'Suivi EPP'!$A$6:$A$505,0)),"Matricule inconnu"))</f>
        <v/>
      </c>
      <c r="C869" s="40"/>
      <c r="D869" s="39"/>
      <c r="E869" s="39"/>
      <c r="F869" s="39"/>
      <c r="G869" s="39"/>
      <c r="H869" s="39"/>
    </row>
    <row r="870" customFormat="false" ht="15" hidden="false" customHeight="false" outlineLevel="0" collapsed="false">
      <c r="A870" s="39"/>
      <c r="B870" s="44" t="str">
        <f aca="false">IF($A870="","",IFERROR(INDEX('Suivi EPP'!$B$6:$B$505,MATCH($A870,'Suivi EPP'!$A$6:$A$505,0))&amp;" "&amp;INDEX('Suivi EPP'!$C$6:$C$505,MATCH($A870,'Suivi EPP'!$A$6:$A$505,0)),"Matricule inconnu"))</f>
        <v/>
      </c>
      <c r="C870" s="40"/>
      <c r="D870" s="39"/>
      <c r="E870" s="39"/>
      <c r="F870" s="39"/>
      <c r="G870" s="39"/>
      <c r="H870" s="39"/>
    </row>
    <row r="871" customFormat="false" ht="15" hidden="false" customHeight="false" outlineLevel="0" collapsed="false">
      <c r="A871" s="39"/>
      <c r="B871" s="44" t="str">
        <f aca="false">IF($A871="","",IFERROR(INDEX('Suivi EPP'!$B$6:$B$505,MATCH($A871,'Suivi EPP'!$A$6:$A$505,0))&amp;" "&amp;INDEX('Suivi EPP'!$C$6:$C$505,MATCH($A871,'Suivi EPP'!$A$6:$A$505,0)),"Matricule inconnu"))</f>
        <v/>
      </c>
      <c r="C871" s="40"/>
      <c r="D871" s="39"/>
      <c r="E871" s="39"/>
      <c r="F871" s="39"/>
      <c r="G871" s="39"/>
      <c r="H871" s="39"/>
    </row>
    <row r="872" customFormat="false" ht="15" hidden="false" customHeight="false" outlineLevel="0" collapsed="false">
      <c r="A872" s="39"/>
      <c r="B872" s="44" t="str">
        <f aca="false">IF($A872="","",IFERROR(INDEX('Suivi EPP'!$B$6:$B$505,MATCH($A872,'Suivi EPP'!$A$6:$A$505,0))&amp;" "&amp;INDEX('Suivi EPP'!$C$6:$C$505,MATCH($A872,'Suivi EPP'!$A$6:$A$505,0)),"Matricule inconnu"))</f>
        <v/>
      </c>
      <c r="C872" s="40"/>
      <c r="D872" s="39"/>
      <c r="E872" s="39"/>
      <c r="F872" s="39"/>
      <c r="G872" s="39"/>
      <c r="H872" s="39"/>
    </row>
    <row r="873" customFormat="false" ht="15" hidden="false" customHeight="false" outlineLevel="0" collapsed="false">
      <c r="A873" s="39"/>
      <c r="B873" s="44" t="str">
        <f aca="false">IF($A873="","",IFERROR(INDEX('Suivi EPP'!$B$6:$B$505,MATCH($A873,'Suivi EPP'!$A$6:$A$505,0))&amp;" "&amp;INDEX('Suivi EPP'!$C$6:$C$505,MATCH($A873,'Suivi EPP'!$A$6:$A$505,0)),"Matricule inconnu"))</f>
        <v/>
      </c>
      <c r="C873" s="40"/>
      <c r="D873" s="39"/>
      <c r="E873" s="39"/>
      <c r="F873" s="39"/>
      <c r="G873" s="39"/>
      <c r="H873" s="39"/>
    </row>
    <row r="874" customFormat="false" ht="15" hidden="false" customHeight="false" outlineLevel="0" collapsed="false">
      <c r="A874" s="39"/>
      <c r="B874" s="44" t="str">
        <f aca="false">IF($A874="","",IFERROR(INDEX('Suivi EPP'!$B$6:$B$505,MATCH($A874,'Suivi EPP'!$A$6:$A$505,0))&amp;" "&amp;INDEX('Suivi EPP'!$C$6:$C$505,MATCH($A874,'Suivi EPP'!$A$6:$A$505,0)),"Matricule inconnu"))</f>
        <v/>
      </c>
      <c r="C874" s="40"/>
      <c r="D874" s="39"/>
      <c r="E874" s="39"/>
      <c r="F874" s="39"/>
      <c r="G874" s="39"/>
      <c r="H874" s="39"/>
    </row>
    <row r="875" customFormat="false" ht="15" hidden="false" customHeight="false" outlineLevel="0" collapsed="false">
      <c r="A875" s="39"/>
      <c r="B875" s="44" t="str">
        <f aca="false">IF($A875="","",IFERROR(INDEX('Suivi EPP'!$B$6:$B$505,MATCH($A875,'Suivi EPP'!$A$6:$A$505,0))&amp;" "&amp;INDEX('Suivi EPP'!$C$6:$C$505,MATCH($A875,'Suivi EPP'!$A$6:$A$505,0)),"Matricule inconnu"))</f>
        <v/>
      </c>
      <c r="C875" s="40"/>
      <c r="D875" s="39"/>
      <c r="E875" s="39"/>
      <c r="F875" s="39"/>
      <c r="G875" s="39"/>
      <c r="H875" s="39"/>
    </row>
    <row r="876" customFormat="false" ht="15" hidden="false" customHeight="false" outlineLevel="0" collapsed="false">
      <c r="A876" s="39"/>
      <c r="B876" s="44" t="str">
        <f aca="false">IF($A876="","",IFERROR(INDEX('Suivi EPP'!$B$6:$B$505,MATCH($A876,'Suivi EPP'!$A$6:$A$505,0))&amp;" "&amp;INDEX('Suivi EPP'!$C$6:$C$505,MATCH($A876,'Suivi EPP'!$A$6:$A$505,0)),"Matricule inconnu"))</f>
        <v/>
      </c>
      <c r="C876" s="40"/>
      <c r="D876" s="39"/>
      <c r="E876" s="39"/>
      <c r="F876" s="39"/>
      <c r="G876" s="39"/>
      <c r="H876" s="39"/>
    </row>
    <row r="877" customFormat="false" ht="15" hidden="false" customHeight="false" outlineLevel="0" collapsed="false">
      <c r="A877" s="39"/>
      <c r="B877" s="44" t="str">
        <f aca="false">IF($A877="","",IFERROR(INDEX('Suivi EPP'!$B$6:$B$505,MATCH($A877,'Suivi EPP'!$A$6:$A$505,0))&amp;" "&amp;INDEX('Suivi EPP'!$C$6:$C$505,MATCH($A877,'Suivi EPP'!$A$6:$A$505,0)),"Matricule inconnu"))</f>
        <v/>
      </c>
      <c r="C877" s="40"/>
      <c r="D877" s="39"/>
      <c r="E877" s="39"/>
      <c r="F877" s="39"/>
      <c r="G877" s="39"/>
      <c r="H877" s="39"/>
    </row>
    <row r="878" customFormat="false" ht="15" hidden="false" customHeight="false" outlineLevel="0" collapsed="false">
      <c r="A878" s="39"/>
      <c r="B878" s="44" t="str">
        <f aca="false">IF($A878="","",IFERROR(INDEX('Suivi EPP'!$B$6:$B$505,MATCH($A878,'Suivi EPP'!$A$6:$A$505,0))&amp;" "&amp;INDEX('Suivi EPP'!$C$6:$C$505,MATCH($A878,'Suivi EPP'!$A$6:$A$505,0)),"Matricule inconnu"))</f>
        <v/>
      </c>
      <c r="C878" s="40"/>
      <c r="D878" s="39"/>
      <c r="E878" s="39"/>
      <c r="F878" s="39"/>
      <c r="G878" s="39"/>
      <c r="H878" s="39"/>
    </row>
    <row r="879" customFormat="false" ht="15" hidden="false" customHeight="false" outlineLevel="0" collapsed="false">
      <c r="A879" s="39"/>
      <c r="B879" s="44" t="str">
        <f aca="false">IF($A879="","",IFERROR(INDEX('Suivi EPP'!$B$6:$B$505,MATCH($A879,'Suivi EPP'!$A$6:$A$505,0))&amp;" "&amp;INDEX('Suivi EPP'!$C$6:$C$505,MATCH($A879,'Suivi EPP'!$A$6:$A$505,0)),"Matricule inconnu"))</f>
        <v/>
      </c>
      <c r="C879" s="40"/>
      <c r="D879" s="39"/>
      <c r="E879" s="39"/>
      <c r="F879" s="39"/>
      <c r="G879" s="39"/>
      <c r="H879" s="39"/>
    </row>
    <row r="880" customFormat="false" ht="15" hidden="false" customHeight="false" outlineLevel="0" collapsed="false">
      <c r="A880" s="39"/>
      <c r="B880" s="44" t="str">
        <f aca="false">IF($A880="","",IFERROR(INDEX('Suivi EPP'!$B$6:$B$505,MATCH($A880,'Suivi EPP'!$A$6:$A$505,0))&amp;" "&amp;INDEX('Suivi EPP'!$C$6:$C$505,MATCH($A880,'Suivi EPP'!$A$6:$A$505,0)),"Matricule inconnu"))</f>
        <v/>
      </c>
      <c r="C880" s="40"/>
      <c r="D880" s="39"/>
      <c r="E880" s="39"/>
      <c r="F880" s="39"/>
      <c r="G880" s="39"/>
      <c r="H880" s="39"/>
    </row>
    <row r="881" customFormat="false" ht="15" hidden="false" customHeight="false" outlineLevel="0" collapsed="false">
      <c r="A881" s="39"/>
      <c r="B881" s="44" t="str">
        <f aca="false">IF($A881="","",IFERROR(INDEX('Suivi EPP'!$B$6:$B$505,MATCH($A881,'Suivi EPP'!$A$6:$A$505,0))&amp;" "&amp;INDEX('Suivi EPP'!$C$6:$C$505,MATCH($A881,'Suivi EPP'!$A$6:$A$505,0)),"Matricule inconnu"))</f>
        <v/>
      </c>
      <c r="C881" s="40"/>
      <c r="D881" s="39"/>
      <c r="E881" s="39"/>
      <c r="F881" s="39"/>
      <c r="G881" s="39"/>
      <c r="H881" s="39"/>
    </row>
    <row r="882" customFormat="false" ht="15" hidden="false" customHeight="false" outlineLevel="0" collapsed="false">
      <c r="A882" s="39"/>
      <c r="B882" s="44" t="str">
        <f aca="false">IF($A882="","",IFERROR(INDEX('Suivi EPP'!$B$6:$B$505,MATCH($A882,'Suivi EPP'!$A$6:$A$505,0))&amp;" "&amp;INDEX('Suivi EPP'!$C$6:$C$505,MATCH($A882,'Suivi EPP'!$A$6:$A$505,0)),"Matricule inconnu"))</f>
        <v/>
      </c>
      <c r="C882" s="40"/>
      <c r="D882" s="39"/>
      <c r="E882" s="39"/>
      <c r="F882" s="39"/>
      <c r="G882" s="39"/>
      <c r="H882" s="39"/>
    </row>
    <row r="883" customFormat="false" ht="15" hidden="false" customHeight="false" outlineLevel="0" collapsed="false">
      <c r="A883" s="39"/>
      <c r="B883" s="44" t="str">
        <f aca="false">IF($A883="","",IFERROR(INDEX('Suivi EPP'!$B$6:$B$505,MATCH($A883,'Suivi EPP'!$A$6:$A$505,0))&amp;" "&amp;INDEX('Suivi EPP'!$C$6:$C$505,MATCH($A883,'Suivi EPP'!$A$6:$A$505,0)),"Matricule inconnu"))</f>
        <v/>
      </c>
      <c r="C883" s="40"/>
      <c r="D883" s="39"/>
      <c r="E883" s="39"/>
      <c r="F883" s="39"/>
      <c r="G883" s="39"/>
      <c r="H883" s="39"/>
    </row>
    <row r="884" customFormat="false" ht="15" hidden="false" customHeight="false" outlineLevel="0" collapsed="false">
      <c r="A884" s="39"/>
      <c r="B884" s="44" t="str">
        <f aca="false">IF($A884="","",IFERROR(INDEX('Suivi EPP'!$B$6:$B$505,MATCH($A884,'Suivi EPP'!$A$6:$A$505,0))&amp;" "&amp;INDEX('Suivi EPP'!$C$6:$C$505,MATCH($A884,'Suivi EPP'!$A$6:$A$505,0)),"Matricule inconnu"))</f>
        <v/>
      </c>
      <c r="C884" s="40"/>
      <c r="D884" s="39"/>
      <c r="E884" s="39"/>
      <c r="F884" s="39"/>
      <c r="G884" s="39"/>
      <c r="H884" s="39"/>
    </row>
    <row r="885" customFormat="false" ht="15" hidden="false" customHeight="false" outlineLevel="0" collapsed="false">
      <c r="A885" s="39"/>
      <c r="B885" s="44" t="str">
        <f aca="false">IF($A885="","",IFERROR(INDEX('Suivi EPP'!$B$6:$B$505,MATCH($A885,'Suivi EPP'!$A$6:$A$505,0))&amp;" "&amp;INDEX('Suivi EPP'!$C$6:$C$505,MATCH($A885,'Suivi EPP'!$A$6:$A$505,0)),"Matricule inconnu"))</f>
        <v/>
      </c>
      <c r="C885" s="40"/>
      <c r="D885" s="39"/>
      <c r="E885" s="39"/>
      <c r="F885" s="39"/>
      <c r="G885" s="39"/>
      <c r="H885" s="39"/>
    </row>
    <row r="886" customFormat="false" ht="15" hidden="false" customHeight="false" outlineLevel="0" collapsed="false">
      <c r="A886" s="39"/>
      <c r="B886" s="44" t="str">
        <f aca="false">IF($A886="","",IFERROR(INDEX('Suivi EPP'!$B$6:$B$505,MATCH($A886,'Suivi EPP'!$A$6:$A$505,0))&amp;" "&amp;INDEX('Suivi EPP'!$C$6:$C$505,MATCH($A886,'Suivi EPP'!$A$6:$A$505,0)),"Matricule inconnu"))</f>
        <v/>
      </c>
      <c r="C886" s="40"/>
      <c r="D886" s="39"/>
      <c r="E886" s="39"/>
      <c r="F886" s="39"/>
      <c r="G886" s="39"/>
      <c r="H886" s="39"/>
    </row>
    <row r="887" customFormat="false" ht="15" hidden="false" customHeight="false" outlineLevel="0" collapsed="false">
      <c r="A887" s="39"/>
      <c r="B887" s="44" t="str">
        <f aca="false">IF($A887="","",IFERROR(INDEX('Suivi EPP'!$B$6:$B$505,MATCH($A887,'Suivi EPP'!$A$6:$A$505,0))&amp;" "&amp;INDEX('Suivi EPP'!$C$6:$C$505,MATCH($A887,'Suivi EPP'!$A$6:$A$505,0)),"Matricule inconnu"))</f>
        <v/>
      </c>
      <c r="C887" s="40"/>
      <c r="D887" s="39"/>
      <c r="E887" s="39"/>
      <c r="F887" s="39"/>
      <c r="G887" s="39"/>
      <c r="H887" s="39"/>
    </row>
    <row r="888" customFormat="false" ht="15" hidden="false" customHeight="false" outlineLevel="0" collapsed="false">
      <c r="A888" s="39"/>
      <c r="B888" s="44" t="str">
        <f aca="false">IF($A888="","",IFERROR(INDEX('Suivi EPP'!$B$6:$B$505,MATCH($A888,'Suivi EPP'!$A$6:$A$505,0))&amp;" "&amp;INDEX('Suivi EPP'!$C$6:$C$505,MATCH($A888,'Suivi EPP'!$A$6:$A$505,0)),"Matricule inconnu"))</f>
        <v/>
      </c>
      <c r="C888" s="40"/>
      <c r="D888" s="39"/>
      <c r="E888" s="39"/>
      <c r="F888" s="39"/>
      <c r="G888" s="39"/>
      <c r="H888" s="39"/>
    </row>
    <row r="889" customFormat="false" ht="15" hidden="false" customHeight="false" outlineLevel="0" collapsed="false">
      <c r="A889" s="39"/>
      <c r="B889" s="44" t="str">
        <f aca="false">IF($A889="","",IFERROR(INDEX('Suivi EPP'!$B$6:$B$505,MATCH($A889,'Suivi EPP'!$A$6:$A$505,0))&amp;" "&amp;INDEX('Suivi EPP'!$C$6:$C$505,MATCH($A889,'Suivi EPP'!$A$6:$A$505,0)),"Matricule inconnu"))</f>
        <v/>
      </c>
      <c r="C889" s="40"/>
      <c r="D889" s="39"/>
      <c r="E889" s="39"/>
      <c r="F889" s="39"/>
      <c r="G889" s="39"/>
      <c r="H889" s="39"/>
    </row>
    <row r="890" customFormat="false" ht="15" hidden="false" customHeight="false" outlineLevel="0" collapsed="false">
      <c r="A890" s="39"/>
      <c r="B890" s="44" t="str">
        <f aca="false">IF($A890="","",IFERROR(INDEX('Suivi EPP'!$B$6:$B$505,MATCH($A890,'Suivi EPP'!$A$6:$A$505,0))&amp;" "&amp;INDEX('Suivi EPP'!$C$6:$C$505,MATCH($A890,'Suivi EPP'!$A$6:$A$505,0)),"Matricule inconnu"))</f>
        <v/>
      </c>
      <c r="C890" s="40"/>
      <c r="D890" s="39"/>
      <c r="E890" s="39"/>
      <c r="F890" s="39"/>
      <c r="G890" s="39"/>
      <c r="H890" s="39"/>
    </row>
    <row r="891" customFormat="false" ht="15" hidden="false" customHeight="false" outlineLevel="0" collapsed="false">
      <c r="A891" s="39"/>
      <c r="B891" s="44" t="str">
        <f aca="false">IF($A891="","",IFERROR(INDEX('Suivi EPP'!$B$6:$B$505,MATCH($A891,'Suivi EPP'!$A$6:$A$505,0))&amp;" "&amp;INDEX('Suivi EPP'!$C$6:$C$505,MATCH($A891,'Suivi EPP'!$A$6:$A$505,0)),"Matricule inconnu"))</f>
        <v/>
      </c>
      <c r="C891" s="40"/>
      <c r="D891" s="39"/>
      <c r="E891" s="39"/>
      <c r="F891" s="39"/>
      <c r="G891" s="39"/>
      <c r="H891" s="39"/>
    </row>
    <row r="892" customFormat="false" ht="15" hidden="false" customHeight="false" outlineLevel="0" collapsed="false">
      <c r="A892" s="39"/>
      <c r="B892" s="44" t="str">
        <f aca="false">IF($A892="","",IFERROR(INDEX('Suivi EPP'!$B$6:$B$505,MATCH($A892,'Suivi EPP'!$A$6:$A$505,0))&amp;" "&amp;INDEX('Suivi EPP'!$C$6:$C$505,MATCH($A892,'Suivi EPP'!$A$6:$A$505,0)),"Matricule inconnu"))</f>
        <v/>
      </c>
      <c r="C892" s="40"/>
      <c r="D892" s="39"/>
      <c r="E892" s="39"/>
      <c r="F892" s="39"/>
      <c r="G892" s="39"/>
      <c r="H892" s="39"/>
    </row>
    <row r="893" customFormat="false" ht="15" hidden="false" customHeight="false" outlineLevel="0" collapsed="false">
      <c r="A893" s="39"/>
      <c r="B893" s="44" t="str">
        <f aca="false">IF($A893="","",IFERROR(INDEX('Suivi EPP'!$B$6:$B$505,MATCH($A893,'Suivi EPP'!$A$6:$A$505,0))&amp;" "&amp;INDEX('Suivi EPP'!$C$6:$C$505,MATCH($A893,'Suivi EPP'!$A$6:$A$505,0)),"Matricule inconnu"))</f>
        <v/>
      </c>
      <c r="C893" s="40"/>
      <c r="D893" s="39"/>
      <c r="E893" s="39"/>
      <c r="F893" s="39"/>
      <c r="G893" s="39"/>
      <c r="H893" s="39"/>
    </row>
    <row r="894" customFormat="false" ht="15" hidden="false" customHeight="false" outlineLevel="0" collapsed="false">
      <c r="A894" s="39"/>
      <c r="B894" s="44" t="str">
        <f aca="false">IF($A894="","",IFERROR(INDEX('Suivi EPP'!$B$6:$B$505,MATCH($A894,'Suivi EPP'!$A$6:$A$505,0))&amp;" "&amp;INDEX('Suivi EPP'!$C$6:$C$505,MATCH($A894,'Suivi EPP'!$A$6:$A$505,0)),"Matricule inconnu"))</f>
        <v/>
      </c>
      <c r="C894" s="40"/>
      <c r="D894" s="39"/>
      <c r="E894" s="39"/>
      <c r="F894" s="39"/>
      <c r="G894" s="39"/>
      <c r="H894" s="39"/>
    </row>
    <row r="895" customFormat="false" ht="15" hidden="false" customHeight="false" outlineLevel="0" collapsed="false">
      <c r="A895" s="39"/>
      <c r="B895" s="44" t="str">
        <f aca="false">IF($A895="","",IFERROR(INDEX('Suivi EPP'!$B$6:$B$505,MATCH($A895,'Suivi EPP'!$A$6:$A$505,0))&amp;" "&amp;INDEX('Suivi EPP'!$C$6:$C$505,MATCH($A895,'Suivi EPP'!$A$6:$A$505,0)),"Matricule inconnu"))</f>
        <v/>
      </c>
      <c r="C895" s="40"/>
      <c r="D895" s="39"/>
      <c r="E895" s="39"/>
      <c r="F895" s="39"/>
      <c r="G895" s="39"/>
      <c r="H895" s="39"/>
    </row>
    <row r="896" customFormat="false" ht="15" hidden="false" customHeight="false" outlineLevel="0" collapsed="false">
      <c r="A896" s="39"/>
      <c r="B896" s="44" t="str">
        <f aca="false">IF($A896="","",IFERROR(INDEX('Suivi EPP'!$B$6:$B$505,MATCH($A896,'Suivi EPP'!$A$6:$A$505,0))&amp;" "&amp;INDEX('Suivi EPP'!$C$6:$C$505,MATCH($A896,'Suivi EPP'!$A$6:$A$505,0)),"Matricule inconnu"))</f>
        <v/>
      </c>
      <c r="C896" s="40"/>
      <c r="D896" s="39"/>
      <c r="E896" s="39"/>
      <c r="F896" s="39"/>
      <c r="G896" s="39"/>
      <c r="H896" s="39"/>
    </row>
    <row r="897" customFormat="false" ht="15" hidden="false" customHeight="false" outlineLevel="0" collapsed="false">
      <c r="A897" s="39"/>
      <c r="B897" s="44" t="str">
        <f aca="false">IF($A897="","",IFERROR(INDEX('Suivi EPP'!$B$6:$B$505,MATCH($A897,'Suivi EPP'!$A$6:$A$505,0))&amp;" "&amp;INDEX('Suivi EPP'!$C$6:$C$505,MATCH($A897,'Suivi EPP'!$A$6:$A$505,0)),"Matricule inconnu"))</f>
        <v/>
      </c>
      <c r="C897" s="40"/>
      <c r="D897" s="39"/>
      <c r="E897" s="39"/>
      <c r="F897" s="39"/>
      <c r="G897" s="39"/>
      <c r="H897" s="39"/>
    </row>
    <row r="898" customFormat="false" ht="15" hidden="false" customHeight="false" outlineLevel="0" collapsed="false">
      <c r="A898" s="39"/>
      <c r="B898" s="44" t="str">
        <f aca="false">IF($A898="","",IFERROR(INDEX('Suivi EPP'!$B$6:$B$505,MATCH($A898,'Suivi EPP'!$A$6:$A$505,0))&amp;" "&amp;INDEX('Suivi EPP'!$C$6:$C$505,MATCH($A898,'Suivi EPP'!$A$6:$A$505,0)),"Matricule inconnu"))</f>
        <v/>
      </c>
      <c r="C898" s="40"/>
      <c r="D898" s="39"/>
      <c r="E898" s="39"/>
      <c r="F898" s="39"/>
      <c r="G898" s="39"/>
      <c r="H898" s="39"/>
    </row>
    <row r="899" customFormat="false" ht="15" hidden="false" customHeight="false" outlineLevel="0" collapsed="false">
      <c r="A899" s="39"/>
      <c r="B899" s="44" t="str">
        <f aca="false">IF($A899="","",IFERROR(INDEX('Suivi EPP'!$B$6:$B$505,MATCH($A899,'Suivi EPP'!$A$6:$A$505,0))&amp;" "&amp;INDEX('Suivi EPP'!$C$6:$C$505,MATCH($A899,'Suivi EPP'!$A$6:$A$505,0)),"Matricule inconnu"))</f>
        <v/>
      </c>
      <c r="C899" s="40"/>
      <c r="D899" s="39"/>
      <c r="E899" s="39"/>
      <c r="F899" s="39"/>
      <c r="G899" s="39"/>
      <c r="H899" s="39"/>
    </row>
    <row r="900" customFormat="false" ht="15" hidden="false" customHeight="false" outlineLevel="0" collapsed="false">
      <c r="A900" s="39"/>
      <c r="B900" s="44" t="str">
        <f aca="false">IF($A900="","",IFERROR(INDEX('Suivi EPP'!$B$6:$B$505,MATCH($A900,'Suivi EPP'!$A$6:$A$505,0))&amp;" "&amp;INDEX('Suivi EPP'!$C$6:$C$505,MATCH($A900,'Suivi EPP'!$A$6:$A$505,0)),"Matricule inconnu"))</f>
        <v/>
      </c>
      <c r="C900" s="40"/>
      <c r="D900" s="39"/>
      <c r="E900" s="39"/>
      <c r="F900" s="39"/>
      <c r="G900" s="39"/>
      <c r="H900" s="39"/>
    </row>
    <row r="901" customFormat="false" ht="15" hidden="false" customHeight="false" outlineLevel="0" collapsed="false">
      <c r="A901" s="39"/>
      <c r="B901" s="44" t="str">
        <f aca="false">IF($A901="","",IFERROR(INDEX('Suivi EPP'!$B$6:$B$505,MATCH($A901,'Suivi EPP'!$A$6:$A$505,0))&amp;" "&amp;INDEX('Suivi EPP'!$C$6:$C$505,MATCH($A901,'Suivi EPP'!$A$6:$A$505,0)),"Matricule inconnu"))</f>
        <v/>
      </c>
      <c r="C901" s="40"/>
      <c r="D901" s="39"/>
      <c r="E901" s="39"/>
      <c r="F901" s="39"/>
      <c r="G901" s="39"/>
      <c r="H901" s="39"/>
    </row>
    <row r="902" customFormat="false" ht="15" hidden="false" customHeight="false" outlineLevel="0" collapsed="false">
      <c r="A902" s="39"/>
      <c r="B902" s="44" t="str">
        <f aca="false">IF($A902="","",IFERROR(INDEX('Suivi EPP'!$B$6:$B$505,MATCH($A902,'Suivi EPP'!$A$6:$A$505,0))&amp;" "&amp;INDEX('Suivi EPP'!$C$6:$C$505,MATCH($A902,'Suivi EPP'!$A$6:$A$505,0)),"Matricule inconnu"))</f>
        <v/>
      </c>
      <c r="C902" s="40"/>
      <c r="D902" s="39"/>
      <c r="E902" s="39"/>
      <c r="F902" s="39"/>
      <c r="G902" s="39"/>
      <c r="H902" s="39"/>
    </row>
    <row r="903" customFormat="false" ht="15" hidden="false" customHeight="false" outlineLevel="0" collapsed="false">
      <c r="A903" s="39"/>
      <c r="B903" s="44" t="str">
        <f aca="false">IF($A903="","",IFERROR(INDEX('Suivi EPP'!$B$6:$B$505,MATCH($A903,'Suivi EPP'!$A$6:$A$505,0))&amp;" "&amp;INDEX('Suivi EPP'!$C$6:$C$505,MATCH($A903,'Suivi EPP'!$A$6:$A$505,0)),"Matricule inconnu"))</f>
        <v/>
      </c>
      <c r="C903" s="40"/>
      <c r="D903" s="39"/>
      <c r="E903" s="39"/>
      <c r="F903" s="39"/>
      <c r="G903" s="39"/>
      <c r="H903" s="39"/>
    </row>
    <row r="904" customFormat="false" ht="15" hidden="false" customHeight="false" outlineLevel="0" collapsed="false">
      <c r="A904" s="39"/>
      <c r="B904" s="44" t="str">
        <f aca="false">IF($A904="","",IFERROR(INDEX('Suivi EPP'!$B$6:$B$505,MATCH($A904,'Suivi EPP'!$A$6:$A$505,0))&amp;" "&amp;INDEX('Suivi EPP'!$C$6:$C$505,MATCH($A904,'Suivi EPP'!$A$6:$A$505,0)),"Matricule inconnu"))</f>
        <v/>
      </c>
      <c r="C904" s="40"/>
      <c r="D904" s="39"/>
      <c r="E904" s="39"/>
      <c r="F904" s="39"/>
      <c r="G904" s="39"/>
      <c r="H904" s="39"/>
    </row>
    <row r="905" customFormat="false" ht="15" hidden="false" customHeight="false" outlineLevel="0" collapsed="false">
      <c r="A905" s="39"/>
      <c r="B905" s="44" t="str">
        <f aca="false">IF($A905="","",IFERROR(INDEX('Suivi EPP'!$B$6:$B$505,MATCH($A905,'Suivi EPP'!$A$6:$A$505,0))&amp;" "&amp;INDEX('Suivi EPP'!$C$6:$C$505,MATCH($A905,'Suivi EPP'!$A$6:$A$505,0)),"Matricule inconnu"))</f>
        <v/>
      </c>
      <c r="C905" s="40"/>
      <c r="D905" s="39"/>
      <c r="E905" s="39"/>
      <c r="F905" s="39"/>
      <c r="G905" s="39"/>
      <c r="H905" s="39"/>
    </row>
    <row r="906" customFormat="false" ht="15" hidden="false" customHeight="false" outlineLevel="0" collapsed="false">
      <c r="A906" s="39"/>
      <c r="B906" s="44" t="str">
        <f aca="false">IF($A906="","",IFERROR(INDEX('Suivi EPP'!$B$6:$B$505,MATCH($A906,'Suivi EPP'!$A$6:$A$505,0))&amp;" "&amp;INDEX('Suivi EPP'!$C$6:$C$505,MATCH($A906,'Suivi EPP'!$A$6:$A$505,0)),"Matricule inconnu"))</f>
        <v/>
      </c>
      <c r="C906" s="40"/>
      <c r="D906" s="39"/>
      <c r="E906" s="39"/>
      <c r="F906" s="39"/>
      <c r="G906" s="39"/>
      <c r="H906" s="39"/>
    </row>
    <row r="907" customFormat="false" ht="15" hidden="false" customHeight="false" outlineLevel="0" collapsed="false">
      <c r="A907" s="39"/>
      <c r="B907" s="44" t="str">
        <f aca="false">IF($A907="","",IFERROR(INDEX('Suivi EPP'!$B$6:$B$505,MATCH($A907,'Suivi EPP'!$A$6:$A$505,0))&amp;" "&amp;INDEX('Suivi EPP'!$C$6:$C$505,MATCH($A907,'Suivi EPP'!$A$6:$A$505,0)),"Matricule inconnu"))</f>
        <v/>
      </c>
      <c r="C907" s="40"/>
      <c r="D907" s="39"/>
      <c r="E907" s="39"/>
      <c r="F907" s="39"/>
      <c r="G907" s="39"/>
      <c r="H907" s="39"/>
    </row>
    <row r="908" customFormat="false" ht="15" hidden="false" customHeight="false" outlineLevel="0" collapsed="false">
      <c r="A908" s="39"/>
      <c r="B908" s="44" t="str">
        <f aca="false">IF($A908="","",IFERROR(INDEX('Suivi EPP'!$B$6:$B$505,MATCH($A908,'Suivi EPP'!$A$6:$A$505,0))&amp;" "&amp;INDEX('Suivi EPP'!$C$6:$C$505,MATCH($A908,'Suivi EPP'!$A$6:$A$505,0)),"Matricule inconnu"))</f>
        <v/>
      </c>
      <c r="C908" s="40"/>
      <c r="D908" s="39"/>
      <c r="E908" s="39"/>
      <c r="F908" s="39"/>
      <c r="G908" s="39"/>
      <c r="H908" s="39"/>
    </row>
    <row r="909" customFormat="false" ht="15" hidden="false" customHeight="false" outlineLevel="0" collapsed="false">
      <c r="A909" s="39"/>
      <c r="B909" s="44" t="str">
        <f aca="false">IF($A909="","",IFERROR(INDEX('Suivi EPP'!$B$6:$B$505,MATCH($A909,'Suivi EPP'!$A$6:$A$505,0))&amp;" "&amp;INDEX('Suivi EPP'!$C$6:$C$505,MATCH($A909,'Suivi EPP'!$A$6:$A$505,0)),"Matricule inconnu"))</f>
        <v/>
      </c>
      <c r="C909" s="40"/>
      <c r="D909" s="39"/>
      <c r="E909" s="39"/>
      <c r="F909" s="39"/>
      <c r="G909" s="39"/>
      <c r="H909" s="39"/>
    </row>
    <row r="910" customFormat="false" ht="15" hidden="false" customHeight="false" outlineLevel="0" collapsed="false">
      <c r="A910" s="39"/>
      <c r="B910" s="44" t="str">
        <f aca="false">IF($A910="","",IFERROR(INDEX('Suivi EPP'!$B$6:$B$505,MATCH($A910,'Suivi EPP'!$A$6:$A$505,0))&amp;" "&amp;INDEX('Suivi EPP'!$C$6:$C$505,MATCH($A910,'Suivi EPP'!$A$6:$A$505,0)),"Matricule inconnu"))</f>
        <v/>
      </c>
      <c r="C910" s="40"/>
      <c r="D910" s="39"/>
      <c r="E910" s="39"/>
      <c r="F910" s="39"/>
      <c r="G910" s="39"/>
      <c r="H910" s="39"/>
    </row>
    <row r="911" customFormat="false" ht="15" hidden="false" customHeight="false" outlineLevel="0" collapsed="false">
      <c r="A911" s="39"/>
      <c r="B911" s="44" t="str">
        <f aca="false">IF($A911="","",IFERROR(INDEX('Suivi EPP'!$B$6:$B$505,MATCH($A911,'Suivi EPP'!$A$6:$A$505,0))&amp;" "&amp;INDEX('Suivi EPP'!$C$6:$C$505,MATCH($A911,'Suivi EPP'!$A$6:$A$505,0)),"Matricule inconnu"))</f>
        <v/>
      </c>
      <c r="C911" s="40"/>
      <c r="D911" s="39"/>
      <c r="E911" s="39"/>
      <c r="F911" s="39"/>
      <c r="G911" s="39"/>
      <c r="H911" s="39"/>
    </row>
    <row r="912" customFormat="false" ht="15" hidden="false" customHeight="false" outlineLevel="0" collapsed="false">
      <c r="A912" s="39"/>
      <c r="B912" s="44" t="str">
        <f aca="false">IF($A912="","",IFERROR(INDEX('Suivi EPP'!$B$6:$B$505,MATCH($A912,'Suivi EPP'!$A$6:$A$505,0))&amp;" "&amp;INDEX('Suivi EPP'!$C$6:$C$505,MATCH($A912,'Suivi EPP'!$A$6:$A$505,0)),"Matricule inconnu"))</f>
        <v/>
      </c>
      <c r="C912" s="40"/>
      <c r="D912" s="39"/>
      <c r="E912" s="39"/>
      <c r="F912" s="39"/>
      <c r="G912" s="39"/>
      <c r="H912" s="39"/>
    </row>
    <row r="913" customFormat="false" ht="15" hidden="false" customHeight="false" outlineLevel="0" collapsed="false">
      <c r="A913" s="39"/>
      <c r="B913" s="44" t="str">
        <f aca="false">IF($A913="","",IFERROR(INDEX('Suivi EPP'!$B$6:$B$505,MATCH($A913,'Suivi EPP'!$A$6:$A$505,0))&amp;" "&amp;INDEX('Suivi EPP'!$C$6:$C$505,MATCH($A913,'Suivi EPP'!$A$6:$A$505,0)),"Matricule inconnu"))</f>
        <v/>
      </c>
      <c r="C913" s="40"/>
      <c r="D913" s="39"/>
      <c r="E913" s="39"/>
      <c r="F913" s="39"/>
      <c r="G913" s="39"/>
      <c r="H913" s="39"/>
    </row>
    <row r="914" customFormat="false" ht="15" hidden="false" customHeight="false" outlineLevel="0" collapsed="false">
      <c r="A914" s="39"/>
      <c r="B914" s="44" t="str">
        <f aca="false">IF($A914="","",IFERROR(INDEX('Suivi EPP'!$B$6:$B$505,MATCH($A914,'Suivi EPP'!$A$6:$A$505,0))&amp;" "&amp;INDEX('Suivi EPP'!$C$6:$C$505,MATCH($A914,'Suivi EPP'!$A$6:$A$505,0)),"Matricule inconnu"))</f>
        <v/>
      </c>
      <c r="C914" s="40"/>
      <c r="D914" s="39"/>
      <c r="E914" s="39"/>
      <c r="F914" s="39"/>
      <c r="G914" s="39"/>
      <c r="H914" s="39"/>
    </row>
    <row r="915" customFormat="false" ht="15" hidden="false" customHeight="false" outlineLevel="0" collapsed="false">
      <c r="A915" s="39"/>
      <c r="B915" s="44" t="str">
        <f aca="false">IF($A915="","",IFERROR(INDEX('Suivi EPP'!$B$6:$B$505,MATCH($A915,'Suivi EPP'!$A$6:$A$505,0))&amp;" "&amp;INDEX('Suivi EPP'!$C$6:$C$505,MATCH($A915,'Suivi EPP'!$A$6:$A$505,0)),"Matricule inconnu"))</f>
        <v/>
      </c>
      <c r="C915" s="40"/>
      <c r="D915" s="39"/>
      <c r="E915" s="39"/>
      <c r="F915" s="39"/>
      <c r="G915" s="39"/>
      <c r="H915" s="39"/>
    </row>
    <row r="916" customFormat="false" ht="15" hidden="false" customHeight="false" outlineLevel="0" collapsed="false">
      <c r="A916" s="39"/>
      <c r="B916" s="44" t="str">
        <f aca="false">IF($A916="","",IFERROR(INDEX('Suivi EPP'!$B$6:$B$505,MATCH($A916,'Suivi EPP'!$A$6:$A$505,0))&amp;" "&amp;INDEX('Suivi EPP'!$C$6:$C$505,MATCH($A916,'Suivi EPP'!$A$6:$A$505,0)),"Matricule inconnu"))</f>
        <v/>
      </c>
      <c r="C916" s="40"/>
      <c r="D916" s="39"/>
      <c r="E916" s="39"/>
      <c r="F916" s="39"/>
      <c r="G916" s="39"/>
      <c r="H916" s="39"/>
    </row>
    <row r="917" customFormat="false" ht="15" hidden="false" customHeight="false" outlineLevel="0" collapsed="false">
      <c r="A917" s="39"/>
      <c r="B917" s="44" t="str">
        <f aca="false">IF($A917="","",IFERROR(INDEX('Suivi EPP'!$B$6:$B$505,MATCH($A917,'Suivi EPP'!$A$6:$A$505,0))&amp;" "&amp;INDEX('Suivi EPP'!$C$6:$C$505,MATCH($A917,'Suivi EPP'!$A$6:$A$505,0)),"Matricule inconnu"))</f>
        <v/>
      </c>
      <c r="C917" s="40"/>
      <c r="D917" s="39"/>
      <c r="E917" s="39"/>
      <c r="F917" s="39"/>
      <c r="G917" s="39"/>
      <c r="H917" s="39"/>
    </row>
    <row r="918" customFormat="false" ht="15" hidden="false" customHeight="false" outlineLevel="0" collapsed="false">
      <c r="A918" s="39"/>
      <c r="B918" s="44" t="str">
        <f aca="false">IF($A918="","",IFERROR(INDEX('Suivi EPP'!$B$6:$B$505,MATCH($A918,'Suivi EPP'!$A$6:$A$505,0))&amp;" "&amp;INDEX('Suivi EPP'!$C$6:$C$505,MATCH($A918,'Suivi EPP'!$A$6:$A$505,0)),"Matricule inconnu"))</f>
        <v/>
      </c>
      <c r="C918" s="40"/>
      <c r="D918" s="39"/>
      <c r="E918" s="39"/>
      <c r="F918" s="39"/>
      <c r="G918" s="39"/>
      <c r="H918" s="39"/>
    </row>
    <row r="919" customFormat="false" ht="15" hidden="false" customHeight="false" outlineLevel="0" collapsed="false">
      <c r="A919" s="39"/>
      <c r="B919" s="44" t="str">
        <f aca="false">IF($A919="","",IFERROR(INDEX('Suivi EPP'!$B$6:$B$505,MATCH($A919,'Suivi EPP'!$A$6:$A$505,0))&amp;" "&amp;INDEX('Suivi EPP'!$C$6:$C$505,MATCH($A919,'Suivi EPP'!$A$6:$A$505,0)),"Matricule inconnu"))</f>
        <v/>
      </c>
      <c r="C919" s="40"/>
      <c r="D919" s="39"/>
      <c r="E919" s="39"/>
      <c r="F919" s="39"/>
      <c r="G919" s="39"/>
      <c r="H919" s="39"/>
    </row>
    <row r="920" customFormat="false" ht="15" hidden="false" customHeight="false" outlineLevel="0" collapsed="false">
      <c r="A920" s="39"/>
      <c r="B920" s="44" t="str">
        <f aca="false">IF($A920="","",IFERROR(INDEX('Suivi EPP'!$B$6:$B$505,MATCH($A920,'Suivi EPP'!$A$6:$A$505,0))&amp;" "&amp;INDEX('Suivi EPP'!$C$6:$C$505,MATCH($A920,'Suivi EPP'!$A$6:$A$505,0)),"Matricule inconnu"))</f>
        <v/>
      </c>
      <c r="C920" s="40"/>
      <c r="D920" s="39"/>
      <c r="E920" s="39"/>
      <c r="F920" s="39"/>
      <c r="G920" s="39"/>
      <c r="H920" s="39"/>
    </row>
    <row r="921" customFormat="false" ht="15" hidden="false" customHeight="false" outlineLevel="0" collapsed="false">
      <c r="A921" s="39"/>
      <c r="B921" s="44" t="str">
        <f aca="false">IF($A921="","",IFERROR(INDEX('Suivi EPP'!$B$6:$B$505,MATCH($A921,'Suivi EPP'!$A$6:$A$505,0))&amp;" "&amp;INDEX('Suivi EPP'!$C$6:$C$505,MATCH($A921,'Suivi EPP'!$A$6:$A$505,0)),"Matricule inconnu"))</f>
        <v/>
      </c>
      <c r="C921" s="40"/>
      <c r="D921" s="39"/>
      <c r="E921" s="39"/>
      <c r="F921" s="39"/>
      <c r="G921" s="39"/>
      <c r="H921" s="39"/>
    </row>
    <row r="922" customFormat="false" ht="15" hidden="false" customHeight="false" outlineLevel="0" collapsed="false">
      <c r="A922" s="39"/>
      <c r="B922" s="44" t="str">
        <f aca="false">IF($A922="","",IFERROR(INDEX('Suivi EPP'!$B$6:$B$505,MATCH($A922,'Suivi EPP'!$A$6:$A$505,0))&amp;" "&amp;INDEX('Suivi EPP'!$C$6:$C$505,MATCH($A922,'Suivi EPP'!$A$6:$A$505,0)),"Matricule inconnu"))</f>
        <v/>
      </c>
      <c r="C922" s="40"/>
      <c r="D922" s="39"/>
      <c r="E922" s="39"/>
      <c r="F922" s="39"/>
      <c r="G922" s="39"/>
      <c r="H922" s="39"/>
    </row>
    <row r="923" customFormat="false" ht="15" hidden="false" customHeight="false" outlineLevel="0" collapsed="false">
      <c r="A923" s="39"/>
      <c r="B923" s="44" t="str">
        <f aca="false">IF($A923="","",IFERROR(INDEX('Suivi EPP'!$B$6:$B$505,MATCH($A923,'Suivi EPP'!$A$6:$A$505,0))&amp;" "&amp;INDEX('Suivi EPP'!$C$6:$C$505,MATCH($A923,'Suivi EPP'!$A$6:$A$505,0)),"Matricule inconnu"))</f>
        <v/>
      </c>
      <c r="C923" s="40"/>
      <c r="D923" s="39"/>
      <c r="E923" s="39"/>
      <c r="F923" s="39"/>
      <c r="G923" s="39"/>
      <c r="H923" s="39"/>
    </row>
    <row r="924" customFormat="false" ht="15" hidden="false" customHeight="false" outlineLevel="0" collapsed="false">
      <c r="A924" s="39"/>
      <c r="B924" s="44" t="str">
        <f aca="false">IF($A924="","",IFERROR(INDEX('Suivi EPP'!$B$6:$B$505,MATCH($A924,'Suivi EPP'!$A$6:$A$505,0))&amp;" "&amp;INDEX('Suivi EPP'!$C$6:$C$505,MATCH($A924,'Suivi EPP'!$A$6:$A$505,0)),"Matricule inconnu"))</f>
        <v/>
      </c>
      <c r="C924" s="40"/>
      <c r="D924" s="39"/>
      <c r="E924" s="39"/>
      <c r="F924" s="39"/>
      <c r="G924" s="39"/>
      <c r="H924" s="39"/>
    </row>
    <row r="925" customFormat="false" ht="15" hidden="false" customHeight="false" outlineLevel="0" collapsed="false">
      <c r="A925" s="39"/>
      <c r="B925" s="44" t="str">
        <f aca="false">IF($A925="","",IFERROR(INDEX('Suivi EPP'!$B$6:$B$505,MATCH($A925,'Suivi EPP'!$A$6:$A$505,0))&amp;" "&amp;INDEX('Suivi EPP'!$C$6:$C$505,MATCH($A925,'Suivi EPP'!$A$6:$A$505,0)),"Matricule inconnu"))</f>
        <v/>
      </c>
      <c r="C925" s="40"/>
      <c r="D925" s="39"/>
      <c r="E925" s="39"/>
      <c r="F925" s="39"/>
      <c r="G925" s="39"/>
      <c r="H925" s="39"/>
    </row>
    <row r="926" customFormat="false" ht="15" hidden="false" customHeight="false" outlineLevel="0" collapsed="false">
      <c r="A926" s="39"/>
      <c r="B926" s="44" t="str">
        <f aca="false">IF($A926="","",IFERROR(INDEX('Suivi EPP'!$B$6:$B$505,MATCH($A926,'Suivi EPP'!$A$6:$A$505,0))&amp;" "&amp;INDEX('Suivi EPP'!$C$6:$C$505,MATCH($A926,'Suivi EPP'!$A$6:$A$505,0)),"Matricule inconnu"))</f>
        <v/>
      </c>
      <c r="C926" s="40"/>
      <c r="D926" s="39"/>
      <c r="E926" s="39"/>
      <c r="F926" s="39"/>
      <c r="G926" s="39"/>
      <c r="H926" s="39"/>
    </row>
    <row r="927" customFormat="false" ht="15" hidden="false" customHeight="false" outlineLevel="0" collapsed="false">
      <c r="A927" s="39"/>
      <c r="B927" s="44" t="str">
        <f aca="false">IF($A927="","",IFERROR(INDEX('Suivi EPP'!$B$6:$B$505,MATCH($A927,'Suivi EPP'!$A$6:$A$505,0))&amp;" "&amp;INDEX('Suivi EPP'!$C$6:$C$505,MATCH($A927,'Suivi EPP'!$A$6:$A$505,0)),"Matricule inconnu"))</f>
        <v/>
      </c>
      <c r="C927" s="40"/>
      <c r="D927" s="39"/>
      <c r="E927" s="39"/>
      <c r="F927" s="39"/>
      <c r="G927" s="39"/>
      <c r="H927" s="39"/>
    </row>
    <row r="928" customFormat="false" ht="15" hidden="false" customHeight="false" outlineLevel="0" collapsed="false">
      <c r="A928" s="39"/>
      <c r="B928" s="44" t="str">
        <f aca="false">IF($A928="","",IFERROR(INDEX('Suivi EPP'!$B$6:$B$505,MATCH($A928,'Suivi EPP'!$A$6:$A$505,0))&amp;" "&amp;INDEX('Suivi EPP'!$C$6:$C$505,MATCH($A928,'Suivi EPP'!$A$6:$A$505,0)),"Matricule inconnu"))</f>
        <v/>
      </c>
      <c r="C928" s="40"/>
      <c r="D928" s="39"/>
      <c r="E928" s="39"/>
      <c r="F928" s="39"/>
      <c r="G928" s="39"/>
      <c r="H928" s="39"/>
    </row>
    <row r="929" customFormat="false" ht="15" hidden="false" customHeight="false" outlineLevel="0" collapsed="false">
      <c r="A929" s="39"/>
      <c r="B929" s="44" t="str">
        <f aca="false">IF($A929="","",IFERROR(INDEX('Suivi EPP'!$B$6:$B$505,MATCH($A929,'Suivi EPP'!$A$6:$A$505,0))&amp;" "&amp;INDEX('Suivi EPP'!$C$6:$C$505,MATCH($A929,'Suivi EPP'!$A$6:$A$505,0)),"Matricule inconnu"))</f>
        <v/>
      </c>
      <c r="C929" s="40"/>
      <c r="D929" s="39"/>
      <c r="E929" s="39"/>
      <c r="F929" s="39"/>
      <c r="G929" s="39"/>
      <c r="H929" s="39"/>
    </row>
    <row r="930" customFormat="false" ht="15" hidden="false" customHeight="false" outlineLevel="0" collapsed="false">
      <c r="A930" s="39"/>
      <c r="B930" s="44" t="str">
        <f aca="false">IF($A930="","",IFERROR(INDEX('Suivi EPP'!$B$6:$B$505,MATCH($A930,'Suivi EPP'!$A$6:$A$505,0))&amp;" "&amp;INDEX('Suivi EPP'!$C$6:$C$505,MATCH($A930,'Suivi EPP'!$A$6:$A$505,0)),"Matricule inconnu"))</f>
        <v/>
      </c>
      <c r="C930" s="40"/>
      <c r="D930" s="39"/>
      <c r="E930" s="39"/>
      <c r="F930" s="39"/>
      <c r="G930" s="39"/>
      <c r="H930" s="39"/>
    </row>
    <row r="931" customFormat="false" ht="15" hidden="false" customHeight="false" outlineLevel="0" collapsed="false">
      <c r="A931" s="39"/>
      <c r="B931" s="44" t="str">
        <f aca="false">IF($A931="","",IFERROR(INDEX('Suivi EPP'!$B$6:$B$505,MATCH($A931,'Suivi EPP'!$A$6:$A$505,0))&amp;" "&amp;INDEX('Suivi EPP'!$C$6:$C$505,MATCH($A931,'Suivi EPP'!$A$6:$A$505,0)),"Matricule inconnu"))</f>
        <v/>
      </c>
      <c r="C931" s="40"/>
      <c r="D931" s="39"/>
      <c r="E931" s="39"/>
      <c r="F931" s="39"/>
      <c r="G931" s="39"/>
      <c r="H931" s="39"/>
    </row>
    <row r="932" customFormat="false" ht="15" hidden="false" customHeight="false" outlineLevel="0" collapsed="false">
      <c r="A932" s="39"/>
      <c r="B932" s="44" t="str">
        <f aca="false">IF($A932="","",IFERROR(INDEX('Suivi EPP'!$B$6:$B$505,MATCH($A932,'Suivi EPP'!$A$6:$A$505,0))&amp;" "&amp;INDEX('Suivi EPP'!$C$6:$C$505,MATCH($A932,'Suivi EPP'!$A$6:$A$505,0)),"Matricule inconnu"))</f>
        <v/>
      </c>
      <c r="C932" s="40"/>
      <c r="D932" s="39"/>
      <c r="E932" s="39"/>
      <c r="F932" s="39"/>
      <c r="G932" s="39"/>
      <c r="H932" s="39"/>
    </row>
    <row r="933" customFormat="false" ht="15" hidden="false" customHeight="false" outlineLevel="0" collapsed="false">
      <c r="A933" s="39"/>
      <c r="B933" s="44" t="str">
        <f aca="false">IF($A933="","",IFERROR(INDEX('Suivi EPP'!$B$6:$B$505,MATCH($A933,'Suivi EPP'!$A$6:$A$505,0))&amp;" "&amp;INDEX('Suivi EPP'!$C$6:$C$505,MATCH($A933,'Suivi EPP'!$A$6:$A$505,0)),"Matricule inconnu"))</f>
        <v/>
      </c>
      <c r="C933" s="40"/>
      <c r="D933" s="39"/>
      <c r="E933" s="39"/>
      <c r="F933" s="39"/>
      <c r="G933" s="39"/>
      <c r="H933" s="39"/>
    </row>
    <row r="934" customFormat="false" ht="15" hidden="false" customHeight="false" outlineLevel="0" collapsed="false">
      <c r="A934" s="39"/>
      <c r="B934" s="44" t="str">
        <f aca="false">IF($A934="","",IFERROR(INDEX('Suivi EPP'!$B$6:$B$505,MATCH($A934,'Suivi EPP'!$A$6:$A$505,0))&amp;" "&amp;INDEX('Suivi EPP'!$C$6:$C$505,MATCH($A934,'Suivi EPP'!$A$6:$A$505,0)),"Matricule inconnu"))</f>
        <v/>
      </c>
      <c r="C934" s="40"/>
      <c r="D934" s="39"/>
      <c r="E934" s="39"/>
      <c r="F934" s="39"/>
      <c r="G934" s="39"/>
      <c r="H934" s="39"/>
    </row>
    <row r="935" customFormat="false" ht="15" hidden="false" customHeight="false" outlineLevel="0" collapsed="false">
      <c r="A935" s="39"/>
      <c r="B935" s="44" t="str">
        <f aca="false">IF($A935="","",IFERROR(INDEX('Suivi EPP'!$B$6:$B$505,MATCH($A935,'Suivi EPP'!$A$6:$A$505,0))&amp;" "&amp;INDEX('Suivi EPP'!$C$6:$C$505,MATCH($A935,'Suivi EPP'!$A$6:$A$505,0)),"Matricule inconnu"))</f>
        <v/>
      </c>
      <c r="C935" s="40"/>
      <c r="D935" s="39"/>
      <c r="E935" s="39"/>
      <c r="F935" s="39"/>
      <c r="G935" s="39"/>
      <c r="H935" s="39"/>
    </row>
    <row r="936" customFormat="false" ht="15" hidden="false" customHeight="false" outlineLevel="0" collapsed="false">
      <c r="A936" s="39"/>
      <c r="B936" s="44" t="str">
        <f aca="false">IF($A936="","",IFERROR(INDEX('Suivi EPP'!$B$6:$B$505,MATCH($A936,'Suivi EPP'!$A$6:$A$505,0))&amp;" "&amp;INDEX('Suivi EPP'!$C$6:$C$505,MATCH($A936,'Suivi EPP'!$A$6:$A$505,0)),"Matricule inconnu"))</f>
        <v/>
      </c>
      <c r="C936" s="40"/>
      <c r="D936" s="39"/>
      <c r="E936" s="39"/>
      <c r="F936" s="39"/>
      <c r="G936" s="39"/>
      <c r="H936" s="39"/>
    </row>
    <row r="937" customFormat="false" ht="15" hidden="false" customHeight="false" outlineLevel="0" collapsed="false">
      <c r="A937" s="39"/>
      <c r="B937" s="44" t="str">
        <f aca="false">IF($A937="","",IFERROR(INDEX('Suivi EPP'!$B$6:$B$505,MATCH($A937,'Suivi EPP'!$A$6:$A$505,0))&amp;" "&amp;INDEX('Suivi EPP'!$C$6:$C$505,MATCH($A937,'Suivi EPP'!$A$6:$A$505,0)),"Matricule inconnu"))</f>
        <v/>
      </c>
      <c r="C937" s="40"/>
      <c r="D937" s="39"/>
      <c r="E937" s="39"/>
      <c r="F937" s="39"/>
      <c r="G937" s="39"/>
      <c r="H937" s="39"/>
    </row>
    <row r="938" customFormat="false" ht="15" hidden="false" customHeight="false" outlineLevel="0" collapsed="false">
      <c r="A938" s="39"/>
      <c r="B938" s="44" t="str">
        <f aca="false">IF($A938="","",IFERROR(INDEX('Suivi EPP'!$B$6:$B$505,MATCH($A938,'Suivi EPP'!$A$6:$A$505,0))&amp;" "&amp;INDEX('Suivi EPP'!$C$6:$C$505,MATCH($A938,'Suivi EPP'!$A$6:$A$505,0)),"Matricule inconnu"))</f>
        <v/>
      </c>
      <c r="C938" s="40"/>
      <c r="D938" s="39"/>
      <c r="E938" s="39"/>
      <c r="F938" s="39"/>
      <c r="G938" s="39"/>
      <c r="H938" s="39"/>
    </row>
    <row r="939" customFormat="false" ht="15" hidden="false" customHeight="false" outlineLevel="0" collapsed="false">
      <c r="A939" s="39"/>
      <c r="B939" s="44" t="str">
        <f aca="false">IF($A939="","",IFERROR(INDEX('Suivi EPP'!$B$6:$B$505,MATCH($A939,'Suivi EPP'!$A$6:$A$505,0))&amp;" "&amp;INDEX('Suivi EPP'!$C$6:$C$505,MATCH($A939,'Suivi EPP'!$A$6:$A$505,0)),"Matricule inconnu"))</f>
        <v/>
      </c>
      <c r="C939" s="40"/>
      <c r="D939" s="39"/>
      <c r="E939" s="39"/>
      <c r="F939" s="39"/>
      <c r="G939" s="39"/>
      <c r="H939" s="39"/>
    </row>
    <row r="940" customFormat="false" ht="15" hidden="false" customHeight="false" outlineLevel="0" collapsed="false">
      <c r="A940" s="39"/>
      <c r="B940" s="44" t="str">
        <f aca="false">IF($A940="","",IFERROR(INDEX('Suivi EPP'!$B$6:$B$505,MATCH($A940,'Suivi EPP'!$A$6:$A$505,0))&amp;" "&amp;INDEX('Suivi EPP'!$C$6:$C$505,MATCH($A940,'Suivi EPP'!$A$6:$A$505,0)),"Matricule inconnu"))</f>
        <v/>
      </c>
      <c r="C940" s="40"/>
      <c r="D940" s="39"/>
      <c r="E940" s="39"/>
      <c r="F940" s="39"/>
      <c r="G940" s="39"/>
      <c r="H940" s="39"/>
    </row>
    <row r="941" customFormat="false" ht="15" hidden="false" customHeight="false" outlineLevel="0" collapsed="false">
      <c r="A941" s="39"/>
      <c r="B941" s="44" t="str">
        <f aca="false">IF($A941="","",IFERROR(INDEX('Suivi EPP'!$B$6:$B$505,MATCH($A941,'Suivi EPP'!$A$6:$A$505,0))&amp;" "&amp;INDEX('Suivi EPP'!$C$6:$C$505,MATCH($A941,'Suivi EPP'!$A$6:$A$505,0)),"Matricule inconnu"))</f>
        <v/>
      </c>
      <c r="C941" s="40"/>
      <c r="D941" s="39"/>
      <c r="E941" s="39"/>
      <c r="F941" s="39"/>
      <c r="G941" s="39"/>
      <c r="H941" s="39"/>
    </row>
    <row r="942" customFormat="false" ht="15" hidden="false" customHeight="false" outlineLevel="0" collapsed="false">
      <c r="A942" s="39"/>
      <c r="B942" s="44" t="str">
        <f aca="false">IF($A942="","",IFERROR(INDEX('Suivi EPP'!$B$6:$B$505,MATCH($A942,'Suivi EPP'!$A$6:$A$505,0))&amp;" "&amp;INDEX('Suivi EPP'!$C$6:$C$505,MATCH($A942,'Suivi EPP'!$A$6:$A$505,0)),"Matricule inconnu"))</f>
        <v/>
      </c>
      <c r="C942" s="40"/>
      <c r="D942" s="39"/>
      <c r="E942" s="39"/>
      <c r="F942" s="39"/>
      <c r="G942" s="39"/>
      <c r="H942" s="39"/>
    </row>
    <row r="943" customFormat="false" ht="15" hidden="false" customHeight="false" outlineLevel="0" collapsed="false">
      <c r="A943" s="39"/>
      <c r="B943" s="44" t="str">
        <f aca="false">IF($A943="","",IFERROR(INDEX('Suivi EPP'!$B$6:$B$505,MATCH($A943,'Suivi EPP'!$A$6:$A$505,0))&amp;" "&amp;INDEX('Suivi EPP'!$C$6:$C$505,MATCH($A943,'Suivi EPP'!$A$6:$A$505,0)),"Matricule inconnu"))</f>
        <v/>
      </c>
      <c r="C943" s="40"/>
      <c r="D943" s="39"/>
      <c r="E943" s="39"/>
      <c r="F943" s="39"/>
      <c r="G943" s="39"/>
      <c r="H943" s="39"/>
    </row>
    <row r="944" customFormat="false" ht="15" hidden="false" customHeight="false" outlineLevel="0" collapsed="false">
      <c r="A944" s="39"/>
      <c r="B944" s="44" t="str">
        <f aca="false">IF($A944="","",IFERROR(INDEX('Suivi EPP'!$B$6:$B$505,MATCH($A944,'Suivi EPP'!$A$6:$A$505,0))&amp;" "&amp;INDEX('Suivi EPP'!$C$6:$C$505,MATCH($A944,'Suivi EPP'!$A$6:$A$505,0)),"Matricule inconnu"))</f>
        <v/>
      </c>
      <c r="C944" s="40"/>
      <c r="D944" s="39"/>
      <c r="E944" s="39"/>
      <c r="F944" s="39"/>
      <c r="G944" s="39"/>
      <c r="H944" s="39"/>
    </row>
    <row r="945" customFormat="false" ht="15" hidden="false" customHeight="false" outlineLevel="0" collapsed="false">
      <c r="A945" s="39"/>
      <c r="B945" s="44" t="str">
        <f aca="false">IF($A945="","",IFERROR(INDEX('Suivi EPP'!$B$6:$B$505,MATCH($A945,'Suivi EPP'!$A$6:$A$505,0))&amp;" "&amp;INDEX('Suivi EPP'!$C$6:$C$505,MATCH($A945,'Suivi EPP'!$A$6:$A$505,0)),"Matricule inconnu"))</f>
        <v/>
      </c>
      <c r="C945" s="40"/>
      <c r="D945" s="39"/>
      <c r="E945" s="39"/>
      <c r="F945" s="39"/>
      <c r="G945" s="39"/>
      <c r="H945" s="39"/>
    </row>
    <row r="946" customFormat="false" ht="15" hidden="false" customHeight="false" outlineLevel="0" collapsed="false">
      <c r="A946" s="39"/>
      <c r="B946" s="44" t="str">
        <f aca="false">IF($A946="","",IFERROR(INDEX('Suivi EPP'!$B$6:$B$505,MATCH($A946,'Suivi EPP'!$A$6:$A$505,0))&amp;" "&amp;INDEX('Suivi EPP'!$C$6:$C$505,MATCH($A946,'Suivi EPP'!$A$6:$A$505,0)),"Matricule inconnu"))</f>
        <v/>
      </c>
      <c r="C946" s="40"/>
      <c r="D946" s="39"/>
      <c r="E946" s="39"/>
      <c r="F946" s="39"/>
      <c r="G946" s="39"/>
      <c r="H946" s="39"/>
    </row>
    <row r="947" customFormat="false" ht="15" hidden="false" customHeight="false" outlineLevel="0" collapsed="false">
      <c r="A947" s="39"/>
      <c r="B947" s="44" t="str">
        <f aca="false">IF($A947="","",IFERROR(INDEX('Suivi EPP'!$B$6:$B$505,MATCH($A947,'Suivi EPP'!$A$6:$A$505,0))&amp;" "&amp;INDEX('Suivi EPP'!$C$6:$C$505,MATCH($A947,'Suivi EPP'!$A$6:$A$505,0)),"Matricule inconnu"))</f>
        <v/>
      </c>
      <c r="C947" s="40"/>
      <c r="D947" s="39"/>
      <c r="E947" s="39"/>
      <c r="F947" s="39"/>
      <c r="G947" s="39"/>
      <c r="H947" s="39"/>
    </row>
    <row r="948" customFormat="false" ht="15" hidden="false" customHeight="false" outlineLevel="0" collapsed="false">
      <c r="A948" s="39"/>
      <c r="B948" s="44" t="str">
        <f aca="false">IF($A948="","",IFERROR(INDEX('Suivi EPP'!$B$6:$B$505,MATCH($A948,'Suivi EPP'!$A$6:$A$505,0))&amp;" "&amp;INDEX('Suivi EPP'!$C$6:$C$505,MATCH($A948,'Suivi EPP'!$A$6:$A$505,0)),"Matricule inconnu"))</f>
        <v/>
      </c>
      <c r="C948" s="40"/>
      <c r="D948" s="39"/>
      <c r="E948" s="39"/>
      <c r="F948" s="39"/>
      <c r="G948" s="39"/>
      <c r="H948" s="39"/>
    </row>
    <row r="949" customFormat="false" ht="15" hidden="false" customHeight="false" outlineLevel="0" collapsed="false">
      <c r="A949" s="39"/>
      <c r="B949" s="44" t="str">
        <f aca="false">IF($A949="","",IFERROR(INDEX('Suivi EPP'!$B$6:$B$505,MATCH($A949,'Suivi EPP'!$A$6:$A$505,0))&amp;" "&amp;INDEX('Suivi EPP'!$C$6:$C$505,MATCH($A949,'Suivi EPP'!$A$6:$A$505,0)),"Matricule inconnu"))</f>
        <v/>
      </c>
      <c r="C949" s="40"/>
      <c r="D949" s="39"/>
      <c r="E949" s="39"/>
      <c r="F949" s="39"/>
      <c r="G949" s="39"/>
      <c r="H949" s="39"/>
    </row>
    <row r="950" customFormat="false" ht="15" hidden="false" customHeight="false" outlineLevel="0" collapsed="false">
      <c r="A950" s="39"/>
      <c r="B950" s="44" t="str">
        <f aca="false">IF($A950="","",IFERROR(INDEX('Suivi EPP'!$B$6:$B$505,MATCH($A950,'Suivi EPP'!$A$6:$A$505,0))&amp;" "&amp;INDEX('Suivi EPP'!$C$6:$C$505,MATCH($A950,'Suivi EPP'!$A$6:$A$505,0)),"Matricule inconnu"))</f>
        <v/>
      </c>
      <c r="C950" s="40"/>
      <c r="D950" s="39"/>
      <c r="E950" s="39"/>
      <c r="F950" s="39"/>
      <c r="G950" s="39"/>
      <c r="H950" s="39"/>
    </row>
    <row r="951" customFormat="false" ht="15" hidden="false" customHeight="false" outlineLevel="0" collapsed="false">
      <c r="A951" s="39"/>
      <c r="B951" s="44" t="str">
        <f aca="false">IF($A951="","",IFERROR(INDEX('Suivi EPP'!$B$6:$B$505,MATCH($A951,'Suivi EPP'!$A$6:$A$505,0))&amp;" "&amp;INDEX('Suivi EPP'!$C$6:$C$505,MATCH($A951,'Suivi EPP'!$A$6:$A$505,0)),"Matricule inconnu"))</f>
        <v/>
      </c>
      <c r="C951" s="40"/>
      <c r="D951" s="39"/>
      <c r="E951" s="39"/>
      <c r="F951" s="39"/>
      <c r="G951" s="39"/>
      <c r="H951" s="39"/>
    </row>
    <row r="952" customFormat="false" ht="15" hidden="false" customHeight="false" outlineLevel="0" collapsed="false">
      <c r="A952" s="39"/>
      <c r="B952" s="44" t="str">
        <f aca="false">IF($A952="","",IFERROR(INDEX('Suivi EPP'!$B$6:$B$505,MATCH($A952,'Suivi EPP'!$A$6:$A$505,0))&amp;" "&amp;INDEX('Suivi EPP'!$C$6:$C$505,MATCH($A952,'Suivi EPP'!$A$6:$A$505,0)),"Matricule inconnu"))</f>
        <v/>
      </c>
      <c r="C952" s="40"/>
      <c r="D952" s="39"/>
      <c r="E952" s="39"/>
      <c r="F952" s="39"/>
      <c r="G952" s="39"/>
      <c r="H952" s="39"/>
    </row>
    <row r="953" customFormat="false" ht="15" hidden="false" customHeight="false" outlineLevel="0" collapsed="false">
      <c r="A953" s="39"/>
      <c r="B953" s="44" t="str">
        <f aca="false">IF($A953="","",IFERROR(INDEX('Suivi EPP'!$B$6:$B$505,MATCH($A953,'Suivi EPP'!$A$6:$A$505,0))&amp;" "&amp;INDEX('Suivi EPP'!$C$6:$C$505,MATCH($A953,'Suivi EPP'!$A$6:$A$505,0)),"Matricule inconnu"))</f>
        <v/>
      </c>
      <c r="C953" s="40"/>
      <c r="D953" s="39"/>
      <c r="E953" s="39"/>
      <c r="F953" s="39"/>
      <c r="G953" s="39"/>
      <c r="H953" s="39"/>
    </row>
    <row r="954" customFormat="false" ht="15" hidden="false" customHeight="false" outlineLevel="0" collapsed="false">
      <c r="A954" s="39"/>
      <c r="B954" s="44" t="str">
        <f aca="false">IF($A954="","",IFERROR(INDEX('Suivi EPP'!$B$6:$B$505,MATCH($A954,'Suivi EPP'!$A$6:$A$505,0))&amp;" "&amp;INDEX('Suivi EPP'!$C$6:$C$505,MATCH($A954,'Suivi EPP'!$A$6:$A$505,0)),"Matricule inconnu"))</f>
        <v/>
      </c>
      <c r="C954" s="40"/>
      <c r="D954" s="39"/>
      <c r="E954" s="39"/>
      <c r="F954" s="39"/>
      <c r="G954" s="39"/>
      <c r="H954" s="39"/>
    </row>
    <row r="955" customFormat="false" ht="15" hidden="false" customHeight="false" outlineLevel="0" collapsed="false">
      <c r="A955" s="39"/>
      <c r="B955" s="44" t="str">
        <f aca="false">IF($A955="","",IFERROR(INDEX('Suivi EPP'!$B$6:$B$505,MATCH($A955,'Suivi EPP'!$A$6:$A$505,0))&amp;" "&amp;INDEX('Suivi EPP'!$C$6:$C$505,MATCH($A955,'Suivi EPP'!$A$6:$A$505,0)),"Matricule inconnu"))</f>
        <v/>
      </c>
      <c r="C955" s="40"/>
      <c r="D955" s="39"/>
      <c r="E955" s="39"/>
      <c r="F955" s="39"/>
      <c r="G955" s="39"/>
      <c r="H955" s="39"/>
    </row>
    <row r="956" customFormat="false" ht="15" hidden="false" customHeight="false" outlineLevel="0" collapsed="false">
      <c r="A956" s="39"/>
      <c r="B956" s="44" t="str">
        <f aca="false">IF($A956="","",IFERROR(INDEX('Suivi EPP'!$B$6:$B$505,MATCH($A956,'Suivi EPP'!$A$6:$A$505,0))&amp;" "&amp;INDEX('Suivi EPP'!$C$6:$C$505,MATCH($A956,'Suivi EPP'!$A$6:$A$505,0)),"Matricule inconnu"))</f>
        <v/>
      </c>
      <c r="C956" s="40"/>
      <c r="D956" s="39"/>
      <c r="E956" s="39"/>
      <c r="F956" s="39"/>
      <c r="G956" s="39"/>
      <c r="H956" s="39"/>
    </row>
    <row r="957" customFormat="false" ht="15" hidden="false" customHeight="false" outlineLevel="0" collapsed="false">
      <c r="A957" s="39"/>
      <c r="B957" s="44" t="str">
        <f aca="false">IF($A957="","",IFERROR(INDEX('Suivi EPP'!$B$6:$B$505,MATCH($A957,'Suivi EPP'!$A$6:$A$505,0))&amp;" "&amp;INDEX('Suivi EPP'!$C$6:$C$505,MATCH($A957,'Suivi EPP'!$A$6:$A$505,0)),"Matricule inconnu"))</f>
        <v/>
      </c>
      <c r="C957" s="40"/>
      <c r="D957" s="39"/>
      <c r="E957" s="39"/>
      <c r="F957" s="39"/>
      <c r="G957" s="39"/>
      <c r="H957" s="39"/>
    </row>
    <row r="958" customFormat="false" ht="15" hidden="false" customHeight="false" outlineLevel="0" collapsed="false">
      <c r="A958" s="39"/>
      <c r="B958" s="44" t="str">
        <f aca="false">IF($A958="","",IFERROR(INDEX('Suivi EPP'!$B$6:$B$505,MATCH($A958,'Suivi EPP'!$A$6:$A$505,0))&amp;" "&amp;INDEX('Suivi EPP'!$C$6:$C$505,MATCH($A958,'Suivi EPP'!$A$6:$A$505,0)),"Matricule inconnu"))</f>
        <v/>
      </c>
      <c r="C958" s="40"/>
      <c r="D958" s="39"/>
      <c r="E958" s="39"/>
      <c r="F958" s="39"/>
      <c r="G958" s="39"/>
      <c r="H958" s="39"/>
    </row>
    <row r="959" customFormat="false" ht="15" hidden="false" customHeight="false" outlineLevel="0" collapsed="false">
      <c r="A959" s="39"/>
      <c r="B959" s="44" t="str">
        <f aca="false">IF($A959="","",IFERROR(INDEX('Suivi EPP'!$B$6:$B$505,MATCH($A959,'Suivi EPP'!$A$6:$A$505,0))&amp;" "&amp;INDEX('Suivi EPP'!$C$6:$C$505,MATCH($A959,'Suivi EPP'!$A$6:$A$505,0)),"Matricule inconnu"))</f>
        <v/>
      </c>
      <c r="C959" s="40"/>
      <c r="D959" s="39"/>
      <c r="E959" s="39"/>
      <c r="F959" s="39"/>
      <c r="G959" s="39"/>
      <c r="H959" s="39"/>
    </row>
    <row r="960" customFormat="false" ht="15" hidden="false" customHeight="false" outlineLevel="0" collapsed="false">
      <c r="A960" s="39"/>
      <c r="B960" s="44" t="str">
        <f aca="false">IF($A960="","",IFERROR(INDEX('Suivi EPP'!$B$6:$B$505,MATCH($A960,'Suivi EPP'!$A$6:$A$505,0))&amp;" "&amp;INDEX('Suivi EPP'!$C$6:$C$505,MATCH($A960,'Suivi EPP'!$A$6:$A$505,0)),"Matricule inconnu"))</f>
        <v/>
      </c>
      <c r="C960" s="40"/>
      <c r="D960" s="39"/>
      <c r="E960" s="39"/>
      <c r="F960" s="39"/>
      <c r="G960" s="39"/>
      <c r="H960" s="39"/>
    </row>
    <row r="961" customFormat="false" ht="15" hidden="false" customHeight="false" outlineLevel="0" collapsed="false">
      <c r="A961" s="39"/>
      <c r="B961" s="44" t="str">
        <f aca="false">IF($A961="","",IFERROR(INDEX('Suivi EPP'!$B$6:$B$505,MATCH($A961,'Suivi EPP'!$A$6:$A$505,0))&amp;" "&amp;INDEX('Suivi EPP'!$C$6:$C$505,MATCH($A961,'Suivi EPP'!$A$6:$A$505,0)),"Matricule inconnu"))</f>
        <v/>
      </c>
      <c r="C961" s="40"/>
      <c r="D961" s="39"/>
      <c r="E961" s="39"/>
      <c r="F961" s="39"/>
      <c r="G961" s="39"/>
      <c r="H961" s="39"/>
    </row>
    <row r="962" customFormat="false" ht="15" hidden="false" customHeight="false" outlineLevel="0" collapsed="false">
      <c r="A962" s="39"/>
      <c r="B962" s="44" t="str">
        <f aca="false">IF($A962="","",IFERROR(INDEX('Suivi EPP'!$B$6:$B$505,MATCH($A962,'Suivi EPP'!$A$6:$A$505,0))&amp;" "&amp;INDEX('Suivi EPP'!$C$6:$C$505,MATCH($A962,'Suivi EPP'!$A$6:$A$505,0)),"Matricule inconnu"))</f>
        <v/>
      </c>
      <c r="C962" s="40"/>
      <c r="D962" s="39"/>
      <c r="E962" s="39"/>
      <c r="F962" s="39"/>
      <c r="G962" s="39"/>
      <c r="H962" s="39"/>
    </row>
    <row r="963" customFormat="false" ht="15" hidden="false" customHeight="false" outlineLevel="0" collapsed="false">
      <c r="A963" s="39"/>
      <c r="B963" s="44" t="str">
        <f aca="false">IF($A963="","",IFERROR(INDEX('Suivi EPP'!$B$6:$B$505,MATCH($A963,'Suivi EPP'!$A$6:$A$505,0))&amp;" "&amp;INDEX('Suivi EPP'!$C$6:$C$505,MATCH($A963,'Suivi EPP'!$A$6:$A$505,0)),"Matricule inconnu"))</f>
        <v/>
      </c>
      <c r="C963" s="40"/>
      <c r="D963" s="39"/>
      <c r="E963" s="39"/>
      <c r="F963" s="39"/>
      <c r="G963" s="39"/>
      <c r="H963" s="39"/>
    </row>
    <row r="964" customFormat="false" ht="15" hidden="false" customHeight="false" outlineLevel="0" collapsed="false">
      <c r="A964" s="39"/>
      <c r="B964" s="44" t="str">
        <f aca="false">IF($A964="","",IFERROR(INDEX('Suivi EPP'!$B$6:$B$505,MATCH($A964,'Suivi EPP'!$A$6:$A$505,0))&amp;" "&amp;INDEX('Suivi EPP'!$C$6:$C$505,MATCH($A964,'Suivi EPP'!$A$6:$A$505,0)),"Matricule inconnu"))</f>
        <v/>
      </c>
      <c r="C964" s="40"/>
      <c r="D964" s="39"/>
      <c r="E964" s="39"/>
      <c r="F964" s="39"/>
      <c r="G964" s="39"/>
      <c r="H964" s="39"/>
    </row>
    <row r="965" customFormat="false" ht="15" hidden="false" customHeight="false" outlineLevel="0" collapsed="false">
      <c r="A965" s="39"/>
      <c r="B965" s="44" t="str">
        <f aca="false">IF($A965="","",IFERROR(INDEX('Suivi EPP'!$B$6:$B$505,MATCH($A965,'Suivi EPP'!$A$6:$A$505,0))&amp;" "&amp;INDEX('Suivi EPP'!$C$6:$C$505,MATCH($A965,'Suivi EPP'!$A$6:$A$505,0)),"Matricule inconnu"))</f>
        <v/>
      </c>
      <c r="C965" s="40"/>
      <c r="D965" s="39"/>
      <c r="E965" s="39"/>
      <c r="F965" s="39"/>
      <c r="G965" s="39"/>
      <c r="H965" s="39"/>
    </row>
    <row r="966" customFormat="false" ht="15" hidden="false" customHeight="false" outlineLevel="0" collapsed="false">
      <c r="A966" s="39"/>
      <c r="B966" s="44" t="str">
        <f aca="false">IF($A966="","",IFERROR(INDEX('Suivi EPP'!$B$6:$B$505,MATCH($A966,'Suivi EPP'!$A$6:$A$505,0))&amp;" "&amp;INDEX('Suivi EPP'!$C$6:$C$505,MATCH($A966,'Suivi EPP'!$A$6:$A$505,0)),"Matricule inconnu"))</f>
        <v/>
      </c>
      <c r="C966" s="40"/>
      <c r="D966" s="39"/>
      <c r="E966" s="39"/>
      <c r="F966" s="39"/>
      <c r="G966" s="39"/>
      <c r="H966" s="39"/>
    </row>
    <row r="967" customFormat="false" ht="15" hidden="false" customHeight="false" outlineLevel="0" collapsed="false">
      <c r="A967" s="39"/>
      <c r="B967" s="44" t="str">
        <f aca="false">IF($A967="","",IFERROR(INDEX('Suivi EPP'!$B$6:$B$505,MATCH($A967,'Suivi EPP'!$A$6:$A$505,0))&amp;" "&amp;INDEX('Suivi EPP'!$C$6:$C$505,MATCH($A967,'Suivi EPP'!$A$6:$A$505,0)),"Matricule inconnu"))</f>
        <v/>
      </c>
      <c r="C967" s="40"/>
      <c r="D967" s="39"/>
      <c r="E967" s="39"/>
      <c r="F967" s="39"/>
      <c r="G967" s="39"/>
      <c r="H967" s="39"/>
    </row>
    <row r="968" customFormat="false" ht="15" hidden="false" customHeight="false" outlineLevel="0" collapsed="false">
      <c r="A968" s="39"/>
      <c r="B968" s="44" t="str">
        <f aca="false">IF($A968="","",IFERROR(INDEX('Suivi EPP'!$B$6:$B$505,MATCH($A968,'Suivi EPP'!$A$6:$A$505,0))&amp;" "&amp;INDEX('Suivi EPP'!$C$6:$C$505,MATCH($A968,'Suivi EPP'!$A$6:$A$505,0)),"Matricule inconnu"))</f>
        <v/>
      </c>
      <c r="C968" s="40"/>
      <c r="D968" s="39"/>
      <c r="E968" s="39"/>
      <c r="F968" s="39"/>
      <c r="G968" s="39"/>
      <c r="H968" s="39"/>
    </row>
    <row r="969" customFormat="false" ht="15" hidden="false" customHeight="false" outlineLevel="0" collapsed="false">
      <c r="A969" s="39"/>
      <c r="B969" s="44" t="str">
        <f aca="false">IF($A969="","",IFERROR(INDEX('Suivi EPP'!$B$6:$B$505,MATCH($A969,'Suivi EPP'!$A$6:$A$505,0))&amp;" "&amp;INDEX('Suivi EPP'!$C$6:$C$505,MATCH($A969,'Suivi EPP'!$A$6:$A$505,0)),"Matricule inconnu"))</f>
        <v/>
      </c>
      <c r="C969" s="40"/>
      <c r="D969" s="39"/>
      <c r="E969" s="39"/>
      <c r="F969" s="39"/>
      <c r="G969" s="39"/>
      <c r="H969" s="39"/>
    </row>
    <row r="970" customFormat="false" ht="15" hidden="false" customHeight="false" outlineLevel="0" collapsed="false">
      <c r="A970" s="39"/>
      <c r="B970" s="44" t="str">
        <f aca="false">IF($A970="","",IFERROR(INDEX('Suivi EPP'!$B$6:$B$505,MATCH($A970,'Suivi EPP'!$A$6:$A$505,0))&amp;" "&amp;INDEX('Suivi EPP'!$C$6:$C$505,MATCH($A970,'Suivi EPP'!$A$6:$A$505,0)),"Matricule inconnu"))</f>
        <v/>
      </c>
      <c r="C970" s="40"/>
      <c r="D970" s="39"/>
      <c r="E970" s="39"/>
      <c r="F970" s="39"/>
      <c r="G970" s="39"/>
      <c r="H970" s="39"/>
    </row>
    <row r="971" customFormat="false" ht="15" hidden="false" customHeight="false" outlineLevel="0" collapsed="false">
      <c r="A971" s="39"/>
      <c r="B971" s="44" t="str">
        <f aca="false">IF($A971="","",IFERROR(INDEX('Suivi EPP'!$B$6:$B$505,MATCH($A971,'Suivi EPP'!$A$6:$A$505,0))&amp;" "&amp;INDEX('Suivi EPP'!$C$6:$C$505,MATCH($A971,'Suivi EPP'!$A$6:$A$505,0)),"Matricule inconnu"))</f>
        <v/>
      </c>
      <c r="C971" s="40"/>
      <c r="D971" s="39"/>
      <c r="E971" s="39"/>
      <c r="F971" s="39"/>
      <c r="G971" s="39"/>
      <c r="H971" s="39"/>
    </row>
    <row r="972" customFormat="false" ht="15" hidden="false" customHeight="false" outlineLevel="0" collapsed="false">
      <c r="A972" s="39"/>
      <c r="B972" s="44" t="str">
        <f aca="false">IF($A972="","",IFERROR(INDEX('Suivi EPP'!$B$6:$B$505,MATCH($A972,'Suivi EPP'!$A$6:$A$505,0))&amp;" "&amp;INDEX('Suivi EPP'!$C$6:$C$505,MATCH($A972,'Suivi EPP'!$A$6:$A$505,0)),"Matricule inconnu"))</f>
        <v/>
      </c>
      <c r="C972" s="40"/>
      <c r="D972" s="39"/>
      <c r="E972" s="39"/>
      <c r="F972" s="39"/>
      <c r="G972" s="39"/>
      <c r="H972" s="39"/>
    </row>
    <row r="973" customFormat="false" ht="15" hidden="false" customHeight="false" outlineLevel="0" collapsed="false">
      <c r="A973" s="39"/>
      <c r="B973" s="44" t="str">
        <f aca="false">IF($A973="","",IFERROR(INDEX('Suivi EPP'!$B$6:$B$505,MATCH($A973,'Suivi EPP'!$A$6:$A$505,0))&amp;" "&amp;INDEX('Suivi EPP'!$C$6:$C$505,MATCH($A973,'Suivi EPP'!$A$6:$A$505,0)),"Matricule inconnu"))</f>
        <v/>
      </c>
      <c r="C973" s="40"/>
      <c r="D973" s="39"/>
      <c r="E973" s="39"/>
      <c r="F973" s="39"/>
      <c r="G973" s="39"/>
      <c r="H973" s="39"/>
    </row>
    <row r="974" customFormat="false" ht="15" hidden="false" customHeight="false" outlineLevel="0" collapsed="false">
      <c r="A974" s="39"/>
      <c r="B974" s="44" t="str">
        <f aca="false">IF($A974="","",IFERROR(INDEX('Suivi EPP'!$B$6:$B$505,MATCH($A974,'Suivi EPP'!$A$6:$A$505,0))&amp;" "&amp;INDEX('Suivi EPP'!$C$6:$C$505,MATCH($A974,'Suivi EPP'!$A$6:$A$505,0)),"Matricule inconnu"))</f>
        <v/>
      </c>
      <c r="C974" s="40"/>
      <c r="D974" s="39"/>
      <c r="E974" s="39"/>
      <c r="F974" s="39"/>
      <c r="G974" s="39"/>
      <c r="H974" s="39"/>
    </row>
    <row r="975" customFormat="false" ht="15" hidden="false" customHeight="false" outlineLevel="0" collapsed="false">
      <c r="A975" s="39"/>
      <c r="B975" s="44" t="str">
        <f aca="false">IF($A975="","",IFERROR(INDEX('Suivi EPP'!$B$6:$B$505,MATCH($A975,'Suivi EPP'!$A$6:$A$505,0))&amp;" "&amp;INDEX('Suivi EPP'!$C$6:$C$505,MATCH($A975,'Suivi EPP'!$A$6:$A$505,0)),"Matricule inconnu"))</f>
        <v/>
      </c>
      <c r="C975" s="40"/>
      <c r="D975" s="39"/>
      <c r="E975" s="39"/>
      <c r="F975" s="39"/>
      <c r="G975" s="39"/>
      <c r="H975" s="39"/>
    </row>
    <row r="976" customFormat="false" ht="15" hidden="false" customHeight="false" outlineLevel="0" collapsed="false">
      <c r="A976" s="39"/>
      <c r="B976" s="44" t="str">
        <f aca="false">IF($A976="","",IFERROR(INDEX('Suivi EPP'!$B$6:$B$505,MATCH($A976,'Suivi EPP'!$A$6:$A$505,0))&amp;" "&amp;INDEX('Suivi EPP'!$C$6:$C$505,MATCH($A976,'Suivi EPP'!$A$6:$A$505,0)),"Matricule inconnu"))</f>
        <v/>
      </c>
      <c r="C976" s="40"/>
      <c r="D976" s="39"/>
      <c r="E976" s="39"/>
      <c r="F976" s="39"/>
      <c r="G976" s="39"/>
      <c r="H976" s="39"/>
    </row>
    <row r="977" customFormat="false" ht="15" hidden="false" customHeight="false" outlineLevel="0" collapsed="false">
      <c r="A977" s="39"/>
      <c r="B977" s="44" t="str">
        <f aca="false">IF($A977="","",IFERROR(INDEX('Suivi EPP'!$B$6:$B$505,MATCH($A977,'Suivi EPP'!$A$6:$A$505,0))&amp;" "&amp;INDEX('Suivi EPP'!$C$6:$C$505,MATCH($A977,'Suivi EPP'!$A$6:$A$505,0)),"Matricule inconnu"))</f>
        <v/>
      </c>
      <c r="C977" s="40"/>
      <c r="D977" s="39"/>
      <c r="E977" s="39"/>
      <c r="F977" s="39"/>
      <c r="G977" s="39"/>
      <c r="H977" s="39"/>
    </row>
    <row r="978" customFormat="false" ht="15" hidden="false" customHeight="false" outlineLevel="0" collapsed="false">
      <c r="A978" s="39"/>
      <c r="B978" s="44" t="str">
        <f aca="false">IF($A978="","",IFERROR(INDEX('Suivi EPP'!$B$6:$B$505,MATCH($A978,'Suivi EPP'!$A$6:$A$505,0))&amp;" "&amp;INDEX('Suivi EPP'!$C$6:$C$505,MATCH($A978,'Suivi EPP'!$A$6:$A$505,0)),"Matricule inconnu"))</f>
        <v/>
      </c>
      <c r="C978" s="40"/>
      <c r="D978" s="39"/>
      <c r="E978" s="39"/>
      <c r="F978" s="39"/>
      <c r="G978" s="39"/>
      <c r="H978" s="39"/>
    </row>
    <row r="979" customFormat="false" ht="15" hidden="false" customHeight="false" outlineLevel="0" collapsed="false">
      <c r="A979" s="39"/>
      <c r="B979" s="44" t="str">
        <f aca="false">IF($A979="","",IFERROR(INDEX('Suivi EPP'!$B$6:$B$505,MATCH($A979,'Suivi EPP'!$A$6:$A$505,0))&amp;" "&amp;INDEX('Suivi EPP'!$C$6:$C$505,MATCH($A979,'Suivi EPP'!$A$6:$A$505,0)),"Matricule inconnu"))</f>
        <v/>
      </c>
      <c r="C979" s="40"/>
      <c r="D979" s="39"/>
      <c r="E979" s="39"/>
      <c r="F979" s="39"/>
      <c r="G979" s="39"/>
      <c r="H979" s="39"/>
    </row>
    <row r="980" customFormat="false" ht="15" hidden="false" customHeight="false" outlineLevel="0" collapsed="false">
      <c r="A980" s="39"/>
      <c r="B980" s="44" t="str">
        <f aca="false">IF($A980="","",IFERROR(INDEX('Suivi EPP'!$B$6:$B$505,MATCH($A980,'Suivi EPP'!$A$6:$A$505,0))&amp;" "&amp;INDEX('Suivi EPP'!$C$6:$C$505,MATCH($A980,'Suivi EPP'!$A$6:$A$505,0)),"Matricule inconnu"))</f>
        <v/>
      </c>
      <c r="C980" s="40"/>
      <c r="D980" s="39"/>
      <c r="E980" s="39"/>
      <c r="F980" s="39"/>
      <c r="G980" s="39"/>
      <c r="H980" s="39"/>
    </row>
    <row r="981" customFormat="false" ht="15" hidden="false" customHeight="false" outlineLevel="0" collapsed="false">
      <c r="A981" s="39"/>
      <c r="B981" s="44" t="str">
        <f aca="false">IF($A981="","",IFERROR(INDEX('Suivi EPP'!$B$6:$B$505,MATCH($A981,'Suivi EPP'!$A$6:$A$505,0))&amp;" "&amp;INDEX('Suivi EPP'!$C$6:$C$505,MATCH($A981,'Suivi EPP'!$A$6:$A$505,0)),"Matricule inconnu"))</f>
        <v/>
      </c>
      <c r="C981" s="40"/>
      <c r="D981" s="39"/>
      <c r="E981" s="39"/>
      <c r="F981" s="39"/>
      <c r="G981" s="39"/>
      <c r="H981" s="39"/>
    </row>
    <row r="982" customFormat="false" ht="15" hidden="false" customHeight="false" outlineLevel="0" collapsed="false">
      <c r="A982" s="39"/>
      <c r="B982" s="44" t="str">
        <f aca="false">IF($A982="","",IFERROR(INDEX('Suivi EPP'!$B$6:$B$505,MATCH($A982,'Suivi EPP'!$A$6:$A$505,0))&amp;" "&amp;INDEX('Suivi EPP'!$C$6:$C$505,MATCH($A982,'Suivi EPP'!$A$6:$A$505,0)),"Matricule inconnu"))</f>
        <v/>
      </c>
      <c r="C982" s="40"/>
      <c r="D982" s="39"/>
      <c r="E982" s="39"/>
      <c r="F982" s="39"/>
      <c r="G982" s="39"/>
      <c r="H982" s="39"/>
    </row>
    <row r="983" customFormat="false" ht="15" hidden="false" customHeight="false" outlineLevel="0" collapsed="false">
      <c r="A983" s="39"/>
      <c r="B983" s="44" t="str">
        <f aca="false">IF($A983="","",IFERROR(INDEX('Suivi EPP'!$B$6:$B$505,MATCH($A983,'Suivi EPP'!$A$6:$A$505,0))&amp;" "&amp;INDEX('Suivi EPP'!$C$6:$C$505,MATCH($A983,'Suivi EPP'!$A$6:$A$505,0)),"Matricule inconnu"))</f>
        <v/>
      </c>
      <c r="C983" s="40"/>
      <c r="D983" s="39"/>
      <c r="E983" s="39"/>
      <c r="F983" s="39"/>
      <c r="G983" s="39"/>
      <c r="H983" s="39"/>
    </row>
    <row r="984" customFormat="false" ht="15" hidden="false" customHeight="false" outlineLevel="0" collapsed="false">
      <c r="A984" s="39"/>
      <c r="B984" s="44" t="str">
        <f aca="false">IF($A984="","",IFERROR(INDEX('Suivi EPP'!$B$6:$B$505,MATCH($A984,'Suivi EPP'!$A$6:$A$505,0))&amp;" "&amp;INDEX('Suivi EPP'!$C$6:$C$505,MATCH($A984,'Suivi EPP'!$A$6:$A$505,0)),"Matricule inconnu"))</f>
        <v/>
      </c>
      <c r="C984" s="40"/>
      <c r="D984" s="39"/>
      <c r="E984" s="39"/>
      <c r="F984" s="39"/>
      <c r="G984" s="39"/>
      <c r="H984" s="39"/>
    </row>
    <row r="985" customFormat="false" ht="15" hidden="false" customHeight="false" outlineLevel="0" collapsed="false">
      <c r="A985" s="39"/>
      <c r="B985" s="44" t="str">
        <f aca="false">IF($A985="","",IFERROR(INDEX('Suivi EPP'!$B$6:$B$505,MATCH($A985,'Suivi EPP'!$A$6:$A$505,0))&amp;" "&amp;INDEX('Suivi EPP'!$C$6:$C$505,MATCH($A985,'Suivi EPP'!$A$6:$A$505,0)),"Matricule inconnu"))</f>
        <v/>
      </c>
      <c r="C985" s="40"/>
      <c r="D985" s="39"/>
      <c r="E985" s="39"/>
      <c r="F985" s="39"/>
      <c r="G985" s="39"/>
      <c r="H985" s="39"/>
    </row>
    <row r="986" customFormat="false" ht="15" hidden="false" customHeight="false" outlineLevel="0" collapsed="false">
      <c r="A986" s="39"/>
      <c r="B986" s="44" t="str">
        <f aca="false">IF($A986="","",IFERROR(INDEX('Suivi EPP'!$B$6:$B$505,MATCH($A986,'Suivi EPP'!$A$6:$A$505,0))&amp;" "&amp;INDEX('Suivi EPP'!$C$6:$C$505,MATCH($A986,'Suivi EPP'!$A$6:$A$505,0)),"Matricule inconnu"))</f>
        <v/>
      </c>
      <c r="C986" s="40"/>
      <c r="D986" s="39"/>
      <c r="E986" s="39"/>
      <c r="F986" s="39"/>
      <c r="G986" s="39"/>
      <c r="H986" s="39"/>
    </row>
    <row r="987" customFormat="false" ht="15" hidden="false" customHeight="false" outlineLevel="0" collapsed="false">
      <c r="A987" s="39"/>
      <c r="B987" s="44" t="str">
        <f aca="false">IF($A987="","",IFERROR(INDEX('Suivi EPP'!$B$6:$B$505,MATCH($A987,'Suivi EPP'!$A$6:$A$505,0))&amp;" "&amp;INDEX('Suivi EPP'!$C$6:$C$505,MATCH($A987,'Suivi EPP'!$A$6:$A$505,0)),"Matricule inconnu"))</f>
        <v/>
      </c>
      <c r="C987" s="40"/>
      <c r="D987" s="39"/>
      <c r="E987" s="39"/>
      <c r="F987" s="39"/>
      <c r="G987" s="39"/>
      <c r="H987" s="39"/>
    </row>
    <row r="988" customFormat="false" ht="15" hidden="false" customHeight="false" outlineLevel="0" collapsed="false">
      <c r="A988" s="39"/>
      <c r="B988" s="44" t="str">
        <f aca="false">IF($A988="","",IFERROR(INDEX('Suivi EPP'!$B$6:$B$505,MATCH($A988,'Suivi EPP'!$A$6:$A$505,0))&amp;" "&amp;INDEX('Suivi EPP'!$C$6:$C$505,MATCH($A988,'Suivi EPP'!$A$6:$A$505,0)),"Matricule inconnu"))</f>
        <v/>
      </c>
      <c r="C988" s="40"/>
      <c r="D988" s="39"/>
      <c r="E988" s="39"/>
      <c r="F988" s="39"/>
      <c r="G988" s="39"/>
      <c r="H988" s="39"/>
    </row>
    <row r="989" customFormat="false" ht="15" hidden="false" customHeight="false" outlineLevel="0" collapsed="false">
      <c r="A989" s="39"/>
      <c r="B989" s="44" t="str">
        <f aca="false">IF($A989="","",IFERROR(INDEX('Suivi EPP'!$B$6:$B$505,MATCH($A989,'Suivi EPP'!$A$6:$A$505,0))&amp;" "&amp;INDEX('Suivi EPP'!$C$6:$C$505,MATCH($A989,'Suivi EPP'!$A$6:$A$505,0)),"Matricule inconnu"))</f>
        <v/>
      </c>
      <c r="C989" s="40"/>
      <c r="D989" s="39"/>
      <c r="E989" s="39"/>
      <c r="F989" s="39"/>
      <c r="G989" s="39"/>
      <c r="H989" s="39"/>
    </row>
    <row r="990" customFormat="false" ht="15" hidden="false" customHeight="false" outlineLevel="0" collapsed="false">
      <c r="A990" s="39"/>
      <c r="B990" s="44" t="str">
        <f aca="false">IF($A990="","",IFERROR(INDEX('Suivi EPP'!$B$6:$B$505,MATCH($A990,'Suivi EPP'!$A$6:$A$505,0))&amp;" "&amp;INDEX('Suivi EPP'!$C$6:$C$505,MATCH($A990,'Suivi EPP'!$A$6:$A$505,0)),"Matricule inconnu"))</f>
        <v/>
      </c>
      <c r="C990" s="40"/>
      <c r="D990" s="39"/>
      <c r="E990" s="39"/>
      <c r="F990" s="39"/>
      <c r="G990" s="39"/>
      <c r="H990" s="39"/>
    </row>
    <row r="991" customFormat="false" ht="15" hidden="false" customHeight="false" outlineLevel="0" collapsed="false">
      <c r="A991" s="39"/>
      <c r="B991" s="44" t="str">
        <f aca="false">IF($A991="","",IFERROR(INDEX('Suivi EPP'!$B$6:$B$505,MATCH($A991,'Suivi EPP'!$A$6:$A$505,0))&amp;" "&amp;INDEX('Suivi EPP'!$C$6:$C$505,MATCH($A991,'Suivi EPP'!$A$6:$A$505,0)),"Matricule inconnu"))</f>
        <v/>
      </c>
      <c r="C991" s="40"/>
      <c r="D991" s="39"/>
      <c r="E991" s="39"/>
      <c r="F991" s="39"/>
      <c r="G991" s="39"/>
      <c r="H991" s="39"/>
    </row>
    <row r="992" customFormat="false" ht="15" hidden="false" customHeight="false" outlineLevel="0" collapsed="false">
      <c r="A992" s="39"/>
      <c r="B992" s="44" t="str">
        <f aca="false">IF($A992="","",IFERROR(INDEX('Suivi EPP'!$B$6:$B$505,MATCH($A992,'Suivi EPP'!$A$6:$A$505,0))&amp;" "&amp;INDEX('Suivi EPP'!$C$6:$C$505,MATCH($A992,'Suivi EPP'!$A$6:$A$505,0)),"Matricule inconnu"))</f>
        <v/>
      </c>
      <c r="C992" s="40"/>
      <c r="D992" s="39"/>
      <c r="E992" s="39"/>
      <c r="F992" s="39"/>
      <c r="G992" s="39"/>
      <c r="H992" s="39"/>
    </row>
    <row r="993" customFormat="false" ht="15" hidden="false" customHeight="false" outlineLevel="0" collapsed="false">
      <c r="A993" s="39"/>
      <c r="B993" s="44" t="str">
        <f aca="false">IF($A993="","",IFERROR(INDEX('Suivi EPP'!$B$6:$B$505,MATCH($A993,'Suivi EPP'!$A$6:$A$505,0))&amp;" "&amp;INDEX('Suivi EPP'!$C$6:$C$505,MATCH($A993,'Suivi EPP'!$A$6:$A$505,0)),"Matricule inconnu"))</f>
        <v/>
      </c>
      <c r="C993" s="40"/>
      <c r="D993" s="39"/>
      <c r="E993" s="39"/>
      <c r="F993" s="39"/>
      <c r="G993" s="39"/>
      <c r="H993" s="39"/>
    </row>
    <row r="994" customFormat="false" ht="15" hidden="false" customHeight="false" outlineLevel="0" collapsed="false">
      <c r="A994" s="39"/>
      <c r="B994" s="44" t="str">
        <f aca="false">IF($A994="","",IFERROR(INDEX('Suivi EPP'!$B$6:$B$505,MATCH($A994,'Suivi EPP'!$A$6:$A$505,0))&amp;" "&amp;INDEX('Suivi EPP'!$C$6:$C$505,MATCH($A994,'Suivi EPP'!$A$6:$A$505,0)),"Matricule inconnu"))</f>
        <v/>
      </c>
      <c r="C994" s="40"/>
      <c r="D994" s="39"/>
      <c r="E994" s="39"/>
      <c r="F994" s="39"/>
      <c r="G994" s="39"/>
      <c r="H994" s="39"/>
    </row>
    <row r="995" customFormat="false" ht="15" hidden="false" customHeight="false" outlineLevel="0" collapsed="false">
      <c r="A995" s="39"/>
      <c r="B995" s="44" t="str">
        <f aca="false">IF($A995="","",IFERROR(INDEX('Suivi EPP'!$B$6:$B$505,MATCH($A995,'Suivi EPP'!$A$6:$A$505,0))&amp;" "&amp;INDEX('Suivi EPP'!$C$6:$C$505,MATCH($A995,'Suivi EPP'!$A$6:$A$505,0)),"Matricule inconnu"))</f>
        <v/>
      </c>
      <c r="C995" s="40"/>
      <c r="D995" s="39"/>
      <c r="E995" s="39"/>
      <c r="F995" s="39"/>
      <c r="G995" s="39"/>
      <c r="H995" s="39"/>
    </row>
    <row r="996" customFormat="false" ht="15" hidden="false" customHeight="false" outlineLevel="0" collapsed="false">
      <c r="A996" s="39"/>
      <c r="B996" s="44" t="str">
        <f aca="false">IF($A996="","",IFERROR(INDEX('Suivi EPP'!$B$6:$B$505,MATCH($A996,'Suivi EPP'!$A$6:$A$505,0))&amp;" "&amp;INDEX('Suivi EPP'!$C$6:$C$505,MATCH($A996,'Suivi EPP'!$A$6:$A$505,0)),"Matricule inconnu"))</f>
        <v/>
      </c>
      <c r="C996" s="40"/>
      <c r="D996" s="39"/>
      <c r="E996" s="39"/>
      <c r="F996" s="39"/>
      <c r="G996" s="39"/>
      <c r="H996" s="39"/>
    </row>
    <row r="997" customFormat="false" ht="15" hidden="false" customHeight="false" outlineLevel="0" collapsed="false">
      <c r="A997" s="39"/>
      <c r="B997" s="44" t="str">
        <f aca="false">IF($A997="","",IFERROR(INDEX('Suivi EPP'!$B$6:$B$505,MATCH($A997,'Suivi EPP'!$A$6:$A$505,0))&amp;" "&amp;INDEX('Suivi EPP'!$C$6:$C$505,MATCH($A997,'Suivi EPP'!$A$6:$A$505,0)),"Matricule inconnu"))</f>
        <v/>
      </c>
      <c r="C997" s="40"/>
      <c r="D997" s="39"/>
      <c r="E997" s="39"/>
      <c r="F997" s="39"/>
      <c r="G997" s="39"/>
      <c r="H997" s="39"/>
    </row>
    <row r="998" customFormat="false" ht="15" hidden="false" customHeight="false" outlineLevel="0" collapsed="false">
      <c r="A998" s="39"/>
      <c r="B998" s="44" t="str">
        <f aca="false">IF($A998="","",IFERROR(INDEX('Suivi EPP'!$B$6:$B$505,MATCH($A998,'Suivi EPP'!$A$6:$A$505,0))&amp;" "&amp;INDEX('Suivi EPP'!$C$6:$C$505,MATCH($A998,'Suivi EPP'!$A$6:$A$505,0)),"Matricule inconnu"))</f>
        <v/>
      </c>
      <c r="C998" s="40"/>
      <c r="D998" s="39"/>
      <c r="E998" s="39"/>
      <c r="F998" s="39"/>
      <c r="G998" s="39"/>
      <c r="H998" s="39"/>
    </row>
    <row r="999" customFormat="false" ht="15" hidden="false" customHeight="false" outlineLevel="0" collapsed="false">
      <c r="A999" s="39"/>
      <c r="B999" s="44" t="str">
        <f aca="false">IF($A999="","",IFERROR(INDEX('Suivi EPP'!$B$6:$B$505,MATCH($A999,'Suivi EPP'!$A$6:$A$505,0))&amp;" "&amp;INDEX('Suivi EPP'!$C$6:$C$505,MATCH($A999,'Suivi EPP'!$A$6:$A$505,0)),"Matricule inconnu"))</f>
        <v/>
      </c>
      <c r="C999" s="40"/>
      <c r="D999" s="39"/>
      <c r="E999" s="39"/>
      <c r="F999" s="39"/>
      <c r="G999" s="39"/>
      <c r="H999" s="39"/>
    </row>
    <row r="1000" customFormat="false" ht="15" hidden="false" customHeight="false" outlineLevel="0" collapsed="false">
      <c r="A1000" s="39"/>
      <c r="B1000" s="44" t="str">
        <f aca="false">IF($A1000="","",IFERROR(INDEX('Suivi EPP'!$B$6:$B$505,MATCH($A1000,'Suivi EPP'!$A$6:$A$505,0))&amp;" "&amp;INDEX('Suivi EPP'!$C$6:$C$505,MATCH($A1000,'Suivi EPP'!$A$6:$A$505,0)),"Matricule inconnu"))</f>
        <v/>
      </c>
      <c r="C1000" s="40"/>
      <c r="D1000" s="39"/>
      <c r="E1000" s="39"/>
      <c r="F1000" s="39"/>
      <c r="G1000" s="39"/>
      <c r="H1000" s="39"/>
    </row>
    <row r="1001" customFormat="false" ht="15" hidden="false" customHeight="false" outlineLevel="0" collapsed="false">
      <c r="A1001" s="39"/>
      <c r="B1001" s="44" t="str">
        <f aca="false">IF($A1001="","",IFERROR(INDEX('Suivi EPP'!$B$6:$B$505,MATCH($A1001,'Suivi EPP'!$A$6:$A$505,0))&amp;" "&amp;INDEX('Suivi EPP'!$C$6:$C$505,MATCH($A1001,'Suivi EPP'!$A$6:$A$505,0)),"Matricule inconnu"))</f>
        <v/>
      </c>
      <c r="C1001" s="40"/>
      <c r="D1001" s="39"/>
      <c r="E1001" s="39"/>
      <c r="F1001" s="39"/>
      <c r="G1001" s="39"/>
      <c r="H1001" s="39"/>
    </row>
    <row r="1002" customFormat="false" ht="15" hidden="false" customHeight="false" outlineLevel="0" collapsed="false">
      <c r="A1002" s="39"/>
      <c r="B1002" s="44" t="str">
        <f aca="false">IF($A1002="","",IFERROR(INDEX('Suivi EPP'!$B$6:$B$505,MATCH($A1002,'Suivi EPP'!$A$6:$A$505,0))&amp;" "&amp;INDEX('Suivi EPP'!$C$6:$C$505,MATCH($A1002,'Suivi EPP'!$A$6:$A$505,0)),"Matricule inconnu"))</f>
        <v/>
      </c>
      <c r="C1002" s="40"/>
      <c r="D1002" s="39"/>
      <c r="E1002" s="39"/>
      <c r="F1002" s="39"/>
      <c r="G1002" s="39"/>
      <c r="H1002" s="39"/>
    </row>
    <row r="1003" customFormat="false" ht="15" hidden="false" customHeight="false" outlineLevel="0" collapsed="false">
      <c r="A1003" s="39"/>
      <c r="B1003" s="44" t="str">
        <f aca="false">IF($A1003="","",IFERROR(INDEX('Suivi EPP'!$B$6:$B$505,MATCH($A1003,'Suivi EPP'!$A$6:$A$505,0))&amp;" "&amp;INDEX('Suivi EPP'!$C$6:$C$505,MATCH($A1003,'Suivi EPP'!$A$6:$A$505,0)),"Matricule inconnu"))</f>
        <v/>
      </c>
      <c r="C1003" s="40"/>
      <c r="D1003" s="39"/>
      <c r="E1003" s="39"/>
      <c r="F1003" s="39"/>
      <c r="G1003" s="39"/>
      <c r="H1003" s="39"/>
    </row>
    <row r="1004" customFormat="false" ht="15" hidden="false" customHeight="false" outlineLevel="0" collapsed="false">
      <c r="A1004" s="39"/>
      <c r="B1004" s="44" t="str">
        <f aca="false">IF($A1004="","",IFERROR(INDEX('Suivi EPP'!$B$6:$B$505,MATCH($A1004,'Suivi EPP'!$A$6:$A$505,0))&amp;" "&amp;INDEX('Suivi EPP'!$C$6:$C$505,MATCH($A1004,'Suivi EPP'!$A$6:$A$505,0)),"Matricule inconnu"))</f>
        <v/>
      </c>
      <c r="C1004" s="40"/>
      <c r="D1004" s="39"/>
      <c r="E1004" s="39"/>
      <c r="F1004" s="39"/>
      <c r="G1004" s="39"/>
      <c r="H1004" s="39"/>
    </row>
    <row r="1005" customFormat="false" ht="15" hidden="false" customHeight="false" outlineLevel="0" collapsed="false">
      <c r="A1005" s="39"/>
      <c r="B1005" s="44" t="str">
        <f aca="false">IF($A1005="","",IFERROR(INDEX('Suivi EPP'!$B$6:$B$505,MATCH($A1005,'Suivi EPP'!$A$6:$A$505,0))&amp;" "&amp;INDEX('Suivi EPP'!$C$6:$C$505,MATCH($A1005,'Suivi EPP'!$A$6:$A$505,0)),"Matricule inconnu"))</f>
        <v/>
      </c>
      <c r="C1005" s="40"/>
      <c r="D1005" s="39"/>
      <c r="E1005" s="39"/>
      <c r="F1005" s="39"/>
      <c r="G1005" s="39"/>
      <c r="H1005" s="39"/>
    </row>
  </sheetData>
  <autoFilter ref="A5:H1005"/>
  <mergeCells count="2">
    <mergeCell ref="A1:H1"/>
    <mergeCell ref="A4:H4"/>
  </mergeCells>
  <conditionalFormatting sqref="F6:F1005">
    <cfRule type="expression" priority="2" aboveAverage="0" equalAverage="0" bottom="0" percent="0" rank="0" text="" dxfId="23">
      <formula>F6="Non"</formula>
    </cfRule>
  </conditionalFormatting>
  <conditionalFormatting sqref="B6:B1005">
    <cfRule type="expression" priority="3" aboveAverage="0" equalAverage="0" bottom="0" percent="0" rank="0" text="" dxfId="29">
      <formula>B6="Matricule inconnu"</formula>
    </cfRule>
  </conditionalFormatting>
  <dataValidations count="4">
    <dataValidation allowBlank="true" errorStyle="stop" operator="between" showDropDown="false" showErrorMessage="false" showInputMessage="false" sqref="A6:A1005" type="list">
      <formula1>ListeMatricules</formula1>
      <formula2>0</formula2>
    </dataValidation>
    <dataValidation allowBlank="true" errorStyle="stop" operator="between" showDropDown="false" showErrorMessage="false" showInputMessage="false" sqref="D6:D1005" type="list">
      <formula1>ListeTypes</formula1>
      <formula2>0</formula2>
    </dataValidation>
    <dataValidation allowBlank="true" errorStyle="stop" operator="between" showDropDown="false" showErrorMessage="false" showInputMessage="false" sqref="F6:F1005" type="list">
      <formula1>"Oui,Non"</formula1>
      <formula2>0</formula2>
    </dataValidation>
    <dataValidation allowBlank="true" error="Saisir une date au format JJ/MM/AAAA." errorStyle="stop" errorTitle="Date attendue" operator="between" showDropDown="false" showErrorMessage="true" showInputMessage="false" sqref="C6:C1005" type="date">
      <formula1>1</formula1>
      <formula2>73415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3"/>
    <col collapsed="false" customWidth="true" hidden="false" outlineLevel="0" max="4" min="4" style="0" width="10"/>
    <col collapsed="false" customWidth="true" hidden="false" outlineLevel="0" max="5" min="5" style="0" width="80"/>
    <col collapsed="false" customWidth="true" hidden="false" outlineLevel="0" max="6" min="6" style="0" width="3"/>
    <col collapsed="false" customWidth="true" hidden="false" outlineLevel="0" max="7" min="7" style="0" width="26"/>
    <col collapsed="false" customWidth="true" hidden="false" outlineLevel="0" max="8" min="8" style="0" width="32"/>
    <col collapsed="false" customWidth="true" hidden="false" outlineLevel="0" max="9" min="9" style="0" width="38"/>
  </cols>
  <sheetData>
    <row r="1" customFormat="false" ht="17.35" hidden="false" customHeight="false" outlineLevel="0" collapsed="false">
      <c r="B1" s="49" t="s">
        <v>253</v>
      </c>
    </row>
    <row r="2" customFormat="false" ht="15" hidden="false" customHeight="false" outlineLevel="0" collapsed="false">
      <c r="B2" s="33" t="s">
        <v>254</v>
      </c>
    </row>
    <row r="4" customFormat="false" ht="15" hidden="false" customHeight="false" outlineLevel="0" collapsed="false">
      <c r="B4" s="50" t="s">
        <v>255</v>
      </c>
      <c r="C4" s="50" t="s">
        <v>256</v>
      </c>
      <c r="D4" s="50" t="s">
        <v>257</v>
      </c>
      <c r="E4" s="50" t="s">
        <v>258</v>
      </c>
      <c r="G4" s="51" t="s">
        <v>259</v>
      </c>
      <c r="H4" s="51" t="s">
        <v>260</v>
      </c>
      <c r="I4" s="51" t="s">
        <v>261</v>
      </c>
    </row>
    <row r="5" customFormat="false" ht="31.5" hidden="false" customHeight="true" outlineLevel="0" collapsed="false">
      <c r="B5" s="52" t="s">
        <v>262</v>
      </c>
      <c r="C5" s="53" t="n">
        <f aca="true">TODAY()</f>
        <v>46288</v>
      </c>
      <c r="D5" s="52" t="s">
        <v>263</v>
      </c>
      <c r="E5" s="54" t="s">
        <v>264</v>
      </c>
      <c r="G5" s="39" t="s">
        <v>217</v>
      </c>
      <c r="H5" s="39" t="s">
        <v>228</v>
      </c>
      <c r="I5" s="39" t="s">
        <v>265</v>
      </c>
    </row>
    <row r="6" customFormat="false" ht="31.5" hidden="false" customHeight="true" outlineLevel="0" collapsed="false">
      <c r="B6" s="52" t="s">
        <v>266</v>
      </c>
      <c r="C6" s="53" t="n">
        <v>45956</v>
      </c>
      <c r="D6" s="52" t="s">
        <v>263</v>
      </c>
      <c r="E6" s="54" t="s">
        <v>267</v>
      </c>
      <c r="G6" s="39" t="s">
        <v>176</v>
      </c>
      <c r="H6" s="39" t="s">
        <v>268</v>
      </c>
      <c r="I6" s="39" t="s">
        <v>248</v>
      </c>
    </row>
    <row r="7" customFormat="false" ht="60" hidden="false" customHeight="true" outlineLevel="0" collapsed="false">
      <c r="B7" s="52" t="s">
        <v>269</v>
      </c>
      <c r="C7" s="55" t="s">
        <v>171</v>
      </c>
      <c r="D7" s="52" t="s">
        <v>270</v>
      </c>
      <c r="E7" s="54" t="s">
        <v>271</v>
      </c>
      <c r="G7" s="39" t="s">
        <v>197</v>
      </c>
      <c r="H7" s="39" t="s">
        <v>179</v>
      </c>
      <c r="I7" s="39" t="s">
        <v>272</v>
      </c>
    </row>
    <row r="8" customFormat="false" ht="31.5" hidden="false" customHeight="true" outlineLevel="0" collapsed="false">
      <c r="B8" s="52" t="s">
        <v>273</v>
      </c>
      <c r="C8" s="55" t="n">
        <v>12</v>
      </c>
      <c r="D8" s="52" t="s">
        <v>274</v>
      </c>
      <c r="E8" s="54" t="s">
        <v>275</v>
      </c>
      <c r="G8" s="39" t="s">
        <v>161</v>
      </c>
      <c r="H8" s="39" t="s">
        <v>276</v>
      </c>
      <c r="I8" s="39" t="s">
        <v>277</v>
      </c>
    </row>
    <row r="9" customFormat="false" ht="31.5" hidden="false" customHeight="true" outlineLevel="0" collapsed="false">
      <c r="B9" s="52" t="s">
        <v>278</v>
      </c>
      <c r="C9" s="55" t="n">
        <v>4</v>
      </c>
      <c r="D9" s="52" t="s">
        <v>279</v>
      </c>
      <c r="E9" s="54" t="s">
        <v>280</v>
      </c>
      <c r="G9" s="39" t="s">
        <v>168</v>
      </c>
      <c r="H9" s="39" t="s">
        <v>210</v>
      </c>
      <c r="I9" s="39" t="s">
        <v>281</v>
      </c>
    </row>
    <row r="10" customFormat="false" ht="31.5" hidden="false" customHeight="true" outlineLevel="0" collapsed="false">
      <c r="B10" s="52" t="s">
        <v>282</v>
      </c>
      <c r="C10" s="55" t="n">
        <v>2</v>
      </c>
      <c r="D10" s="52" t="s">
        <v>279</v>
      </c>
      <c r="E10" s="54" t="s">
        <v>283</v>
      </c>
      <c r="G10" s="39" t="s">
        <v>184</v>
      </c>
      <c r="H10" s="39" t="s">
        <v>284</v>
      </c>
      <c r="I10" s="39" t="s">
        <v>250</v>
      </c>
    </row>
    <row r="11" customFormat="false" ht="31.5" hidden="false" customHeight="true" outlineLevel="0" collapsed="false">
      <c r="B11" s="52" t="s">
        <v>285</v>
      </c>
      <c r="C11" s="55" t="n">
        <v>8</v>
      </c>
      <c r="D11" s="52" t="s">
        <v>279</v>
      </c>
      <c r="E11" s="54" t="s">
        <v>286</v>
      </c>
      <c r="G11" s="39" t="s">
        <v>190</v>
      </c>
      <c r="H11" s="39" t="s">
        <v>287</v>
      </c>
      <c r="I11" s="39" t="s">
        <v>288</v>
      </c>
    </row>
    <row r="12" customFormat="false" ht="18" hidden="false" customHeight="true" outlineLevel="0" collapsed="false">
      <c r="B12" s="52" t="s">
        <v>289</v>
      </c>
      <c r="C12" s="55" t="n">
        <v>6</v>
      </c>
      <c r="D12" s="52" t="s">
        <v>279</v>
      </c>
      <c r="E12" s="54" t="s">
        <v>290</v>
      </c>
      <c r="G12" s="39" t="s">
        <v>215</v>
      </c>
      <c r="H12" s="39" t="s">
        <v>291</v>
      </c>
      <c r="I12" s="39" t="s">
        <v>246</v>
      </c>
    </row>
    <row r="13" customFormat="false" ht="31.5" hidden="false" customHeight="true" outlineLevel="0" collapsed="false">
      <c r="B13" s="52" t="s">
        <v>292</v>
      </c>
      <c r="C13" s="55" t="n">
        <v>12</v>
      </c>
      <c r="D13" s="52" t="s">
        <v>274</v>
      </c>
      <c r="E13" s="54" t="s">
        <v>293</v>
      </c>
      <c r="G13" s="39"/>
      <c r="H13" s="39" t="s">
        <v>294</v>
      </c>
    </row>
    <row r="14" customFormat="false" ht="31.5" hidden="false" customHeight="true" outlineLevel="0" collapsed="false">
      <c r="B14" s="52" t="s">
        <v>295</v>
      </c>
      <c r="C14" s="55" t="n">
        <v>2</v>
      </c>
      <c r="D14" s="52" t="s">
        <v>274</v>
      </c>
      <c r="E14" s="54" t="s">
        <v>296</v>
      </c>
      <c r="G14" s="39"/>
    </row>
    <row r="15" customFormat="false" ht="31.5" hidden="false" customHeight="true" outlineLevel="0" collapsed="false">
      <c r="B15" s="52" t="s">
        <v>297</v>
      </c>
      <c r="C15" s="55" t="n">
        <v>45</v>
      </c>
      <c r="D15" s="52" t="s">
        <v>279</v>
      </c>
      <c r="E15" s="54" t="s">
        <v>298</v>
      </c>
      <c r="G15" s="39"/>
    </row>
    <row r="16" customFormat="false" ht="45.75" hidden="false" customHeight="true" outlineLevel="0" collapsed="false">
      <c r="B16" s="52" t="s">
        <v>299</v>
      </c>
      <c r="C16" s="55" t="n">
        <v>60</v>
      </c>
      <c r="D16" s="52" t="s">
        <v>279</v>
      </c>
      <c r="E16" s="54" t="s">
        <v>300</v>
      </c>
      <c r="G16" s="39"/>
    </row>
    <row r="17" customFormat="false" ht="18" hidden="false" customHeight="true" outlineLevel="0" collapsed="false">
      <c r="B17" s="52" t="s">
        <v>301</v>
      </c>
      <c r="C17" s="55" t="n">
        <v>2</v>
      </c>
      <c r="D17" s="52" t="s">
        <v>279</v>
      </c>
      <c r="E17" s="54" t="s">
        <v>302</v>
      </c>
      <c r="G17" s="39"/>
    </row>
    <row r="18" customFormat="false" ht="31.5" hidden="false" customHeight="true" outlineLevel="0" collapsed="false">
      <c r="B18" s="52" t="s">
        <v>303</v>
      </c>
      <c r="C18" s="55" t="n">
        <v>90</v>
      </c>
      <c r="D18" s="52" t="s">
        <v>304</v>
      </c>
      <c r="E18" s="54" t="s">
        <v>305</v>
      </c>
      <c r="G18" s="39"/>
    </row>
    <row r="19" customFormat="false" ht="31.5" hidden="false" customHeight="true" outlineLevel="0" collapsed="false">
      <c r="B19" s="52" t="s">
        <v>306</v>
      </c>
      <c r="C19" s="55" t="n">
        <v>180</v>
      </c>
      <c r="D19" s="52" t="s">
        <v>304</v>
      </c>
      <c r="E19" s="54" t="s">
        <v>307</v>
      </c>
      <c r="G19" s="39"/>
    </row>
    <row r="20" customFormat="false" ht="31.5" hidden="false" customHeight="true" outlineLevel="0" collapsed="false">
      <c r="B20" s="52" t="s">
        <v>308</v>
      </c>
      <c r="C20" s="55" t="n">
        <v>60</v>
      </c>
      <c r="D20" s="52" t="s">
        <v>309</v>
      </c>
      <c r="E20" s="54" t="s">
        <v>310</v>
      </c>
      <c r="G20" s="39"/>
    </row>
    <row r="21" customFormat="false" ht="18" hidden="false" customHeight="true" outlineLevel="0" collapsed="false">
      <c r="B21" s="52" t="s">
        <v>311</v>
      </c>
      <c r="C21" s="55" t="n">
        <v>50</v>
      </c>
      <c r="D21" s="52" t="s">
        <v>309</v>
      </c>
      <c r="E21" s="54" t="s">
        <v>312</v>
      </c>
      <c r="G21" s="39"/>
    </row>
    <row r="22" customFormat="false" ht="18" hidden="false" customHeight="true" outlineLevel="0" collapsed="false">
      <c r="B22" s="52" t="s">
        <v>313</v>
      </c>
      <c r="C22" s="56" t="n">
        <v>3000</v>
      </c>
      <c r="D22" s="52" t="s">
        <v>314</v>
      </c>
      <c r="E22" s="54" t="s">
        <v>315</v>
      </c>
      <c r="G22" s="39"/>
    </row>
    <row r="23" customFormat="false" ht="15" hidden="false" customHeight="false" outlineLevel="0" collapsed="false">
      <c r="G23" s="39"/>
    </row>
    <row r="24" customFormat="false" ht="15" hidden="false" customHeight="false" outlineLevel="0" collapsed="false">
      <c r="G24" s="39"/>
    </row>
    <row r="26" customFormat="false" ht="15" hidden="false" customHeight="false" outlineLevel="0" collapsed="false">
      <c r="G26" s="25" t="s">
        <v>316</v>
      </c>
    </row>
  </sheetData>
  <dataValidations count="1">
    <dataValidation allowBlank="false" errorStyle="stop" operator="between" showDropDown="false" showErrorMessage="false" showInputMessage="false" sqref="C7" type="list">
      <formula1>"Oui,Non"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2026-09-23T11:54:36Z</dcterms:created>
  <dc:creator>openpyxl</dc:creator>
  <dc:description/>
  <dc:language>en-US</dc:language>
  <cp:lastModifiedBy/>
  <dcterms:modified xsi:type="dcterms:W3CDTF">2026-09-23T11:54:38Z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